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oshiki\Desktop\"/>
    </mc:Choice>
  </mc:AlternateContent>
  <bookViews>
    <workbookView xWindow="0" yWindow="0" windowWidth="16815" windowHeight="6420"/>
  </bookViews>
  <sheets>
    <sheet name="リバース占い鑑定結果" sheetId="1" r:id="rId1"/>
    <sheet name="リバース占い" sheetId="2" r:id="rId2"/>
    <sheet name="12運シート" sheetId="3" r:id="rId3"/>
    <sheet name="表裏星座一覧" sheetId="4" r:id="rId4"/>
  </sheets>
  <externalReferences>
    <externalReference r:id="rId5"/>
  </externalReferences>
  <definedNames>
    <definedName name="l">#REF!</definedName>
    <definedName name="start_day">#REF!</definedName>
    <definedName name="宿命">#REF!</definedName>
    <definedName name="宿命2">#REF!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42" i="2" l="1"/>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4" i="2"/>
  <c r="F413"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F383" i="2"/>
  <c r="F382" i="2"/>
  <c r="F381" i="2"/>
  <c r="F380" i="2"/>
  <c r="F379" i="2"/>
  <c r="F378" i="2"/>
  <c r="F377" i="2"/>
  <c r="F376" i="2"/>
  <c r="F375" i="2"/>
  <c r="F374" i="2"/>
  <c r="F373" i="2"/>
  <c r="F372" i="2"/>
  <c r="F371" i="2"/>
  <c r="F370" i="2"/>
  <c r="F369" i="2"/>
  <c r="F368" i="2"/>
  <c r="F367" i="2"/>
  <c r="F366" i="2"/>
  <c r="F365" i="2"/>
  <c r="F364" i="2"/>
  <c r="F363" i="2"/>
  <c r="F362" i="2"/>
  <c r="F361" i="2"/>
  <c r="F360" i="2"/>
  <c r="F359" i="2"/>
  <c r="F358" i="2"/>
  <c r="F357" i="2"/>
  <c r="F356" i="2"/>
  <c r="F355" i="2"/>
  <c r="F354" i="2"/>
  <c r="F353" i="2"/>
  <c r="F352" i="2"/>
  <c r="F351" i="2"/>
  <c r="F350" i="2"/>
  <c r="F349" i="2"/>
  <c r="F348" i="2"/>
  <c r="F347" i="2"/>
  <c r="F346" i="2"/>
  <c r="F345" i="2"/>
  <c r="F344" i="2"/>
  <c r="F343" i="2"/>
  <c r="F342" i="2"/>
  <c r="D254" i="2"/>
  <c r="A254" i="2"/>
  <c r="D253" i="2"/>
  <c r="A253" i="2"/>
  <c r="D252" i="2"/>
  <c r="A252" i="2"/>
  <c r="D251" i="2"/>
  <c r="A251" i="2"/>
  <c r="D250" i="2"/>
  <c r="A250" i="2"/>
  <c r="D249" i="2"/>
  <c r="A249" i="2"/>
  <c r="D248" i="2"/>
  <c r="A248" i="2"/>
  <c r="D247" i="2"/>
  <c r="A247" i="2"/>
  <c r="D246" i="2"/>
  <c r="A246" i="2"/>
  <c r="D245" i="2"/>
  <c r="A245" i="2"/>
  <c r="D244" i="2"/>
  <c r="A244" i="2"/>
  <c r="D243" i="2"/>
  <c r="A243" i="2"/>
  <c r="D242" i="2"/>
  <c r="A242" i="2"/>
  <c r="D241" i="2"/>
  <c r="A241" i="2"/>
  <c r="D240" i="2"/>
  <c r="A240" i="2"/>
  <c r="D239" i="2"/>
  <c r="A239" i="2"/>
  <c r="D238" i="2"/>
  <c r="A238" i="2"/>
  <c r="D237" i="2"/>
  <c r="A237" i="2"/>
  <c r="D236" i="2"/>
  <c r="A236" i="2"/>
  <c r="D235" i="2"/>
  <c r="A235" i="2"/>
  <c r="D234" i="2"/>
  <c r="A234" i="2"/>
  <c r="D233" i="2"/>
  <c r="A233" i="2"/>
  <c r="D232" i="2"/>
  <c r="A232" i="2"/>
  <c r="D231" i="2"/>
  <c r="A231" i="2"/>
  <c r="D230" i="2"/>
  <c r="A230" i="2"/>
  <c r="D229" i="2"/>
  <c r="A229" i="2"/>
  <c r="D228" i="2"/>
  <c r="A228" i="2"/>
  <c r="D227" i="2"/>
  <c r="A227" i="2"/>
  <c r="D226" i="2"/>
  <c r="A226" i="2"/>
  <c r="D225" i="2"/>
  <c r="A225" i="2"/>
  <c r="D224" i="2"/>
  <c r="A224" i="2"/>
  <c r="DE223" i="2"/>
  <c r="DD223" i="2"/>
  <c r="DC223" i="2"/>
  <c r="DB223" i="2"/>
  <c r="DA223" i="2"/>
  <c r="CZ223" i="2"/>
  <c r="CY223" i="2"/>
  <c r="BY223" i="2"/>
  <c r="W223" i="2"/>
  <c r="U223" i="2"/>
  <c r="T223" i="2"/>
  <c r="D223" i="2"/>
  <c r="A223" i="2"/>
  <c r="DE222" i="2"/>
  <c r="DD222" i="2"/>
  <c r="DC222" i="2"/>
  <c r="DB222" i="2"/>
  <c r="DA222" i="2"/>
  <c r="CZ222" i="2"/>
  <c r="CY222" i="2"/>
  <c r="CX222" i="2"/>
  <c r="CX223" i="2" s="1"/>
  <c r="BY222" i="2"/>
  <c r="W222" i="2"/>
  <c r="U222" i="2"/>
  <c r="T222" i="2"/>
  <c r="D222" i="2"/>
  <c r="A222" i="2"/>
  <c r="DE221" i="2"/>
  <c r="DD221" i="2"/>
  <c r="DC221" i="2"/>
  <c r="DB221" i="2"/>
  <c r="DA221" i="2"/>
  <c r="CZ221" i="2"/>
  <c r="CY221" i="2"/>
  <c r="BY221" i="2"/>
  <c r="W221" i="2"/>
  <c r="U221" i="2"/>
  <c r="T221" i="2"/>
  <c r="D221" i="2"/>
  <c r="A221" i="2"/>
  <c r="DE220" i="2"/>
  <c r="DD220" i="2"/>
  <c r="DC220" i="2"/>
  <c r="DB220" i="2"/>
  <c r="DA220" i="2"/>
  <c r="CZ220" i="2"/>
  <c r="CY220" i="2"/>
  <c r="CX220" i="2"/>
  <c r="CX221" i="2" s="1"/>
  <c r="BY220" i="2"/>
  <c r="W220" i="2"/>
  <c r="U220" i="2"/>
  <c r="T220" i="2"/>
  <c r="D220" i="2"/>
  <c r="A220" i="2"/>
  <c r="DE219" i="2"/>
  <c r="DD219" i="2"/>
  <c r="DC219" i="2"/>
  <c r="DB219" i="2"/>
  <c r="DA219" i="2"/>
  <c r="CZ219" i="2"/>
  <c r="CY219" i="2"/>
  <c r="BY219" i="2"/>
  <c r="W219" i="2"/>
  <c r="U219" i="2"/>
  <c r="T219" i="2"/>
  <c r="D219" i="2"/>
  <c r="A219" i="2"/>
  <c r="DE218" i="2"/>
  <c r="DD218" i="2"/>
  <c r="DC218" i="2"/>
  <c r="DB218" i="2"/>
  <c r="DA218" i="2"/>
  <c r="CZ218" i="2"/>
  <c r="CY218" i="2"/>
  <c r="CX218" i="2"/>
  <c r="CX219" i="2" s="1"/>
  <c r="BY218" i="2"/>
  <c r="W218" i="2"/>
  <c r="U218" i="2"/>
  <c r="T218" i="2"/>
  <c r="D218" i="2"/>
  <c r="A218" i="2"/>
  <c r="DE217" i="2"/>
  <c r="DD217" i="2"/>
  <c r="DC217" i="2"/>
  <c r="DB217" i="2"/>
  <c r="DA217" i="2"/>
  <c r="CZ217" i="2"/>
  <c r="CY217" i="2"/>
  <c r="BY217" i="2"/>
  <c r="W217" i="2"/>
  <c r="U217" i="2"/>
  <c r="T217" i="2"/>
  <c r="D217" i="2"/>
  <c r="A217" i="2"/>
  <c r="DE216" i="2"/>
  <c r="DD216" i="2"/>
  <c r="DC216" i="2"/>
  <c r="DB216" i="2"/>
  <c r="DA216" i="2"/>
  <c r="CZ216" i="2"/>
  <c r="CY216" i="2"/>
  <c r="CX216" i="2"/>
  <c r="CX217" i="2" s="1"/>
  <c r="BY216" i="2"/>
  <c r="U216" i="2"/>
  <c r="T216" i="2"/>
  <c r="D216" i="2"/>
  <c r="W216" i="2" s="1"/>
  <c r="A216" i="2"/>
  <c r="DE215" i="2"/>
  <c r="DD215" i="2"/>
  <c r="DC215" i="2"/>
  <c r="DB215" i="2"/>
  <c r="DA215" i="2"/>
  <c r="CZ215" i="2"/>
  <c r="CY215" i="2"/>
  <c r="BY215" i="2"/>
  <c r="W215" i="2"/>
  <c r="U215" i="2"/>
  <c r="T215" i="2"/>
  <c r="D215" i="2"/>
  <c r="A215" i="2"/>
  <c r="DE214" i="2"/>
  <c r="DD214" i="2"/>
  <c r="DC214" i="2"/>
  <c r="DB214" i="2"/>
  <c r="DA214" i="2"/>
  <c r="CZ214" i="2"/>
  <c r="CY214" i="2"/>
  <c r="CX214" i="2"/>
  <c r="CX215" i="2" s="1"/>
  <c r="BY214" i="2"/>
  <c r="W214" i="2"/>
  <c r="U214" i="2"/>
  <c r="T214" i="2"/>
  <c r="D214" i="2"/>
  <c r="A214" i="2"/>
  <c r="DE213" i="2"/>
  <c r="DD213" i="2"/>
  <c r="DC213" i="2"/>
  <c r="DB213" i="2"/>
  <c r="DA213" i="2"/>
  <c r="CZ213" i="2"/>
  <c r="CY213" i="2"/>
  <c r="BY213" i="2"/>
  <c r="W213" i="2"/>
  <c r="U213" i="2"/>
  <c r="T213" i="2"/>
  <c r="D213" i="2"/>
  <c r="A213" i="2"/>
  <c r="DE212" i="2"/>
  <c r="DD212" i="2"/>
  <c r="DC212" i="2"/>
  <c r="DB212" i="2"/>
  <c r="DA212" i="2"/>
  <c r="CZ212" i="2"/>
  <c r="CY212" i="2"/>
  <c r="CX212" i="2"/>
  <c r="CX213" i="2" s="1"/>
  <c r="BY212" i="2"/>
  <c r="AO212" i="2"/>
  <c r="U212" i="2"/>
  <c r="T212" i="2"/>
  <c r="D212" i="2"/>
  <c r="W212" i="2" s="1"/>
  <c r="A212" i="2"/>
  <c r="DE211" i="2"/>
  <c r="DD211" i="2"/>
  <c r="DC211" i="2"/>
  <c r="DB211" i="2"/>
  <c r="DA211" i="2"/>
  <c r="CZ211" i="2"/>
  <c r="CY211" i="2"/>
  <c r="BY211" i="2"/>
  <c r="W211" i="2"/>
  <c r="U211" i="2"/>
  <c r="T211" i="2"/>
  <c r="D211" i="2"/>
  <c r="A211" i="2"/>
  <c r="DE210" i="2"/>
  <c r="DD210" i="2"/>
  <c r="DC210" i="2"/>
  <c r="DB210" i="2"/>
  <c r="DA210" i="2"/>
  <c r="CZ210" i="2"/>
  <c r="CY210" i="2"/>
  <c r="CX210" i="2"/>
  <c r="CX211" i="2" s="1"/>
  <c r="BY210" i="2"/>
  <c r="W210" i="2"/>
  <c r="U210" i="2"/>
  <c r="T210" i="2"/>
  <c r="D210" i="2"/>
  <c r="A210" i="2"/>
  <c r="DE209" i="2"/>
  <c r="DD209" i="2"/>
  <c r="DC209" i="2"/>
  <c r="DB209" i="2"/>
  <c r="DA209" i="2"/>
  <c r="CZ209" i="2"/>
  <c r="CY209" i="2"/>
  <c r="BY209" i="2"/>
  <c r="U209" i="2"/>
  <c r="T209" i="2"/>
  <c r="D209" i="2"/>
  <c r="W209" i="2" s="1"/>
  <c r="A209" i="2"/>
  <c r="DE208" i="2"/>
  <c r="DD208" i="2"/>
  <c r="DC208" i="2"/>
  <c r="DB208" i="2"/>
  <c r="DA208" i="2"/>
  <c r="CZ208" i="2"/>
  <c r="CY208" i="2"/>
  <c r="CX208" i="2"/>
  <c r="CX209" i="2" s="1"/>
  <c r="BY208" i="2"/>
  <c r="AO208" i="2"/>
  <c r="W208" i="2"/>
  <c r="U208" i="2"/>
  <c r="T208" i="2"/>
  <c r="D208" i="2"/>
  <c r="A208" i="2"/>
  <c r="DE207" i="2"/>
  <c r="DD207" i="2"/>
  <c r="DC207" i="2"/>
  <c r="DB207" i="2"/>
  <c r="DA207" i="2"/>
  <c r="CZ207" i="2"/>
  <c r="CY207" i="2"/>
  <c r="BY207" i="2"/>
  <c r="W207" i="2"/>
  <c r="U207" i="2"/>
  <c r="T207" i="2"/>
  <c r="D207" i="2"/>
  <c r="A207" i="2"/>
  <c r="DE206" i="2"/>
  <c r="DD206" i="2"/>
  <c r="DC206" i="2"/>
  <c r="DB206" i="2"/>
  <c r="DA206" i="2"/>
  <c r="CZ206" i="2"/>
  <c r="CY206" i="2"/>
  <c r="CX206" i="2"/>
  <c r="CX207" i="2" s="1"/>
  <c r="BY206" i="2"/>
  <c r="W206" i="2"/>
  <c r="U206" i="2"/>
  <c r="T206" i="2"/>
  <c r="D206" i="2"/>
  <c r="A206" i="2"/>
  <c r="DE205" i="2"/>
  <c r="DD205" i="2"/>
  <c r="DC205" i="2"/>
  <c r="DB205" i="2"/>
  <c r="DA205" i="2"/>
  <c r="CZ205" i="2"/>
  <c r="CY205" i="2"/>
  <c r="BY205" i="2"/>
  <c r="AO205" i="2"/>
  <c r="U205" i="2"/>
  <c r="T205" i="2"/>
  <c r="D205" i="2"/>
  <c r="W205" i="2" s="1"/>
  <c r="A205" i="2"/>
  <c r="DE204" i="2"/>
  <c r="DD204" i="2"/>
  <c r="DC204" i="2"/>
  <c r="DB204" i="2"/>
  <c r="DA204" i="2"/>
  <c r="CZ204" i="2"/>
  <c r="CY204" i="2"/>
  <c r="CX204" i="2"/>
  <c r="CX205" i="2" s="1"/>
  <c r="BY204" i="2"/>
  <c r="W204" i="2"/>
  <c r="U204" i="2"/>
  <c r="T204" i="2"/>
  <c r="D204" i="2"/>
  <c r="A204" i="2"/>
  <c r="D203" i="2"/>
  <c r="A203" i="2"/>
  <c r="BT202" i="2"/>
  <c r="D202" i="2"/>
  <c r="A202" i="2"/>
  <c r="BT201" i="2"/>
  <c r="AF201" i="2"/>
  <c r="D201" i="2"/>
  <c r="A201" i="2"/>
  <c r="BT200" i="2"/>
  <c r="D200" i="2"/>
  <c r="A200" i="2"/>
  <c r="BT199" i="2"/>
  <c r="D199" i="2"/>
  <c r="A199" i="2"/>
  <c r="BT198" i="2"/>
  <c r="D198" i="2"/>
  <c r="A198" i="2"/>
  <c r="BT197" i="2"/>
  <c r="D197" i="2"/>
  <c r="A197" i="2"/>
  <c r="BT196" i="2"/>
  <c r="D196" i="2"/>
  <c r="A196" i="2"/>
  <c r="BT195" i="2"/>
  <c r="D195" i="2"/>
  <c r="A195" i="2"/>
  <c r="BT194" i="2"/>
  <c r="D194" i="2"/>
  <c r="A194" i="2"/>
  <c r="BT193" i="2"/>
  <c r="D193" i="2"/>
  <c r="A193" i="2"/>
  <c r="BT192" i="2"/>
  <c r="D192" i="2"/>
  <c r="A192" i="2"/>
  <c r="BT191" i="2"/>
  <c r="D191" i="2"/>
  <c r="A191" i="2"/>
  <c r="D190" i="2"/>
  <c r="A190" i="2"/>
  <c r="D189" i="2"/>
  <c r="A189" i="2"/>
  <c r="D188" i="2"/>
  <c r="A188" i="2"/>
  <c r="D187" i="2"/>
  <c r="A187" i="2"/>
  <c r="D186" i="2"/>
  <c r="A186" i="2"/>
  <c r="D185" i="2"/>
  <c r="A185" i="2"/>
  <c r="D184" i="2"/>
  <c r="A184" i="2"/>
  <c r="D183" i="2"/>
  <c r="A183" i="2"/>
  <c r="D182" i="2"/>
  <c r="A182" i="2"/>
  <c r="D181" i="2"/>
  <c r="A181" i="2"/>
  <c r="D180" i="2"/>
  <c r="A180" i="2"/>
  <c r="D179" i="2"/>
  <c r="A179" i="2"/>
  <c r="D178" i="2"/>
  <c r="A178" i="2"/>
  <c r="D177" i="2"/>
  <c r="A177" i="2"/>
  <c r="D176" i="2"/>
  <c r="A176" i="2"/>
  <c r="D175" i="2"/>
  <c r="A175" i="2"/>
  <c r="D174" i="2"/>
  <c r="A174" i="2"/>
  <c r="D173" i="2"/>
  <c r="A173" i="2"/>
  <c r="D172" i="2"/>
  <c r="A172" i="2"/>
  <c r="D171" i="2"/>
  <c r="A171" i="2"/>
  <c r="D170" i="2"/>
  <c r="A170" i="2"/>
  <c r="D169" i="2"/>
  <c r="A169" i="2"/>
  <c r="D168" i="2"/>
  <c r="A168" i="2"/>
  <c r="D167" i="2"/>
  <c r="A167" i="2"/>
  <c r="D166" i="2"/>
  <c r="A166" i="2"/>
  <c r="D165" i="2"/>
  <c r="A165" i="2"/>
  <c r="D164" i="2"/>
  <c r="A164" i="2"/>
  <c r="D163" i="2"/>
  <c r="A163" i="2"/>
  <c r="D162" i="2"/>
  <c r="A162" i="2"/>
  <c r="D161" i="2"/>
  <c r="A161" i="2"/>
  <c r="D160" i="2"/>
  <c r="A160" i="2"/>
  <c r="D159" i="2"/>
  <c r="A159" i="2"/>
  <c r="D158" i="2"/>
  <c r="A158" i="2"/>
  <c r="D157" i="2"/>
  <c r="A157" i="2"/>
  <c r="D156" i="2"/>
  <c r="A156" i="2"/>
  <c r="D155" i="2"/>
  <c r="A155" i="2"/>
  <c r="CK148" i="2"/>
  <c r="G141" i="2"/>
  <c r="I139" i="2"/>
  <c r="F139" i="2"/>
  <c r="H137" i="2"/>
  <c r="G137" i="2"/>
  <c r="AM132" i="2"/>
  <c r="AI132" i="2"/>
  <c r="AH132" i="2"/>
  <c r="AG132" i="2"/>
  <c r="AF132" i="2"/>
  <c r="P132" i="2"/>
  <c r="AN131" i="2"/>
  <c r="AL131" i="2"/>
  <c r="AK131" i="2"/>
  <c r="AI131" i="2"/>
  <c r="AH131" i="2"/>
  <c r="P131" i="2"/>
  <c r="CO128" i="2"/>
  <c r="CJ128" i="2"/>
  <c r="CF128" i="2"/>
  <c r="BQ128" i="2"/>
  <c r="CP127" i="2"/>
  <c r="CK127" i="2"/>
  <c r="CG127" i="2"/>
  <c r="CO126" i="2"/>
  <c r="CJ126" i="2"/>
  <c r="CF126" i="2"/>
  <c r="AP125" i="2"/>
  <c r="AO125" i="2"/>
  <c r="AN125" i="2"/>
  <c r="AP124" i="2"/>
  <c r="AO124" i="2"/>
  <c r="AN124" i="2"/>
  <c r="AP123" i="2"/>
  <c r="AO123" i="2"/>
  <c r="AL123" i="2"/>
  <c r="AK123" i="2"/>
  <c r="AI123" i="2"/>
  <c r="AH123" i="2"/>
  <c r="AF123" i="2"/>
  <c r="P123" i="2"/>
  <c r="N123" i="2"/>
  <c r="M123" i="2"/>
  <c r="G119" i="2"/>
  <c r="F119" i="2"/>
  <c r="G69" i="2"/>
  <c r="F69" i="2"/>
  <c r="L69" i="2" s="1"/>
  <c r="E69" i="2"/>
  <c r="F68" i="2"/>
  <c r="G67" i="2"/>
  <c r="F67" i="2"/>
  <c r="L67" i="2" s="1"/>
  <c r="E67" i="2"/>
  <c r="F66" i="2"/>
  <c r="G65" i="2"/>
  <c r="F65" i="2"/>
  <c r="L65" i="2" s="1"/>
  <c r="E65" i="2"/>
  <c r="F64" i="2"/>
  <c r="G63" i="2"/>
  <c r="F63" i="2"/>
  <c r="L63" i="2" s="1"/>
  <c r="E63" i="2"/>
  <c r="F62" i="2"/>
  <c r="G61" i="2"/>
  <c r="F61" i="2"/>
  <c r="L61" i="2" s="1"/>
  <c r="E61" i="2"/>
  <c r="F60" i="2"/>
  <c r="G59" i="2"/>
  <c r="F59" i="2"/>
  <c r="L59" i="2" s="1"/>
  <c r="E59" i="2"/>
  <c r="F58" i="2"/>
  <c r="G57" i="2"/>
  <c r="F57" i="2"/>
  <c r="L57" i="2" s="1"/>
  <c r="E57" i="2"/>
  <c r="F56" i="2"/>
  <c r="G55" i="2"/>
  <c r="F55" i="2"/>
  <c r="L55" i="2" s="1"/>
  <c r="E55" i="2"/>
  <c r="F54" i="2"/>
  <c r="G53" i="2"/>
  <c r="F53" i="2"/>
  <c r="L53" i="2" s="1"/>
  <c r="E53" i="2"/>
  <c r="F52" i="2"/>
  <c r="G51" i="2"/>
  <c r="F51" i="2"/>
  <c r="L51" i="2" s="1"/>
  <c r="E51" i="2"/>
  <c r="F50" i="2"/>
  <c r="G49" i="2"/>
  <c r="F49" i="2"/>
  <c r="L49" i="2" s="1"/>
  <c r="E49" i="2"/>
  <c r="F48" i="2"/>
  <c r="G47" i="2"/>
  <c r="F47" i="2"/>
  <c r="L47" i="2" s="1"/>
  <c r="E47" i="2"/>
  <c r="F46" i="2"/>
  <c r="G45" i="2"/>
  <c r="F45" i="2"/>
  <c r="L45" i="2" s="1"/>
  <c r="E45" i="2"/>
  <c r="V43" i="2"/>
  <c r="T43" i="2"/>
  <c r="T44" i="2" s="1"/>
  <c r="P35" i="2"/>
  <c r="O35" i="2"/>
  <c r="N35" i="2"/>
  <c r="M35" i="2"/>
  <c r="L35" i="2"/>
  <c r="K35" i="2"/>
  <c r="J35" i="2"/>
  <c r="I35" i="2"/>
  <c r="H35" i="2"/>
  <c r="P32" i="2"/>
  <c r="O32" i="2"/>
  <c r="N32" i="2"/>
  <c r="M32" i="2"/>
  <c r="L32" i="2"/>
  <c r="K32" i="2"/>
  <c r="J32" i="2"/>
  <c r="I32" i="2"/>
  <c r="H32" i="2"/>
  <c r="P31" i="2"/>
  <c r="O31" i="2"/>
  <c r="N31" i="2"/>
  <c r="M31" i="2"/>
  <c r="L31" i="2"/>
  <c r="K31" i="2"/>
  <c r="J31" i="2"/>
  <c r="I31" i="2"/>
  <c r="H31" i="2"/>
  <c r="P30" i="2"/>
  <c r="O30" i="2"/>
  <c r="N30" i="2"/>
  <c r="M30" i="2"/>
  <c r="L30" i="2"/>
  <c r="K30" i="2"/>
  <c r="J30" i="2"/>
  <c r="I30" i="2"/>
  <c r="H30" i="2"/>
  <c r="P29" i="2"/>
  <c r="O29" i="2"/>
  <c r="N29" i="2"/>
  <c r="M29" i="2"/>
  <c r="L29" i="2"/>
  <c r="K29" i="2"/>
  <c r="J29" i="2"/>
  <c r="I29" i="2"/>
  <c r="H29" i="2"/>
  <c r="P28" i="2"/>
  <c r="O28" i="2"/>
  <c r="N28" i="2"/>
  <c r="M28" i="2"/>
  <c r="L28" i="2"/>
  <c r="K28" i="2"/>
  <c r="J28" i="2"/>
  <c r="I28" i="2"/>
  <c r="H28" i="2"/>
  <c r="P25" i="2"/>
  <c r="O25" i="2"/>
  <c r="N25" i="2"/>
  <c r="M25" i="2"/>
  <c r="L25" i="2"/>
  <c r="K25" i="2"/>
  <c r="J25" i="2"/>
  <c r="I25" i="2"/>
  <c r="P34" i="2" s="1"/>
  <c r="H25" i="2"/>
  <c r="P33" i="2" s="1"/>
  <c r="G25" i="2"/>
  <c r="F25" i="2"/>
  <c r="P24" i="2"/>
  <c r="O24" i="2"/>
  <c r="N24" i="2"/>
  <c r="M24" i="2"/>
  <c r="L24" i="2"/>
  <c r="K24" i="2"/>
  <c r="J24" i="2"/>
  <c r="I24" i="2"/>
  <c r="O34" i="2" s="1"/>
  <c r="H24" i="2"/>
  <c r="O33" i="2" s="1"/>
  <c r="G24" i="2"/>
  <c r="F24" i="2"/>
  <c r="P23" i="2"/>
  <c r="O23" i="2"/>
  <c r="N23" i="2"/>
  <c r="M23" i="2"/>
  <c r="L23" i="2"/>
  <c r="K23" i="2"/>
  <c r="J23" i="2"/>
  <c r="I23" i="2"/>
  <c r="N34" i="2" s="1"/>
  <c r="H23" i="2"/>
  <c r="N33" i="2" s="1"/>
  <c r="G23" i="2"/>
  <c r="F23" i="2"/>
  <c r="P22" i="2"/>
  <c r="O22" i="2"/>
  <c r="N22" i="2"/>
  <c r="M22" i="2"/>
  <c r="L22" i="2"/>
  <c r="K22" i="2"/>
  <c r="J22" i="2"/>
  <c r="I22" i="2"/>
  <c r="M34" i="2" s="1"/>
  <c r="H22" i="2"/>
  <c r="M33" i="2" s="1"/>
  <c r="G22" i="2"/>
  <c r="F22" i="2"/>
  <c r="P21" i="2"/>
  <c r="O21" i="2"/>
  <c r="N21" i="2"/>
  <c r="M21" i="2"/>
  <c r="L21" i="2"/>
  <c r="K21" i="2"/>
  <c r="J21" i="2"/>
  <c r="I21" i="2"/>
  <c r="L34" i="2" s="1"/>
  <c r="H21" i="2"/>
  <c r="L33" i="2" s="1"/>
  <c r="G21" i="2"/>
  <c r="F21" i="2"/>
  <c r="P20" i="2"/>
  <c r="O20" i="2"/>
  <c r="N20" i="2"/>
  <c r="M20" i="2"/>
  <c r="L20" i="2"/>
  <c r="K20" i="2"/>
  <c r="J20" i="2"/>
  <c r="I20" i="2"/>
  <c r="K34" i="2" s="1"/>
  <c r="H20" i="2"/>
  <c r="K33" i="2" s="1"/>
  <c r="G20" i="2"/>
  <c r="F20" i="2"/>
  <c r="P19" i="2"/>
  <c r="O19" i="2"/>
  <c r="N19" i="2"/>
  <c r="M19" i="2"/>
  <c r="L19" i="2"/>
  <c r="K19" i="2"/>
  <c r="J19" i="2"/>
  <c r="I19" i="2"/>
  <c r="J34" i="2" s="1"/>
  <c r="H19" i="2"/>
  <c r="J33" i="2" s="1"/>
  <c r="G19" i="2"/>
  <c r="F19" i="2"/>
  <c r="P18" i="2"/>
  <c r="O18" i="2"/>
  <c r="N18" i="2"/>
  <c r="M18" i="2"/>
  <c r="L18" i="2"/>
  <c r="K18" i="2"/>
  <c r="J18" i="2"/>
  <c r="I18" i="2"/>
  <c r="I34" i="2" s="1"/>
  <c r="H18" i="2"/>
  <c r="I33" i="2" s="1"/>
  <c r="G18" i="2"/>
  <c r="F18" i="2"/>
  <c r="BA17" i="2"/>
  <c r="BE17" i="2" s="1"/>
  <c r="AM17" i="2"/>
  <c r="AG17" i="2"/>
  <c r="AG18" i="2" s="1"/>
  <c r="P17" i="2"/>
  <c r="O17" i="2"/>
  <c r="N17" i="2"/>
  <c r="M17" i="2"/>
  <c r="L17" i="2"/>
  <c r="K17" i="2"/>
  <c r="J17" i="2"/>
  <c r="I17" i="2"/>
  <c r="H34" i="2" s="1"/>
  <c r="H17" i="2"/>
  <c r="H33" i="2" s="1"/>
  <c r="G17" i="2"/>
  <c r="F17" i="2"/>
  <c r="O15" i="2"/>
  <c r="N15" i="2"/>
  <c r="M15" i="2"/>
  <c r="L15" i="2"/>
  <c r="AQ14" i="2"/>
  <c r="AL14" i="2"/>
  <c r="AJ14" i="2"/>
  <c r="AQ13" i="2"/>
  <c r="AL13" i="2"/>
  <c r="I13" i="2"/>
  <c r="AQ12" i="2"/>
  <c r="AL12" i="2"/>
  <c r="AQ11" i="2"/>
  <c r="AL11" i="2"/>
  <c r="AQ10" i="2"/>
  <c r="AL10" i="2"/>
  <c r="AQ9" i="2"/>
  <c r="AL9" i="2"/>
  <c r="AQ8" i="2"/>
  <c r="AL8" i="2"/>
  <c r="AJ8" i="2"/>
  <c r="H8" i="2"/>
  <c r="F8" i="2"/>
  <c r="AQ7" i="2"/>
  <c r="AL7" i="2"/>
  <c r="AJ7" i="2"/>
  <c r="E7" i="2"/>
  <c r="BX6" i="2"/>
  <c r="BW6" i="2"/>
  <c r="H119" i="2" s="1"/>
  <c r="AQ6" i="2"/>
  <c r="AL6" i="2"/>
  <c r="H6" i="2"/>
  <c r="F6" i="2"/>
  <c r="AQ5" i="2"/>
  <c r="AL5" i="2"/>
  <c r="AJ5" i="2"/>
  <c r="H5" i="2"/>
  <c r="F5" i="2"/>
  <c r="A60" i="1"/>
  <c r="A57" i="1"/>
  <c r="A56" i="1"/>
  <c r="A55" i="1"/>
  <c r="A54" i="1"/>
  <c r="A53" i="1"/>
  <c r="A52" i="1"/>
  <c r="A51" i="1"/>
  <c r="A50" i="1"/>
  <c r="A49" i="1"/>
  <c r="A48" i="1"/>
  <c r="A47" i="1"/>
  <c r="A46" i="1"/>
  <c r="A42" i="1"/>
  <c r="A41" i="1"/>
  <c r="A40" i="1"/>
  <c r="A39" i="1"/>
  <c r="A38" i="1"/>
  <c r="A37" i="1"/>
  <c r="A36" i="1"/>
  <c r="A35" i="1"/>
  <c r="A34" i="1"/>
  <c r="A33" i="1"/>
  <c r="A32" i="1"/>
  <c r="A31" i="1"/>
  <c r="B11" i="1"/>
  <c r="B10" i="1"/>
  <c r="B9" i="1"/>
  <c r="B8" i="1"/>
  <c r="B7" i="1"/>
  <c r="A6" i="1"/>
  <c r="D3" i="1"/>
  <c r="C3" i="1"/>
  <c r="B3" i="1"/>
  <c r="BW26" i="2"/>
  <c r="BU26" i="2"/>
  <c r="BV25" i="2"/>
  <c r="BV24" i="2"/>
  <c r="BV23" i="2"/>
  <c r="BW22" i="2"/>
  <c r="BU22" i="2"/>
  <c r="BV21" i="2"/>
  <c r="BW20" i="2"/>
  <c r="BU20" i="2"/>
  <c r="BV19" i="2"/>
  <c r="BW18" i="2"/>
  <c r="BU18" i="2"/>
  <c r="BV17" i="2"/>
  <c r="BV26" i="2"/>
  <c r="BW25" i="2"/>
  <c r="BU25" i="2"/>
  <c r="BW24" i="2"/>
  <c r="BU24" i="2"/>
  <c r="BW23" i="2"/>
  <c r="BU23" i="2"/>
  <c r="BV22" i="2"/>
  <c r="BW21" i="2"/>
  <c r="BU21" i="2"/>
  <c r="BV20" i="2"/>
  <c r="BW19" i="2"/>
  <c r="BU19" i="2"/>
  <c r="BV18" i="2"/>
  <c r="BW17" i="2"/>
  <c r="BU17" i="2"/>
  <c r="A61" i="1" l="1"/>
  <c r="AH17" i="2"/>
  <c r="AI17" i="2"/>
  <c r="AJ13" i="2"/>
  <c r="AJ11" i="2"/>
  <c r="AJ9" i="2"/>
  <c r="AJ10" i="2"/>
  <c r="L46" i="2"/>
  <c r="G46" i="2"/>
  <c r="E46" i="2" s="1"/>
  <c r="L48" i="2"/>
  <c r="G48" i="2"/>
  <c r="E48" i="2" s="1"/>
  <c r="L50" i="2"/>
  <c r="G50" i="2"/>
  <c r="E50" i="2" s="1"/>
  <c r="L52" i="2"/>
  <c r="G52" i="2"/>
  <c r="E52" i="2" s="1"/>
  <c r="L54" i="2"/>
  <c r="G54" i="2"/>
  <c r="E54" i="2" s="1"/>
  <c r="L56" i="2"/>
  <c r="G56" i="2"/>
  <c r="E56" i="2" s="1"/>
  <c r="L58" i="2"/>
  <c r="G58" i="2"/>
  <c r="E58" i="2" s="1"/>
  <c r="L60" i="2"/>
  <c r="G60" i="2"/>
  <c r="E60" i="2" s="1"/>
  <c r="L62" i="2"/>
  <c r="G62" i="2"/>
  <c r="E62" i="2" s="1"/>
  <c r="L64" i="2"/>
  <c r="G64" i="2"/>
  <c r="E64" i="2" s="1"/>
  <c r="L66" i="2"/>
  <c r="G66" i="2"/>
  <c r="E66" i="2" s="1"/>
  <c r="L68" i="2"/>
  <c r="G68" i="2"/>
  <c r="E68" i="2" s="1"/>
  <c r="CF143" i="2"/>
  <c r="CD143" i="2"/>
  <c r="BZ143" i="2"/>
  <c r="BX143" i="2"/>
  <c r="BV143" i="2"/>
  <c r="CE143" i="2"/>
  <c r="BY143" i="2"/>
  <c r="CG143" i="2"/>
  <c r="CC143" i="2"/>
  <c r="BW143" i="2"/>
  <c r="E125" i="2"/>
  <c r="H69" i="2"/>
  <c r="H68" i="2"/>
  <c r="H67" i="2"/>
  <c r="H66" i="2"/>
  <c r="M69" i="2"/>
  <c r="J69" i="2"/>
  <c r="M68" i="2"/>
  <c r="J68" i="2"/>
  <c r="M67" i="2"/>
  <c r="J67" i="2"/>
  <c r="M66" i="2"/>
  <c r="J66" i="2"/>
  <c r="H65" i="2"/>
  <c r="H64" i="2"/>
  <c r="H63" i="2"/>
  <c r="H62" i="2"/>
  <c r="H61" i="2"/>
  <c r="H60" i="2"/>
  <c r="H59" i="2"/>
  <c r="H58" i="2"/>
  <c r="H57" i="2"/>
  <c r="H56" i="2"/>
  <c r="H55" i="2"/>
  <c r="H54" i="2"/>
  <c r="H53" i="2"/>
  <c r="H52" i="2"/>
  <c r="H51" i="2"/>
  <c r="H50" i="2"/>
  <c r="H49" i="2"/>
  <c r="H48" i="2"/>
  <c r="H47" i="2"/>
  <c r="H46" i="2"/>
  <c r="H45" i="2"/>
  <c r="M65" i="2"/>
  <c r="J65" i="2"/>
  <c r="M64" i="2"/>
  <c r="J64" i="2"/>
  <c r="M63" i="2"/>
  <c r="J63" i="2"/>
  <c r="M62" i="2"/>
  <c r="J62" i="2"/>
  <c r="M61" i="2"/>
  <c r="J61" i="2"/>
  <c r="M60" i="2"/>
  <c r="J60" i="2"/>
  <c r="M59" i="2"/>
  <c r="J59" i="2"/>
  <c r="M58" i="2"/>
  <c r="J58" i="2"/>
  <c r="M57" i="2"/>
  <c r="J57" i="2"/>
  <c r="M56" i="2"/>
  <c r="J56" i="2"/>
  <c r="M55" i="2"/>
  <c r="J55" i="2"/>
  <c r="M54" i="2"/>
  <c r="J54" i="2"/>
  <c r="M53" i="2"/>
  <c r="J53" i="2"/>
  <c r="M52" i="2"/>
  <c r="J52" i="2"/>
  <c r="M51" i="2"/>
  <c r="J51" i="2"/>
  <c r="M50" i="2"/>
  <c r="J50" i="2"/>
  <c r="M49" i="2"/>
  <c r="J49" i="2"/>
  <c r="M48" i="2"/>
  <c r="J48" i="2"/>
  <c r="M47" i="2"/>
  <c r="J47" i="2"/>
  <c r="M46" i="2"/>
  <c r="J46" i="2"/>
  <c r="M45" i="2"/>
  <c r="J45" i="2"/>
  <c r="BF17" i="2"/>
  <c r="BD17" i="2"/>
  <c r="AN17" i="2"/>
  <c r="AK17" i="2"/>
  <c r="G13" i="2"/>
  <c r="F10" i="2"/>
  <c r="F9" i="2"/>
  <c r="F7" i="2"/>
  <c r="E6" i="2"/>
  <c r="CF145" i="2"/>
  <c r="CD145" i="2"/>
  <c r="BZ145" i="2"/>
  <c r="BX145" i="2"/>
  <c r="BV145" i="2"/>
  <c r="CG145" i="2"/>
  <c r="CC145" i="2"/>
  <c r="BW145" i="2"/>
  <c r="CE145" i="2"/>
  <c r="BY145" i="2"/>
  <c r="G125" i="2"/>
  <c r="O69" i="2"/>
  <c r="O68" i="2"/>
  <c r="O67" i="2"/>
  <c r="O66" i="2"/>
  <c r="O65" i="2"/>
  <c r="O64" i="2"/>
  <c r="O63" i="2"/>
  <c r="O62" i="2"/>
  <c r="O61" i="2"/>
  <c r="O60" i="2"/>
  <c r="O59" i="2"/>
  <c r="O58" i="2"/>
  <c r="O57" i="2"/>
  <c r="O56" i="2"/>
  <c r="O55" i="2"/>
  <c r="O54" i="2"/>
  <c r="O53" i="2"/>
  <c r="O52" i="2"/>
  <c r="O51" i="2"/>
  <c r="O50" i="2"/>
  <c r="O49" i="2"/>
  <c r="O48" i="2"/>
  <c r="O47" i="2"/>
  <c r="O46" i="2"/>
  <c r="O45" i="2"/>
  <c r="BH18" i="2"/>
  <c r="BH17" i="2"/>
  <c r="AP17" i="2"/>
  <c r="H10" i="2"/>
  <c r="I132" i="2" s="1"/>
  <c r="H9" i="2"/>
  <c r="H7" i="2"/>
  <c r="AN202" i="2" s="1"/>
  <c r="M141" i="2"/>
  <c r="M143" i="2" s="1"/>
  <c r="AI130" i="2"/>
  <c r="I130" i="2"/>
  <c r="G130" i="2"/>
  <c r="AK124" i="2"/>
  <c r="BX119" i="2" s="1"/>
  <c r="AH124" i="2"/>
  <c r="P124" i="2"/>
  <c r="CC119" i="2" s="1"/>
  <c r="M124" i="2"/>
  <c r="CE119" i="2" s="1"/>
  <c r="AN132" i="2"/>
  <c r="G131" i="2"/>
  <c r="G129" i="2"/>
  <c r="AL124" i="2"/>
  <c r="BY119" i="2" s="1"/>
  <c r="AF124" i="2"/>
  <c r="BZ119" i="2" s="1"/>
  <c r="G133" i="2"/>
  <c r="J7" i="2" s="1"/>
  <c r="N121" i="2" s="1"/>
  <c r="G132" i="2"/>
  <c r="I131" i="2"/>
  <c r="I129" i="2"/>
  <c r="AI124" i="2"/>
  <c r="BW119" i="2" s="1"/>
  <c r="N124" i="2"/>
  <c r="CD119" i="2" s="1"/>
  <c r="AJ12" i="2"/>
  <c r="AJ6" i="2"/>
  <c r="AG19" i="2"/>
  <c r="AM18" i="2"/>
  <c r="AH18" i="2" s="1"/>
  <c r="AT17" i="2"/>
  <c r="AR17" i="2"/>
  <c r="BA18" i="2"/>
  <c r="BB17" i="2"/>
  <c r="BC17" i="2" s="1"/>
  <c r="AZ17" i="2" s="1"/>
  <c r="Q45" i="2"/>
  <c r="S45" i="2"/>
  <c r="Q46" i="2"/>
  <c r="S46" i="2"/>
  <c r="Q47" i="2"/>
  <c r="S47" i="2"/>
  <c r="Q48" i="2"/>
  <c r="S48" i="2"/>
  <c r="Q49" i="2"/>
  <c r="S49" i="2"/>
  <c r="Q50" i="2"/>
  <c r="S50" i="2"/>
  <c r="Q51" i="2"/>
  <c r="S51" i="2"/>
  <c r="Q52" i="2"/>
  <c r="S52" i="2"/>
  <c r="Q53" i="2"/>
  <c r="S53" i="2"/>
  <c r="Q54" i="2"/>
  <c r="S54" i="2"/>
  <c r="Q55" i="2"/>
  <c r="S55" i="2"/>
  <c r="Q56" i="2"/>
  <c r="S56" i="2"/>
  <c r="Q57" i="2"/>
  <c r="S57" i="2"/>
  <c r="Q58" i="2"/>
  <c r="S58" i="2"/>
  <c r="Q59" i="2"/>
  <c r="S59" i="2"/>
  <c r="Q60" i="2"/>
  <c r="S60" i="2"/>
  <c r="Q61" i="2"/>
  <c r="S61" i="2"/>
  <c r="Q62" i="2"/>
  <c r="S62" i="2"/>
  <c r="Q63" i="2"/>
  <c r="S63" i="2"/>
  <c r="Q64" i="2"/>
  <c r="S64" i="2"/>
  <c r="Q65" i="2"/>
  <c r="S65" i="2"/>
  <c r="Q66" i="2"/>
  <c r="S66" i="2"/>
  <c r="Q67" i="2"/>
  <c r="S67" i="2"/>
  <c r="Q68" i="2"/>
  <c r="S68" i="2"/>
  <c r="Q69" i="2"/>
  <c r="S69" i="2"/>
  <c r="H141" i="2"/>
  <c r="K141" i="2" s="1"/>
  <c r="F141" i="2"/>
  <c r="I141" i="2" s="1"/>
  <c r="G5" i="2" s="1"/>
  <c r="P45" i="2" s="1"/>
  <c r="I133" i="2" l="1"/>
  <c r="N5" i="2" s="1"/>
  <c r="P119" i="2" s="1"/>
  <c r="N141" i="2"/>
  <c r="N143" i="2" s="1"/>
  <c r="F37" i="2" s="1"/>
  <c r="H14" i="2"/>
  <c r="AP18" i="2"/>
  <c r="F14" i="2"/>
  <c r="BE18" i="2"/>
  <c r="AK18" i="2"/>
  <c r="BD18" i="2"/>
  <c r="P68" i="2"/>
  <c r="P66" i="2"/>
  <c r="P64" i="2"/>
  <c r="P62" i="2"/>
  <c r="P60" i="2"/>
  <c r="P58" i="2"/>
  <c r="P56" i="2"/>
  <c r="P54" i="2"/>
  <c r="P52" i="2"/>
  <c r="P50" i="2"/>
  <c r="P48" i="2"/>
  <c r="P46" i="2"/>
  <c r="P69" i="2"/>
  <c r="P67" i="2"/>
  <c r="P65" i="2"/>
  <c r="P63" i="2"/>
  <c r="P61" i="2"/>
  <c r="P59" i="2"/>
  <c r="P57" i="2"/>
  <c r="P55" i="2"/>
  <c r="P53" i="2"/>
  <c r="P51" i="2"/>
  <c r="P49" i="2"/>
  <c r="P47" i="2"/>
  <c r="AI18" i="2"/>
  <c r="AN18" i="2"/>
  <c r="BF18" i="2"/>
  <c r="BG17" i="2"/>
  <c r="AO17" i="2"/>
  <c r="G14" i="2"/>
  <c r="H13" i="2"/>
  <c r="G10" i="2"/>
  <c r="H132" i="2" s="1"/>
  <c r="G7" i="2"/>
  <c r="F13" i="2"/>
  <c r="Q45" i="1" s="1"/>
  <c r="T45" i="1" s="1"/>
  <c r="G9" i="2"/>
  <c r="H131" i="2" s="1"/>
  <c r="BK17" i="2"/>
  <c r="BI17" i="2"/>
  <c r="AL130" i="2"/>
  <c r="N13" i="2"/>
  <c r="AE17" i="2"/>
  <c r="AQ17" i="2"/>
  <c r="A62" i="1"/>
  <c r="CF144" i="2"/>
  <c r="CD144" i="2"/>
  <c r="BZ144" i="2"/>
  <c r="BX144" i="2"/>
  <c r="BV144" i="2"/>
  <c r="CE144" i="2"/>
  <c r="BY144" i="2"/>
  <c r="F125" i="2"/>
  <c r="CG144" i="2"/>
  <c r="CC144" i="2"/>
  <c r="BW144" i="2"/>
  <c r="N69" i="2"/>
  <c r="N68" i="2"/>
  <c r="N67" i="2"/>
  <c r="N66" i="2"/>
  <c r="N65" i="2"/>
  <c r="N64" i="2"/>
  <c r="N63" i="2"/>
  <c r="N62" i="2"/>
  <c r="N61" i="2"/>
  <c r="N60" i="2"/>
  <c r="N59" i="2"/>
  <c r="N58" i="2"/>
  <c r="N57" i="2"/>
  <c r="N56" i="2"/>
  <c r="N55" i="2"/>
  <c r="N54" i="2"/>
  <c r="N53" i="2"/>
  <c r="N52" i="2"/>
  <c r="N51" i="2"/>
  <c r="N50" i="2"/>
  <c r="N49" i="2"/>
  <c r="N48" i="2"/>
  <c r="N47" i="2"/>
  <c r="N46" i="2"/>
  <c r="N45" i="2"/>
  <c r="AO19" i="2"/>
  <c r="BG18" i="2"/>
  <c r="AO18" i="2"/>
  <c r="G8" i="2"/>
  <c r="H130" i="2" s="1"/>
  <c r="G6" i="2"/>
  <c r="AO215" i="2"/>
  <c r="AO213" i="2"/>
  <c r="AO211" i="2"/>
  <c r="AO209" i="2"/>
  <c r="AO207" i="2"/>
  <c r="AO206" i="2"/>
  <c r="AO204" i="2"/>
  <c r="AO214" i="2"/>
  <c r="AO210" i="2"/>
  <c r="BA19" i="2"/>
  <c r="BB18" i="2"/>
  <c r="BC18" i="2" s="1"/>
  <c r="AT18" i="2"/>
  <c r="AR18" i="2"/>
  <c r="AS18" i="2"/>
  <c r="AE18" i="2"/>
  <c r="AM19" i="2"/>
  <c r="AG20" i="2"/>
  <c r="L130" i="2"/>
  <c r="L5" i="2"/>
  <c r="AK132" i="2"/>
  <c r="AN128" i="2"/>
  <c r="AH128" i="2"/>
  <c r="AK126" i="2"/>
  <c r="P126" i="2"/>
  <c r="L135" i="2"/>
  <c r="AK130" i="2"/>
  <c r="P13" i="2" s="1"/>
  <c r="AF13" i="2" s="1"/>
  <c r="AK128" i="2"/>
  <c r="P128" i="2"/>
  <c r="AH126" i="2"/>
  <c r="M126" i="2"/>
  <c r="AL128" i="2"/>
  <c r="AL132" i="2"/>
  <c r="M131" i="2"/>
  <c r="N6" i="2"/>
  <c r="AH6" i="2" s="1"/>
  <c r="CM137" i="2" s="1"/>
  <c r="CG153" i="2"/>
  <c r="CE153" i="2"/>
  <c r="CC153" i="2"/>
  <c r="BY153" i="2"/>
  <c r="BW153" i="2"/>
  <c r="CG152" i="2"/>
  <c r="CE152" i="2"/>
  <c r="CC152" i="2"/>
  <c r="BY152" i="2"/>
  <c r="BW152" i="2"/>
  <c r="CF142" i="2"/>
  <c r="CD142" i="2"/>
  <c r="BZ142" i="2"/>
  <c r="BX142" i="2"/>
  <c r="BV142" i="2"/>
  <c r="CF141" i="2"/>
  <c r="CD141" i="2"/>
  <c r="BZ141" i="2"/>
  <c r="BX141" i="2"/>
  <c r="BV141" i="2"/>
  <c r="CF153" i="2"/>
  <c r="BZ153" i="2"/>
  <c r="BV153" i="2"/>
  <c r="CF152" i="2"/>
  <c r="BZ152" i="2"/>
  <c r="BV152" i="2"/>
  <c r="CG142" i="2"/>
  <c r="CC142" i="2"/>
  <c r="BW142" i="2"/>
  <c r="CG141" i="2"/>
  <c r="CC141" i="2"/>
  <c r="BW141" i="2"/>
  <c r="CD153" i="2"/>
  <c r="BX153" i="2"/>
  <c r="CD152" i="2"/>
  <c r="BX152" i="2"/>
  <c r="CE142" i="2"/>
  <c r="BY142" i="2"/>
  <c r="CE141" i="2"/>
  <c r="BY141" i="2"/>
  <c r="AF18" i="2"/>
  <c r="AF19" i="2"/>
  <c r="AF17" i="2"/>
  <c r="H11" i="2"/>
  <c r="E8" i="2"/>
  <c r="AL202" i="2"/>
  <c r="CG149" i="2"/>
  <c r="CE149" i="2"/>
  <c r="CC149" i="2"/>
  <c r="BY149" i="2"/>
  <c r="BW149" i="2"/>
  <c r="CF148" i="2"/>
  <c r="CD148" i="2"/>
  <c r="BZ148" i="2"/>
  <c r="BX148" i="2"/>
  <c r="BV148" i="2"/>
  <c r="CG138" i="2"/>
  <c r="CE138" i="2"/>
  <c r="CC138" i="2"/>
  <c r="BY138" i="2"/>
  <c r="BW138" i="2"/>
  <c r="CG137" i="2"/>
  <c r="CE137" i="2"/>
  <c r="CC137" i="2"/>
  <c r="BY137" i="2"/>
  <c r="BW137" i="2"/>
  <c r="CD149" i="2"/>
  <c r="BX149" i="2"/>
  <c r="CG148" i="2"/>
  <c r="CC148" i="2"/>
  <c r="BW148" i="2"/>
  <c r="CF138" i="2"/>
  <c r="BZ138" i="2"/>
  <c r="BV138" i="2"/>
  <c r="CD137" i="2"/>
  <c r="BX137" i="2"/>
  <c r="CF149" i="2"/>
  <c r="BZ149" i="2"/>
  <c r="BV149" i="2"/>
  <c r="CE148" i="2"/>
  <c r="BY148" i="2"/>
  <c r="CD138" i="2"/>
  <c r="BX138" i="2"/>
  <c r="CF137" i="2"/>
  <c r="BZ137" i="2"/>
  <c r="BV137" i="2"/>
  <c r="CM139" i="2" l="1"/>
  <c r="CM138" i="2"/>
  <c r="P11" i="2"/>
  <c r="P15" i="2"/>
  <c r="AH19" i="2"/>
  <c r="AK19" i="2"/>
  <c r="AP19" i="2"/>
  <c r="AI19" i="2"/>
  <c r="AN19" i="2"/>
  <c r="BE19" i="2"/>
  <c r="BD19" i="2"/>
  <c r="BF19" i="2"/>
  <c r="BH19" i="2"/>
  <c r="H129" i="2"/>
  <c r="BT24" i="2"/>
  <c r="BX24" i="2" s="1"/>
  <c r="BT21" i="2"/>
  <c r="BX21" i="2" s="1"/>
  <c r="BT17" i="2"/>
  <c r="BX17" i="2" s="1"/>
  <c r="BT22" i="2"/>
  <c r="BX22" i="2" s="1"/>
  <c r="BT18" i="2"/>
  <c r="BX18" i="2" s="1"/>
  <c r="BJ17" i="2"/>
  <c r="R45" i="2"/>
  <c r="R49" i="2"/>
  <c r="R53" i="2"/>
  <c r="R57" i="2"/>
  <c r="R61" i="2"/>
  <c r="R65" i="2"/>
  <c r="R46" i="2"/>
  <c r="R50" i="2"/>
  <c r="R54" i="2"/>
  <c r="R58" i="2"/>
  <c r="R62" i="2"/>
  <c r="R67" i="2"/>
  <c r="R68" i="2"/>
  <c r="R48" i="2"/>
  <c r="R52" i="2"/>
  <c r="R56" i="2"/>
  <c r="R60" i="2"/>
  <c r="R64" i="2"/>
  <c r="R69" i="2"/>
  <c r="R66" i="2"/>
  <c r="BT25" i="2"/>
  <c r="BX25" i="2" s="1"/>
  <c r="BT23" i="2"/>
  <c r="BX23" i="2" s="1"/>
  <c r="BZ20" i="2" s="1"/>
  <c r="BT19" i="2"/>
  <c r="BX19" i="2" s="1"/>
  <c r="BT26" i="2"/>
  <c r="BX26" i="2" s="1"/>
  <c r="BT20" i="2"/>
  <c r="BX20" i="2" s="1"/>
  <c r="R47" i="2"/>
  <c r="R51" i="2"/>
  <c r="R55" i="2"/>
  <c r="R59" i="2"/>
  <c r="R63" i="2"/>
  <c r="BG19" i="2"/>
  <c r="AM202" i="2"/>
  <c r="H133" i="2"/>
  <c r="N7" i="2" s="1"/>
  <c r="P121" i="2" s="1"/>
  <c r="R45" i="1"/>
  <c r="U45" i="1" s="1"/>
  <c r="M47" i="1"/>
  <c r="P47" i="1" s="1"/>
  <c r="Q56" i="1"/>
  <c r="T56" i="1" s="1"/>
  <c r="L55" i="1"/>
  <c r="O55" i="1" s="1"/>
  <c r="K54" i="1"/>
  <c r="N54" i="1" s="1"/>
  <c r="Q52" i="1"/>
  <c r="T52" i="1" s="1"/>
  <c r="M50" i="1"/>
  <c r="P50" i="1" s="1"/>
  <c r="M54" i="1"/>
  <c r="P54" i="1" s="1"/>
  <c r="K52" i="1"/>
  <c r="N52" i="1" s="1"/>
  <c r="Q50" i="1"/>
  <c r="T50" i="1" s="1"/>
  <c r="L49" i="1"/>
  <c r="O49" i="1" s="1"/>
  <c r="K48" i="1"/>
  <c r="N48" i="1" s="1"/>
  <c r="M57" i="1"/>
  <c r="P57" i="1" s="1"/>
  <c r="L56" i="1"/>
  <c r="O56" i="1" s="1"/>
  <c r="M55" i="1"/>
  <c r="P55" i="1" s="1"/>
  <c r="L54" i="1"/>
  <c r="O54" i="1" s="1"/>
  <c r="M53" i="1"/>
  <c r="P53" i="1" s="1"/>
  <c r="L52" i="1"/>
  <c r="O52" i="1" s="1"/>
  <c r="M51" i="1"/>
  <c r="P51" i="1" s="1"/>
  <c r="L50" i="1"/>
  <c r="O50" i="1" s="1"/>
  <c r="M49" i="1"/>
  <c r="P49" i="1" s="1"/>
  <c r="L48" i="1"/>
  <c r="O48" i="1" s="1"/>
  <c r="R53" i="1"/>
  <c r="U53" i="1" s="1"/>
  <c r="S52" i="1"/>
  <c r="V52" i="1" s="1"/>
  <c r="L47" i="1"/>
  <c r="O47" i="1" s="1"/>
  <c r="Q46" i="1"/>
  <c r="T46" i="1" s="1"/>
  <c r="R46" i="1"/>
  <c r="U46" i="1" s="1"/>
  <c r="K57" i="1"/>
  <c r="N57" i="1" s="1"/>
  <c r="K55" i="1"/>
  <c r="N55" i="1" s="1"/>
  <c r="K53" i="1"/>
  <c r="N53" i="1" s="1"/>
  <c r="K51" i="1"/>
  <c r="N51" i="1" s="1"/>
  <c r="K49" i="1"/>
  <c r="N49" i="1" s="1"/>
  <c r="R51" i="1"/>
  <c r="U51" i="1" s="1"/>
  <c r="S54" i="1"/>
  <c r="V54" i="1" s="1"/>
  <c r="S47" i="1"/>
  <c r="V47" i="1" s="1"/>
  <c r="S46" i="1"/>
  <c r="V46" i="1" s="1"/>
  <c r="M45" i="1"/>
  <c r="P45" i="1" s="1"/>
  <c r="K45" i="1"/>
  <c r="N45" i="1" s="1"/>
  <c r="AS17" i="2"/>
  <c r="L45" i="1"/>
  <c r="O45" i="1" s="1"/>
  <c r="S45" i="1"/>
  <c r="V45" i="1" s="1"/>
  <c r="K47" i="1"/>
  <c r="N47" i="1" s="1"/>
  <c r="Q47" i="1"/>
  <c r="T47" i="1" s="1"/>
  <c r="G11" i="2"/>
  <c r="L57" i="1"/>
  <c r="O57" i="1" s="1"/>
  <c r="K56" i="1"/>
  <c r="N56" i="1" s="1"/>
  <c r="Q54" i="1"/>
  <c r="T54" i="1" s="1"/>
  <c r="L53" i="1"/>
  <c r="O53" i="1" s="1"/>
  <c r="M56" i="1"/>
  <c r="P56" i="1" s="1"/>
  <c r="M52" i="1"/>
  <c r="P52" i="1" s="1"/>
  <c r="L51" i="1"/>
  <c r="O51" i="1" s="1"/>
  <c r="K50" i="1"/>
  <c r="N50" i="1" s="1"/>
  <c r="Q48" i="1"/>
  <c r="T48" i="1" s="1"/>
  <c r="S57" i="1"/>
  <c r="V57" i="1" s="1"/>
  <c r="S55" i="1"/>
  <c r="V55" i="1" s="1"/>
  <c r="S53" i="1"/>
  <c r="V53" i="1" s="1"/>
  <c r="S51" i="1"/>
  <c r="V51" i="1" s="1"/>
  <c r="S49" i="1"/>
  <c r="V49" i="1" s="1"/>
  <c r="R57" i="1"/>
  <c r="U57" i="1" s="1"/>
  <c r="R49" i="1"/>
  <c r="U49" i="1" s="1"/>
  <c r="S56" i="1"/>
  <c r="V56" i="1" s="1"/>
  <c r="S48" i="1"/>
  <c r="V48" i="1" s="1"/>
  <c r="R47" i="1"/>
  <c r="U47" i="1" s="1"/>
  <c r="K46" i="1"/>
  <c r="N46" i="1" s="1"/>
  <c r="M48" i="1"/>
  <c r="P48" i="1" s="1"/>
  <c r="Q57" i="1"/>
  <c r="T57" i="1" s="1"/>
  <c r="R56" i="1"/>
  <c r="U56" i="1" s="1"/>
  <c r="Q55" i="1"/>
  <c r="T55" i="1" s="1"/>
  <c r="R54" i="1"/>
  <c r="U54" i="1" s="1"/>
  <c r="Q53" i="1"/>
  <c r="T53" i="1" s="1"/>
  <c r="R52" i="1"/>
  <c r="U52" i="1" s="1"/>
  <c r="Q51" i="1"/>
  <c r="T51" i="1" s="1"/>
  <c r="R50" i="1"/>
  <c r="U50" i="1" s="1"/>
  <c r="Q49" i="1"/>
  <c r="T49" i="1" s="1"/>
  <c r="R48" i="1"/>
  <c r="U48" i="1" s="1"/>
  <c r="R55" i="1"/>
  <c r="U55" i="1" s="1"/>
  <c r="L46" i="1"/>
  <c r="O46" i="1" s="1"/>
  <c r="S50" i="1"/>
  <c r="V50" i="1" s="1"/>
  <c r="M46" i="1"/>
  <c r="P46" i="1" s="1"/>
  <c r="AO132" i="2"/>
  <c r="AF15" i="2"/>
  <c r="BU119" i="2"/>
  <c r="AQ119" i="2"/>
  <c r="AP119" i="2"/>
  <c r="BT119" i="2"/>
  <c r="BQ119" i="2"/>
  <c r="A63" i="1"/>
  <c r="L131" i="2"/>
  <c r="L6" i="2"/>
  <c r="K131" i="2"/>
  <c r="J6" i="2"/>
  <c r="AF6" i="2" s="1"/>
  <c r="CK137" i="2" s="1"/>
  <c r="T42" i="2"/>
  <c r="AU17" i="2" s="1"/>
  <c r="E11" i="2"/>
  <c r="P120" i="2"/>
  <c r="CM143" i="2" s="1"/>
  <c r="G30" i="2"/>
  <c r="CJ127" i="2"/>
  <c r="BX127" i="2"/>
  <c r="CC127" i="2"/>
  <c r="CO127" i="2"/>
  <c r="CF127" i="2"/>
  <c r="BT127" i="2"/>
  <c r="AO128" i="2"/>
  <c r="AH11" i="2" s="1"/>
  <c r="AF11" i="2"/>
  <c r="AI128" i="2"/>
  <c r="N11" i="2" s="1"/>
  <c r="O11" i="2" s="1"/>
  <c r="AO119" i="2"/>
  <c r="O119" i="2"/>
  <c r="CO143" i="2" s="1"/>
  <c r="G32" i="2"/>
  <c r="AG5" i="2"/>
  <c r="L134" i="2"/>
  <c r="BW126" i="2"/>
  <c r="BZ126" i="2"/>
  <c r="BQ126" i="2"/>
  <c r="AG21" i="2"/>
  <c r="AM20" i="2"/>
  <c r="AS19" i="2"/>
  <c r="AE19" i="2"/>
  <c r="AT19" i="2"/>
  <c r="AR19" i="2"/>
  <c r="AQ18" i="2"/>
  <c r="BJ18" i="2"/>
  <c r="AZ18" i="2"/>
  <c r="BK18" i="2"/>
  <c r="BI18" i="2"/>
  <c r="BA20" i="2"/>
  <c r="BB19" i="2"/>
  <c r="BC19" i="2" s="1"/>
  <c r="CG151" i="2"/>
  <c r="CE151" i="2"/>
  <c r="CC151" i="2"/>
  <c r="BY151" i="2"/>
  <c r="BW151" i="2"/>
  <c r="CG150" i="2"/>
  <c r="CG154" i="2" s="1"/>
  <c r="CE150" i="2"/>
  <c r="CE154" i="2" s="1"/>
  <c r="CC150" i="2"/>
  <c r="CC154" i="2" s="1"/>
  <c r="BY150" i="2"/>
  <c r="BY154" i="2" s="1"/>
  <c r="BW150" i="2"/>
  <c r="BW154" i="2" s="1"/>
  <c r="CG140" i="2"/>
  <c r="CE140" i="2"/>
  <c r="CC140" i="2"/>
  <c r="BY140" i="2"/>
  <c r="BW140" i="2"/>
  <c r="CG139" i="2"/>
  <c r="CG146" i="2" s="1"/>
  <c r="CE139" i="2"/>
  <c r="CE146" i="2" s="1"/>
  <c r="CC139" i="2"/>
  <c r="CC146" i="2" s="1"/>
  <c r="BY139" i="2"/>
  <c r="BY146" i="2" s="1"/>
  <c r="BW139" i="2"/>
  <c r="BW146" i="2" s="1"/>
  <c r="CF151" i="2"/>
  <c r="BZ151" i="2"/>
  <c r="BV151" i="2"/>
  <c r="CD150" i="2"/>
  <c r="CD154" i="2" s="1"/>
  <c r="BX150" i="2"/>
  <c r="BX154" i="2" s="1"/>
  <c r="CF140" i="2"/>
  <c r="BZ140" i="2"/>
  <c r="BV140" i="2"/>
  <c r="CF139" i="2"/>
  <c r="CF146" i="2" s="1"/>
  <c r="BZ139" i="2"/>
  <c r="BZ146" i="2" s="1"/>
  <c r="BV139" i="2"/>
  <c r="BV146" i="2" s="1"/>
  <c r="CD151" i="2"/>
  <c r="BX151" i="2"/>
  <c r="CF150" i="2"/>
  <c r="CF154" i="2" s="1"/>
  <c r="BZ150" i="2"/>
  <c r="BZ154" i="2" s="1"/>
  <c r="O13" i="2" s="1"/>
  <c r="BV150" i="2"/>
  <c r="BV154" i="2" s="1"/>
  <c r="CD140" i="2"/>
  <c r="BX140" i="2"/>
  <c r="CD139" i="2"/>
  <c r="CD146" i="2" s="1"/>
  <c r="BX139" i="2"/>
  <c r="BX146" i="2" s="1"/>
  <c r="BV157" i="2" l="1"/>
  <c r="BV156" i="2"/>
  <c r="BV155" i="2" s="1"/>
  <c r="AK5" i="2"/>
  <c r="CF157" i="2"/>
  <c r="CF156" i="2"/>
  <c r="CF155" i="2" s="1"/>
  <c r="AK13" i="2"/>
  <c r="P146" i="2" s="1"/>
  <c r="BY157" i="2"/>
  <c r="BY156" i="2"/>
  <c r="BY155" i="2" s="1"/>
  <c r="AK8" i="2"/>
  <c r="P141" i="2" s="1"/>
  <c r="CE157" i="2"/>
  <c r="CE156" i="2"/>
  <c r="CE155" i="2" s="1"/>
  <c r="AK12" i="2"/>
  <c r="P145" i="2" s="1"/>
  <c r="BX157" i="2"/>
  <c r="AK7" i="2"/>
  <c r="P140" i="2" s="1"/>
  <c r="BX156" i="2"/>
  <c r="BX155" i="2" s="1"/>
  <c r="BZ157" i="2"/>
  <c r="BZ156" i="2"/>
  <c r="BZ155" i="2" s="1"/>
  <c r="AK9" i="2"/>
  <c r="P142" i="2" s="1"/>
  <c r="BW157" i="2"/>
  <c r="BW156" i="2"/>
  <c r="BW155" i="2" s="1"/>
  <c r="AK6" i="2"/>
  <c r="P139" i="2" s="1"/>
  <c r="CC157" i="2"/>
  <c r="CC156" i="2"/>
  <c r="CC155" i="2" s="1"/>
  <c r="AK10" i="2"/>
  <c r="P143" i="2" s="1"/>
  <c r="CG157" i="2"/>
  <c r="CG156" i="2"/>
  <c r="CG155" i="2" s="1"/>
  <c r="AK14" i="2"/>
  <c r="P147" i="2" s="1"/>
  <c r="CD157" i="2"/>
  <c r="AK11" i="2"/>
  <c r="P144" i="2" s="1"/>
  <c r="CD156" i="2"/>
  <c r="CD155" i="2" s="1"/>
  <c r="BF20" i="2"/>
  <c r="BH20" i="2"/>
  <c r="BD20" i="2"/>
  <c r="BE20" i="2"/>
  <c r="BG20" i="2"/>
  <c r="AH20" i="2"/>
  <c r="AN20" i="2"/>
  <c r="AI20" i="2"/>
  <c r="AK20" i="2"/>
  <c r="AP20" i="2"/>
  <c r="AO20" i="2"/>
  <c r="AF20" i="2"/>
  <c r="CN127" i="2"/>
  <c r="BZ127" i="2"/>
  <c r="BW127" i="2"/>
  <c r="CE127" i="2"/>
  <c r="CF129" i="2" s="1"/>
  <c r="BQ127" i="2"/>
  <c r="BQ129" i="2" s="1"/>
  <c r="CI127" i="2"/>
  <c r="CJ129" i="2" s="1"/>
  <c r="BZ19" i="2"/>
  <c r="L7" i="2"/>
  <c r="L132" i="2"/>
  <c r="AG11" i="2"/>
  <c r="CO129" i="2"/>
  <c r="CK139" i="2"/>
  <c r="CK138" i="2"/>
  <c r="G29" i="2"/>
  <c r="O120" i="2"/>
  <c r="CL143" i="2" s="1"/>
  <c r="AG6" i="2"/>
  <c r="CL137" i="2" s="1"/>
  <c r="AH15" i="2"/>
  <c r="AG15" i="2"/>
  <c r="BZ18" i="2"/>
  <c r="BZ21" i="2"/>
  <c r="BX27" i="2"/>
  <c r="BZ17" i="2"/>
  <c r="AQ15" i="2"/>
  <c r="A64" i="1"/>
  <c r="BK19" i="2"/>
  <c r="BI19" i="2"/>
  <c r="BJ19" i="2"/>
  <c r="AZ19" i="2"/>
  <c r="BA21" i="2"/>
  <c r="BB20" i="2"/>
  <c r="BC20" i="2" s="1"/>
  <c r="AT20" i="2"/>
  <c r="AR20" i="2"/>
  <c r="AQ19" i="2"/>
  <c r="AS20" i="2"/>
  <c r="AE20" i="2"/>
  <c r="AM21" i="2"/>
  <c r="AG22" i="2"/>
  <c r="CO137" i="2"/>
  <c r="AF128" i="2"/>
  <c r="AI126" i="2"/>
  <c r="N9" i="2" s="1"/>
  <c r="T69" i="2"/>
  <c r="T68" i="2"/>
  <c r="T67" i="2"/>
  <c r="T66" i="2"/>
  <c r="U69" i="2"/>
  <c r="V69" i="2" s="1"/>
  <c r="U68" i="2"/>
  <c r="V68" i="2" s="1"/>
  <c r="U67" i="2"/>
  <c r="U66" i="2"/>
  <c r="T65" i="2"/>
  <c r="T64" i="2"/>
  <c r="T63" i="2"/>
  <c r="T62" i="2"/>
  <c r="T61" i="2"/>
  <c r="T60" i="2"/>
  <c r="T59" i="2"/>
  <c r="T58" i="2"/>
  <c r="T57" i="2"/>
  <c r="T56" i="2"/>
  <c r="T55" i="2"/>
  <c r="T54" i="2"/>
  <c r="T53" i="2"/>
  <c r="T52" i="2"/>
  <c r="T51" i="2"/>
  <c r="T50" i="2"/>
  <c r="T49" i="2"/>
  <c r="T48" i="2"/>
  <c r="T47" i="2"/>
  <c r="T46" i="2"/>
  <c r="T45" i="2"/>
  <c r="U42" i="2"/>
  <c r="U65" i="2"/>
  <c r="U64" i="2"/>
  <c r="U63" i="2"/>
  <c r="U62" i="2"/>
  <c r="U61" i="2"/>
  <c r="U60" i="2"/>
  <c r="U59" i="2"/>
  <c r="U58" i="2"/>
  <c r="U57" i="2"/>
  <c r="U56" i="2"/>
  <c r="U55" i="2"/>
  <c r="U54" i="2"/>
  <c r="V54" i="2" s="1"/>
  <c r="U53" i="2"/>
  <c r="V53" i="2" s="1"/>
  <c r="U52" i="2"/>
  <c r="V52" i="2" s="1"/>
  <c r="U51" i="2"/>
  <c r="V51" i="2" s="1"/>
  <c r="U50" i="2"/>
  <c r="V50" i="2" s="1"/>
  <c r="U49" i="2"/>
  <c r="V49" i="2" s="1"/>
  <c r="U48" i="2"/>
  <c r="V48" i="2" s="1"/>
  <c r="U47" i="2"/>
  <c r="V47" i="2" s="1"/>
  <c r="U46" i="2"/>
  <c r="V46" i="2" s="1"/>
  <c r="U45" i="2"/>
  <c r="V45" i="2" s="1"/>
  <c r="V42" i="2"/>
  <c r="AV20" i="2"/>
  <c r="AW20" i="2" s="1"/>
  <c r="BM19" i="2"/>
  <c r="BN19" i="2" s="1"/>
  <c r="AU19" i="2"/>
  <c r="BL18" i="2"/>
  <c r="AV18" i="2"/>
  <c r="AW18" i="2" s="1"/>
  <c r="BM17" i="2"/>
  <c r="BN17" i="2" s="1"/>
  <c r="AU20" i="2"/>
  <c r="BL19" i="2"/>
  <c r="AV19" i="2"/>
  <c r="AW19" i="2" s="1"/>
  <c r="BM18" i="2"/>
  <c r="BN18" i="2" s="1"/>
  <c r="AU18" i="2"/>
  <c r="BL17" i="2"/>
  <c r="AV17" i="2"/>
  <c r="AW17" i="2" s="1"/>
  <c r="N120" i="2"/>
  <c r="CK143" i="2" s="1"/>
  <c r="G28" i="2"/>
  <c r="BV127" i="2"/>
  <c r="AQ127" i="2"/>
  <c r="BY127" i="2"/>
  <c r="V55" i="2" l="1"/>
  <c r="C45" i="1" s="1"/>
  <c r="B45" i="1"/>
  <c r="V57" i="2"/>
  <c r="C47" i="1" s="1"/>
  <c r="B47" i="1"/>
  <c r="V59" i="2"/>
  <c r="C49" i="1" s="1"/>
  <c r="B49" i="1"/>
  <c r="V61" i="2"/>
  <c r="C51" i="1" s="1"/>
  <c r="B51" i="1"/>
  <c r="V63" i="2"/>
  <c r="C53" i="1" s="1"/>
  <c r="B53" i="1"/>
  <c r="V65" i="2"/>
  <c r="C55" i="1" s="1"/>
  <c r="B55" i="1"/>
  <c r="V66" i="2"/>
  <c r="C56" i="1" s="1"/>
  <c r="B56" i="1"/>
  <c r="BE21" i="2"/>
  <c r="BD21" i="2"/>
  <c r="BF21" i="2"/>
  <c r="BH21" i="2"/>
  <c r="BG21" i="2"/>
  <c r="CB18" i="2"/>
  <c r="CL139" i="2"/>
  <c r="CL138" i="2"/>
  <c r="G31" i="2"/>
  <c r="O121" i="2"/>
  <c r="CN143" i="2" s="1"/>
  <c r="AG7" i="2"/>
  <c r="CB20" i="2"/>
  <c r="P205" i="2"/>
  <c r="P186" i="2"/>
  <c r="AF214" i="2"/>
  <c r="P165" i="2"/>
  <c r="P156" i="2"/>
  <c r="P214" i="2"/>
  <c r="AF165" i="2"/>
  <c r="AF156" i="2"/>
  <c r="P206" i="2"/>
  <c r="AF206" i="2" s="1"/>
  <c r="P187" i="2"/>
  <c r="P178" i="2"/>
  <c r="AF155" i="2"/>
  <c r="P155" i="2"/>
  <c r="P227" i="2"/>
  <c r="P166" i="2"/>
  <c r="AF178" i="2"/>
  <c r="AF227" i="2"/>
  <c r="P185" i="2"/>
  <c r="P204" i="2"/>
  <c r="AF204" i="2" s="1"/>
  <c r="P175" i="2"/>
  <c r="AF224" i="2"/>
  <c r="P152" i="2"/>
  <c r="P224" i="2"/>
  <c r="AF152" i="2"/>
  <c r="AF175" i="2"/>
  <c r="P188" i="2"/>
  <c r="P207" i="2"/>
  <c r="AF207" i="2" s="1"/>
  <c r="AF217" i="2"/>
  <c r="P168" i="2"/>
  <c r="AF168" i="2"/>
  <c r="P217" i="2"/>
  <c r="P159" i="2"/>
  <c r="AF159" i="2"/>
  <c r="P210" i="2"/>
  <c r="AF210" i="2" s="1"/>
  <c r="AF218" i="2"/>
  <c r="P181" i="2"/>
  <c r="P161" i="2"/>
  <c r="AF169" i="2"/>
  <c r="P218" i="2"/>
  <c r="P169" i="2"/>
  <c r="AF161" i="2"/>
  <c r="CH155" i="2"/>
  <c r="A14" i="1"/>
  <c r="W43" i="2"/>
  <c r="V56" i="2"/>
  <c r="C46" i="1" s="1"/>
  <c r="B46" i="1"/>
  <c r="V58" i="2"/>
  <c r="C48" i="1" s="1"/>
  <c r="B48" i="1"/>
  <c r="V60" i="2"/>
  <c r="C50" i="1" s="1"/>
  <c r="B50" i="1"/>
  <c r="V62" i="2"/>
  <c r="C52" i="1" s="1"/>
  <c r="B52" i="1"/>
  <c r="V64" i="2"/>
  <c r="C54" i="1" s="1"/>
  <c r="B54" i="1"/>
  <c r="V67" i="2"/>
  <c r="C57" i="1" s="1"/>
  <c r="B57" i="1"/>
  <c r="AF126" i="2"/>
  <c r="L9" i="2" s="1"/>
  <c r="L11" i="2"/>
  <c r="M11" i="2" s="1"/>
  <c r="AK136" i="2"/>
  <c r="AI136" i="2"/>
  <c r="AH136" i="2"/>
  <c r="AH21" i="2"/>
  <c r="AK21" i="2"/>
  <c r="AP21" i="2"/>
  <c r="AI21" i="2"/>
  <c r="AN21" i="2"/>
  <c r="AO21" i="2"/>
  <c r="AF21" i="2"/>
  <c r="BZ22" i="2"/>
  <c r="CB17" i="2"/>
  <c r="CA17" i="2"/>
  <c r="CB21" i="2"/>
  <c r="CA21" i="2"/>
  <c r="L136" i="2"/>
  <c r="BZ128" i="2"/>
  <c r="BZ129" i="2" s="1"/>
  <c r="BW128" i="2"/>
  <c r="BW129" i="2" s="1"/>
  <c r="CB19" i="2"/>
  <c r="CA19" i="2"/>
  <c r="P189" i="2"/>
  <c r="P208" i="2"/>
  <c r="AF208" i="2" s="1"/>
  <c r="P158" i="2"/>
  <c r="AF215" i="2"/>
  <c r="AF166" i="2"/>
  <c r="AF158" i="2"/>
  <c r="P215" i="2"/>
  <c r="P209" i="2"/>
  <c r="AF209" i="2" s="1"/>
  <c r="P220" i="2"/>
  <c r="P171" i="2"/>
  <c r="AF171" i="2"/>
  <c r="AF220" i="2"/>
  <c r="P180" i="2"/>
  <c r="P162" i="2"/>
  <c r="AF162" i="2"/>
  <c r="P211" i="2"/>
  <c r="P182" i="2"/>
  <c r="P150" i="2"/>
  <c r="P223" i="2"/>
  <c r="P174" i="2"/>
  <c r="P184" i="2"/>
  <c r="P203" i="2"/>
  <c r="AF203" i="2" s="1"/>
  <c r="P177" i="2"/>
  <c r="AF177" i="2"/>
  <c r="P153" i="2"/>
  <c r="P226" i="2"/>
  <c r="AF226" i="2"/>
  <c r="AF153" i="2"/>
  <c r="AK15" i="2"/>
  <c r="P138" i="2"/>
  <c r="CH157" i="2"/>
  <c r="A65" i="1"/>
  <c r="AL126" i="2"/>
  <c r="O9" i="2"/>
  <c r="N126" i="2"/>
  <c r="M9" i="2"/>
  <c r="CO139" i="2"/>
  <c r="CO138" i="2"/>
  <c r="AG23" i="2"/>
  <c r="AM22" i="2"/>
  <c r="AS21" i="2"/>
  <c r="AE21" i="2"/>
  <c r="AT21" i="2"/>
  <c r="AR21" i="2"/>
  <c r="AQ20" i="2"/>
  <c r="BJ20" i="2"/>
  <c r="AZ20" i="2"/>
  <c r="BK20" i="2"/>
  <c r="BI20" i="2"/>
  <c r="BA22" i="2"/>
  <c r="BB21" i="2"/>
  <c r="BC21" i="2" s="1"/>
  <c r="X43" i="2" l="1"/>
  <c r="F23" i="1" s="1"/>
  <c r="B23" i="1"/>
  <c r="AP7" i="2"/>
  <c r="AP9" i="2"/>
  <c r="AP11" i="2"/>
  <c r="AP14" i="2"/>
  <c r="AP5" i="2"/>
  <c r="AP8" i="2"/>
  <c r="AP10" i="2"/>
  <c r="AP13" i="2"/>
  <c r="AP6" i="2"/>
  <c r="AP12" i="2"/>
  <c r="P194" i="2"/>
  <c r="AF194" i="2"/>
  <c r="AF181" i="2"/>
  <c r="AF193" i="2"/>
  <c r="P193" i="2"/>
  <c r="AF188" i="2"/>
  <c r="AF198" i="2"/>
  <c r="AF185" i="2"/>
  <c r="P198" i="2"/>
  <c r="AF200" i="2"/>
  <c r="AF187" i="2"/>
  <c r="P200" i="2"/>
  <c r="AF191" i="2"/>
  <c r="P191" i="2"/>
  <c r="AF186" i="2"/>
  <c r="CN137" i="2"/>
  <c r="AJ136" i="2"/>
  <c r="AK137" i="2" s="1"/>
  <c r="AF136" i="2"/>
  <c r="P136" i="2"/>
  <c r="AG136" i="2"/>
  <c r="BL20" i="2"/>
  <c r="BM20" i="2"/>
  <c r="BN20" i="2" s="1"/>
  <c r="K9" i="2"/>
  <c r="J9" i="2"/>
  <c r="AF9" i="2"/>
  <c r="P9" i="2"/>
  <c r="AO8" i="2"/>
  <c r="AO14" i="2"/>
  <c r="AO7" i="2"/>
  <c r="AO5" i="2"/>
  <c r="AN5" i="2"/>
  <c r="AN8" i="2"/>
  <c r="AN10" i="2"/>
  <c r="AN13" i="2"/>
  <c r="AN7" i="2"/>
  <c r="AN9" i="2"/>
  <c r="AN11" i="2"/>
  <c r="AN14" i="2"/>
  <c r="AO10" i="2"/>
  <c r="AO9" i="2"/>
  <c r="AO6" i="2"/>
  <c r="AO12" i="2"/>
  <c r="AO11" i="2"/>
  <c r="AO13" i="2"/>
  <c r="AN6" i="2"/>
  <c r="AN12" i="2"/>
  <c r="AF199" i="2"/>
  <c r="P199" i="2"/>
  <c r="AF184" i="2"/>
  <c r="P197" i="2"/>
  <c r="AF211" i="2"/>
  <c r="BF22" i="2"/>
  <c r="BH22" i="2"/>
  <c r="BD22" i="2"/>
  <c r="BE22" i="2"/>
  <c r="BG22" i="2"/>
  <c r="AV21" i="2"/>
  <c r="AW21" i="2" s="1"/>
  <c r="AU21" i="2"/>
  <c r="AH22" i="2"/>
  <c r="AN22" i="2"/>
  <c r="AI22" i="2"/>
  <c r="AK22" i="2"/>
  <c r="AP22" i="2"/>
  <c r="AO22" i="2"/>
  <c r="AF22" i="2"/>
  <c r="P212" i="2"/>
  <c r="AF212" i="2" s="1"/>
  <c r="P221" i="2"/>
  <c r="P172" i="2"/>
  <c r="AF172" i="2"/>
  <c r="AF221" i="2"/>
  <c r="P183" i="2"/>
  <c r="AF149" i="2"/>
  <c r="P149" i="2"/>
  <c r="AF150" i="2"/>
  <c r="AF174" i="2"/>
  <c r="AF223" i="2"/>
  <c r="P195" i="2"/>
  <c r="AF180" i="2"/>
  <c r="AF195" i="2"/>
  <c r="AF192" i="2"/>
  <c r="AF189" i="2"/>
  <c r="P192" i="2"/>
  <c r="CB22" i="2"/>
  <c r="CA22" i="2"/>
  <c r="CA20" i="2"/>
  <c r="AI137" i="2"/>
  <c r="B19" i="1"/>
  <c r="B17" i="1"/>
  <c r="B15" i="1"/>
  <c r="B16" i="1"/>
  <c r="B18" i="1"/>
  <c r="AF205" i="2"/>
  <c r="CL141" i="2"/>
  <c r="CA18" i="2"/>
  <c r="A66" i="1"/>
  <c r="BK21" i="2"/>
  <c r="BI21" i="2"/>
  <c r="BJ21" i="2"/>
  <c r="AZ21" i="2"/>
  <c r="BA23" i="2"/>
  <c r="BB22" i="2"/>
  <c r="BC22" i="2" s="1"/>
  <c r="AT22" i="2"/>
  <c r="AR22" i="2"/>
  <c r="AQ21" i="2"/>
  <c r="AS22" i="2"/>
  <c r="AE22" i="2"/>
  <c r="AG24" i="2"/>
  <c r="AM23" i="2"/>
  <c r="P196" i="2" l="1"/>
  <c r="AF196" i="2"/>
  <c r="AF183" i="2"/>
  <c r="AF182" i="2"/>
  <c r="AH137" i="2"/>
  <c r="AL136" i="2"/>
  <c r="AG137" i="2"/>
  <c r="CN139" i="2"/>
  <c r="CN141" i="2" s="1"/>
  <c r="CM140" i="2"/>
  <c r="CN138" i="2"/>
  <c r="CN140" i="2" s="1"/>
  <c r="CN142" i="2" s="1"/>
  <c r="CK141" i="2"/>
  <c r="CK140" i="2"/>
  <c r="CK142" i="2" s="1"/>
  <c r="CM141" i="2"/>
  <c r="C27" i="1"/>
  <c r="C25" i="1"/>
  <c r="C26" i="1"/>
  <c r="C24" i="1"/>
  <c r="AJ137" i="2"/>
  <c r="AH23" i="2"/>
  <c r="AK23" i="2"/>
  <c r="AP23" i="2"/>
  <c r="AI23" i="2"/>
  <c r="AN23" i="2"/>
  <c r="AO23" i="2"/>
  <c r="AF23" i="2"/>
  <c r="AU22" i="2"/>
  <c r="AV22" i="2"/>
  <c r="AW22" i="2" s="1"/>
  <c r="BE23" i="2"/>
  <c r="BD23" i="2"/>
  <c r="BF23" i="2"/>
  <c r="BH23" i="2"/>
  <c r="BG23" i="2"/>
  <c r="BM21" i="2"/>
  <c r="BN21" i="2" s="1"/>
  <c r="BL21" i="2"/>
  <c r="CO140" i="2"/>
  <c r="AF197" i="2"/>
  <c r="CO141" i="2"/>
  <c r="CL140" i="2"/>
  <c r="CL142" i="2" s="1"/>
  <c r="AN15" i="2"/>
  <c r="AP15" i="2"/>
  <c r="A67" i="1"/>
  <c r="AS23" i="2"/>
  <c r="AE23" i="2"/>
  <c r="AT23" i="2"/>
  <c r="AR23" i="2"/>
  <c r="AQ22" i="2"/>
  <c r="AG25" i="2"/>
  <c r="AM24" i="2"/>
  <c r="BJ22" i="2"/>
  <c r="AZ22" i="2"/>
  <c r="BK22" i="2"/>
  <c r="BI22" i="2"/>
  <c r="BA24" i="2"/>
  <c r="BB23" i="2"/>
  <c r="BC23" i="2" s="1"/>
  <c r="BL22" i="2" l="1"/>
  <c r="BM22" i="2"/>
  <c r="BN22" i="2" s="1"/>
  <c r="AH24" i="2"/>
  <c r="AK24" i="2"/>
  <c r="AP24" i="2"/>
  <c r="AI24" i="2"/>
  <c r="AN24" i="2"/>
  <c r="AO24" i="2"/>
  <c r="AF24" i="2"/>
  <c r="BE24" i="2"/>
  <c r="BD24" i="2"/>
  <c r="BF24" i="2"/>
  <c r="BH24" i="2"/>
  <c r="BG24" i="2"/>
  <c r="AV23" i="2"/>
  <c r="AW23" i="2" s="1"/>
  <c r="AU23" i="2"/>
  <c r="CO142" i="2"/>
  <c r="CM142" i="2"/>
  <c r="CK144" i="2" s="1"/>
  <c r="CL144" i="2" s="1"/>
  <c r="AL137" i="2"/>
  <c r="AM137" i="2" s="1"/>
  <c r="A68" i="1"/>
  <c r="BK23" i="2"/>
  <c r="BI23" i="2"/>
  <c r="BJ23" i="2"/>
  <c r="AZ23" i="2"/>
  <c r="BA25" i="2"/>
  <c r="BB24" i="2"/>
  <c r="BC24" i="2" s="1"/>
  <c r="AS24" i="2"/>
  <c r="AE24" i="2"/>
  <c r="AQ23" i="2"/>
  <c r="AT24" i="2"/>
  <c r="AR24" i="2"/>
  <c r="AM25" i="2"/>
  <c r="AG26" i="2"/>
  <c r="CO144" i="2" l="1"/>
  <c r="CP144" i="2"/>
  <c r="CQ144" i="2"/>
  <c r="CM144" i="2"/>
  <c r="CK145" i="2" s="1"/>
  <c r="CN144" i="2"/>
  <c r="BE25" i="2"/>
  <c r="BD25" i="2"/>
  <c r="BF25" i="2"/>
  <c r="BH25" i="2"/>
  <c r="BG25" i="2"/>
  <c r="AO136" i="2"/>
  <c r="BQ136" i="2"/>
  <c r="AP136" i="2"/>
  <c r="AQ136" i="2"/>
  <c r="AN136" i="2"/>
  <c r="AN137" i="2" s="1"/>
  <c r="AH25" i="2"/>
  <c r="AK25" i="2"/>
  <c r="AP25" i="2"/>
  <c r="AI25" i="2"/>
  <c r="AN25" i="2"/>
  <c r="AO25" i="2"/>
  <c r="AF25" i="2"/>
  <c r="AV24" i="2"/>
  <c r="AW24" i="2" s="1"/>
  <c r="AU24" i="2"/>
  <c r="BM23" i="2"/>
  <c r="BN23" i="2" s="1"/>
  <c r="BL23" i="2"/>
  <c r="A69" i="1"/>
  <c r="AG27" i="2"/>
  <c r="AM26" i="2"/>
  <c r="AS25" i="2"/>
  <c r="AE25" i="2"/>
  <c r="AQ24" i="2"/>
  <c r="AT25" i="2"/>
  <c r="AR25" i="2"/>
  <c r="BK24" i="2"/>
  <c r="BI24" i="2"/>
  <c r="BJ24" i="2"/>
  <c r="AZ24" i="2"/>
  <c r="BA26" i="2"/>
  <c r="BB25" i="2"/>
  <c r="BC25" i="2" s="1"/>
  <c r="BF26" i="2" l="1"/>
  <c r="BH26" i="2"/>
  <c r="BD26" i="2"/>
  <c r="BE26" i="2"/>
  <c r="BG26" i="2"/>
  <c r="AV25" i="2"/>
  <c r="AW25" i="2" s="1"/>
  <c r="AU25" i="2"/>
  <c r="AH26" i="2"/>
  <c r="AN26" i="2"/>
  <c r="AI26" i="2"/>
  <c r="AK26" i="2"/>
  <c r="AP26" i="2"/>
  <c r="AO26" i="2"/>
  <c r="AF26" i="2"/>
  <c r="BM24" i="2"/>
  <c r="BN24" i="2" s="1"/>
  <c r="BL24" i="2"/>
  <c r="AQ137" i="2"/>
  <c r="BQ137" i="2"/>
  <c r="AO137" i="2"/>
  <c r="BT137" i="2" s="1"/>
  <c r="AP137" i="2"/>
  <c r="CK146" i="2"/>
  <c r="A70" i="1"/>
  <c r="BK25" i="2"/>
  <c r="BI25" i="2"/>
  <c r="BJ25" i="2"/>
  <c r="AZ25" i="2"/>
  <c r="BA27" i="2"/>
  <c r="BB26" i="2"/>
  <c r="BC26" i="2" s="1"/>
  <c r="AT26" i="2"/>
  <c r="AR26" i="2"/>
  <c r="AQ25" i="2"/>
  <c r="AS26" i="2"/>
  <c r="AE26" i="2"/>
  <c r="AM27" i="2"/>
  <c r="AG28" i="2"/>
  <c r="AU26" i="2" l="1"/>
  <c r="AV26" i="2"/>
  <c r="AW26" i="2" s="1"/>
  <c r="BE27" i="2"/>
  <c r="BD27" i="2"/>
  <c r="BF27" i="2"/>
  <c r="BH27" i="2"/>
  <c r="BG27" i="2"/>
  <c r="AH27" i="2"/>
  <c r="AK27" i="2"/>
  <c r="AP27" i="2"/>
  <c r="AI27" i="2"/>
  <c r="AN27" i="2"/>
  <c r="AO27" i="2"/>
  <c r="AF27" i="2"/>
  <c r="BM25" i="2"/>
  <c r="BN25" i="2" s="1"/>
  <c r="BL25" i="2"/>
  <c r="AN138" i="2"/>
  <c r="AO138" i="2" s="1"/>
  <c r="AP138" i="2"/>
  <c r="BQ138" i="2" s="1"/>
  <c r="AM138" i="2"/>
  <c r="A71" i="1"/>
  <c r="AG29" i="2"/>
  <c r="AM28" i="2"/>
  <c r="AS27" i="2"/>
  <c r="AE27" i="2"/>
  <c r="AT27" i="2"/>
  <c r="AR27" i="2"/>
  <c r="AQ26" i="2"/>
  <c r="BJ26" i="2"/>
  <c r="AZ26" i="2"/>
  <c r="BK26" i="2"/>
  <c r="BI26" i="2"/>
  <c r="BA28" i="2"/>
  <c r="BB27" i="2"/>
  <c r="BC27" i="2" s="1"/>
  <c r="BF28" i="2" l="1"/>
  <c r="BH28" i="2"/>
  <c r="BD28" i="2"/>
  <c r="BE28" i="2"/>
  <c r="BG28" i="2"/>
  <c r="AV27" i="2"/>
  <c r="AW27" i="2" s="1"/>
  <c r="AU27" i="2"/>
  <c r="AH28" i="2"/>
  <c r="AN28" i="2"/>
  <c r="AI28" i="2"/>
  <c r="AK28" i="2"/>
  <c r="AP28" i="2"/>
  <c r="AF28" i="2"/>
  <c r="AO28" i="2"/>
  <c r="BL26" i="2"/>
  <c r="BM26" i="2"/>
  <c r="BN26" i="2" s="1"/>
  <c r="BT138" i="2"/>
  <c r="AH8" i="2" s="1"/>
  <c r="A72" i="1"/>
  <c r="BK27" i="2"/>
  <c r="BI27" i="2"/>
  <c r="BJ27" i="2"/>
  <c r="AZ27" i="2"/>
  <c r="BB28" i="2"/>
  <c r="BC28" i="2" s="1"/>
  <c r="BA29" i="2"/>
  <c r="AT28" i="2"/>
  <c r="AR28" i="2"/>
  <c r="AQ27" i="2"/>
  <c r="AS28" i="2"/>
  <c r="AE28" i="2"/>
  <c r="AG30" i="2"/>
  <c r="AM29" i="2"/>
  <c r="BF29" i="2" l="1"/>
  <c r="BH29" i="2"/>
  <c r="BD29" i="2"/>
  <c r="BE29" i="2"/>
  <c r="BG29" i="2"/>
  <c r="BM27" i="2"/>
  <c r="BN27" i="2" s="1"/>
  <c r="BL27" i="2"/>
  <c r="AH29" i="2"/>
  <c r="AT29" i="2" s="1"/>
  <c r="AN29" i="2"/>
  <c r="AI29" i="2"/>
  <c r="AK29" i="2"/>
  <c r="AP29" i="2"/>
  <c r="AO29" i="2"/>
  <c r="AF29" i="2"/>
  <c r="AU28" i="2"/>
  <c r="AV28" i="2"/>
  <c r="AW28" i="2" s="1"/>
  <c r="A73" i="1"/>
  <c r="AR29" i="2"/>
  <c r="AE29" i="2"/>
  <c r="AG31" i="2"/>
  <c r="AM30" i="2"/>
  <c r="BB29" i="2"/>
  <c r="BC29" i="2" s="1"/>
  <c r="BA30" i="2"/>
  <c r="BJ28" i="2"/>
  <c r="AZ28" i="2"/>
  <c r="BK28" i="2"/>
  <c r="BI28" i="2"/>
  <c r="AU29" i="2" l="1"/>
  <c r="AV29" i="2"/>
  <c r="AW29" i="2" s="1"/>
  <c r="BL28" i="2"/>
  <c r="BM28" i="2"/>
  <c r="BN28" i="2" s="1"/>
  <c r="BF30" i="2"/>
  <c r="BH30" i="2"/>
  <c r="BD30" i="2"/>
  <c r="BE30" i="2"/>
  <c r="BG30" i="2"/>
  <c r="AH30" i="2"/>
  <c r="AR30" i="2" s="1"/>
  <c r="AN30" i="2"/>
  <c r="AI30" i="2"/>
  <c r="AK30" i="2"/>
  <c r="AP30" i="2"/>
  <c r="AO30" i="2"/>
  <c r="AF30" i="2"/>
  <c r="AQ28" i="2"/>
  <c r="AS29" i="2"/>
  <c r="A74" i="1"/>
  <c r="BB30" i="2"/>
  <c r="BC30" i="2" s="1"/>
  <c r="BA31" i="2"/>
  <c r="BJ29" i="2"/>
  <c r="AZ29" i="2"/>
  <c r="BK29" i="2"/>
  <c r="BI29" i="2"/>
  <c r="AT30" i="2"/>
  <c r="AS30" i="2"/>
  <c r="AE30" i="2"/>
  <c r="AG32" i="2"/>
  <c r="AM31" i="2"/>
  <c r="AU30" i="2" l="1"/>
  <c r="AV30" i="2"/>
  <c r="AW30" i="2" s="1"/>
  <c r="AH31" i="2"/>
  <c r="AN31" i="2"/>
  <c r="AI31" i="2"/>
  <c r="AK31" i="2"/>
  <c r="AP31" i="2"/>
  <c r="AO31" i="2"/>
  <c r="AF31" i="2"/>
  <c r="AQ29" i="2"/>
  <c r="AQ30" i="2"/>
  <c r="BL29" i="2"/>
  <c r="BM29" i="2"/>
  <c r="BN29" i="2" s="1"/>
  <c r="BF31" i="2"/>
  <c r="BH31" i="2"/>
  <c r="BD31" i="2"/>
  <c r="BE31" i="2"/>
  <c r="BG31" i="2"/>
  <c r="A75" i="1"/>
  <c r="AT31" i="2"/>
  <c r="AR31" i="2"/>
  <c r="AS31" i="2"/>
  <c r="AQ31" i="2"/>
  <c r="AE31" i="2"/>
  <c r="AG33" i="2"/>
  <c r="AM32" i="2"/>
  <c r="BB31" i="2"/>
  <c r="BC31" i="2" s="1"/>
  <c r="BA32" i="2"/>
  <c r="BJ30" i="2"/>
  <c r="AZ30" i="2"/>
  <c r="BK30" i="2"/>
  <c r="BI30" i="2"/>
  <c r="BL30" i="2" l="1"/>
  <c r="BM30" i="2"/>
  <c r="BN30" i="2" s="1"/>
  <c r="BF32" i="2"/>
  <c r="BD32" i="2"/>
  <c r="BE32" i="2"/>
  <c r="BH32" i="2"/>
  <c r="BG32" i="2"/>
  <c r="AH32" i="2"/>
  <c r="AN32" i="2"/>
  <c r="AI32" i="2"/>
  <c r="AK32" i="2"/>
  <c r="AP32" i="2"/>
  <c r="AF32" i="2"/>
  <c r="AO32" i="2"/>
  <c r="AU31" i="2"/>
  <c r="AV31" i="2"/>
  <c r="AW31" i="2" s="1"/>
  <c r="A76" i="1"/>
  <c r="BA33" i="2"/>
  <c r="BB32" i="2"/>
  <c r="BC32" i="2" s="1"/>
  <c r="BJ31" i="2"/>
  <c r="AZ31" i="2"/>
  <c r="BK31" i="2"/>
  <c r="BI31" i="2"/>
  <c r="AT32" i="2"/>
  <c r="AR32" i="2"/>
  <c r="AS32" i="2"/>
  <c r="AQ32" i="2"/>
  <c r="AE32" i="2"/>
  <c r="AM33" i="2"/>
  <c r="AG34" i="2"/>
  <c r="AU32" i="2" l="1"/>
  <c r="AV32" i="2"/>
  <c r="AW32" i="2" s="1"/>
  <c r="BF33" i="2"/>
  <c r="BH33" i="2"/>
  <c r="BE33" i="2"/>
  <c r="BD33" i="2"/>
  <c r="BG33" i="2"/>
  <c r="AH33" i="2"/>
  <c r="AQ33" i="2" s="1"/>
  <c r="AI33" i="2"/>
  <c r="AN33" i="2"/>
  <c r="AK33" i="2"/>
  <c r="AP33" i="2"/>
  <c r="AO33" i="2"/>
  <c r="AF33" i="2"/>
  <c r="BL31" i="2"/>
  <c r="BM31" i="2"/>
  <c r="BN31" i="2" s="1"/>
  <c r="A77" i="1"/>
  <c r="AG35" i="2"/>
  <c r="AM34" i="2"/>
  <c r="AS33" i="2"/>
  <c r="AE33" i="2"/>
  <c r="AT33" i="2"/>
  <c r="BJ32" i="2"/>
  <c r="BK32" i="2"/>
  <c r="AZ32" i="2"/>
  <c r="BI32" i="2"/>
  <c r="BA34" i="2"/>
  <c r="BB33" i="2"/>
  <c r="BC33" i="2" s="1"/>
  <c r="AU33" i="2" l="1"/>
  <c r="AV33" i="2"/>
  <c r="AW33" i="2" s="1"/>
  <c r="BD34" i="2"/>
  <c r="BE34" i="2"/>
  <c r="BF34" i="2"/>
  <c r="BH34" i="2"/>
  <c r="BG34" i="2"/>
  <c r="BL32" i="2"/>
  <c r="BM32" i="2"/>
  <c r="BN32" i="2" s="1"/>
  <c r="AR33" i="2"/>
  <c r="AH34" i="2"/>
  <c r="AQ34" i="2" s="1"/>
  <c r="AK34" i="2"/>
  <c r="AI34" i="2"/>
  <c r="AF34" i="2"/>
  <c r="A78" i="1"/>
  <c r="BK33" i="2"/>
  <c r="BI33" i="2"/>
  <c r="BJ33" i="2"/>
  <c r="AZ33" i="2"/>
  <c r="BA35" i="2"/>
  <c r="BB34" i="2"/>
  <c r="BC34" i="2" s="1"/>
  <c r="AS34" i="2"/>
  <c r="AT34" i="2"/>
  <c r="AE34" i="2"/>
  <c r="AG36" i="2"/>
  <c r="AM35" i="2"/>
  <c r="AR34" i="2" l="1"/>
  <c r="BM33" i="2"/>
  <c r="BN33" i="2" s="1"/>
  <c r="BL33" i="2"/>
  <c r="AH35" i="2"/>
  <c r="AR35" i="2" s="1"/>
  <c r="AK35" i="2"/>
  <c r="AI35" i="2"/>
  <c r="AP35" i="2"/>
  <c r="AN35" i="2"/>
  <c r="AO35" i="2"/>
  <c r="AF35" i="2"/>
  <c r="AU34" i="2"/>
  <c r="AV34" i="2"/>
  <c r="AW34" i="2" s="1"/>
  <c r="BD35" i="2"/>
  <c r="BF35" i="2"/>
  <c r="BE35" i="2"/>
  <c r="BH35" i="2"/>
  <c r="BG35" i="2"/>
  <c r="A79" i="1"/>
  <c r="AT35" i="2"/>
  <c r="AS35" i="2"/>
  <c r="AE35" i="2"/>
  <c r="AG37" i="2"/>
  <c r="AM36" i="2"/>
  <c r="BK34" i="2"/>
  <c r="BI34" i="2"/>
  <c r="BJ34" i="2"/>
  <c r="AZ34" i="2"/>
  <c r="BB35" i="2"/>
  <c r="BC35" i="2" s="1"/>
  <c r="BA36" i="2"/>
  <c r="AQ35" i="2" l="1"/>
  <c r="BD36" i="2"/>
  <c r="BF36" i="2"/>
  <c r="BE36" i="2"/>
  <c r="BH36" i="2"/>
  <c r="BG36" i="2"/>
  <c r="BM34" i="2"/>
  <c r="BN34" i="2" s="1"/>
  <c r="BL34" i="2"/>
  <c r="AH36" i="2"/>
  <c r="AK36" i="2"/>
  <c r="AN36" i="2"/>
  <c r="AI36" i="2"/>
  <c r="AP36" i="2"/>
  <c r="AO36" i="2"/>
  <c r="AF36" i="2"/>
  <c r="AV35" i="2"/>
  <c r="AW35" i="2" s="1"/>
  <c r="AU35" i="2"/>
  <c r="A80" i="1"/>
  <c r="BA37" i="2"/>
  <c r="BB36" i="2"/>
  <c r="BC36" i="2" s="1"/>
  <c r="BJ35" i="2"/>
  <c r="AZ35" i="2"/>
  <c r="BK35" i="2"/>
  <c r="BI35" i="2"/>
  <c r="AT36" i="2"/>
  <c r="AR36" i="2"/>
  <c r="AS36" i="2"/>
  <c r="AQ36" i="2"/>
  <c r="AE36" i="2"/>
  <c r="AG38" i="2"/>
  <c r="AM37" i="2"/>
  <c r="AH37" i="2" l="1"/>
  <c r="AI37" i="2"/>
  <c r="AK37" i="2"/>
  <c r="AP37" i="2"/>
  <c r="AN37" i="2"/>
  <c r="AO37" i="2"/>
  <c r="AF37" i="2"/>
  <c r="AV36" i="2"/>
  <c r="AW36" i="2" s="1"/>
  <c r="AU36" i="2"/>
  <c r="BE37" i="2"/>
  <c r="BD37" i="2"/>
  <c r="BF37" i="2"/>
  <c r="BH37" i="2"/>
  <c r="BG37" i="2"/>
  <c r="BL35" i="2"/>
  <c r="BM35" i="2"/>
  <c r="BN35" i="2" s="1"/>
  <c r="A81" i="1"/>
  <c r="AS37" i="2"/>
  <c r="AQ37" i="2"/>
  <c r="AE37" i="2"/>
  <c r="AT37" i="2"/>
  <c r="AR37" i="2"/>
  <c r="AM38" i="2"/>
  <c r="AG39" i="2"/>
  <c r="BJ36" i="2"/>
  <c r="AZ36" i="2"/>
  <c r="BK36" i="2"/>
  <c r="BI36" i="2"/>
  <c r="BA38" i="2"/>
  <c r="BB37" i="2"/>
  <c r="BC37" i="2" s="1"/>
  <c r="BF38" i="2" l="1"/>
  <c r="BH38" i="2"/>
  <c r="BD38" i="2"/>
  <c r="BE38" i="2"/>
  <c r="BG38" i="2"/>
  <c r="AH38" i="2"/>
  <c r="AI38" i="2"/>
  <c r="AK38" i="2"/>
  <c r="AF38" i="2"/>
  <c r="BL36" i="2"/>
  <c r="BM36" i="2"/>
  <c r="BN36" i="2" s="1"/>
  <c r="AU37" i="2"/>
  <c r="AV37" i="2"/>
  <c r="AW37" i="2" s="1"/>
  <c r="A82" i="1"/>
  <c r="BK37" i="2"/>
  <c r="BI37" i="2"/>
  <c r="BJ37" i="2"/>
  <c r="AZ37" i="2"/>
  <c r="BB38" i="2"/>
  <c r="BC38" i="2" s="1"/>
  <c r="BA39" i="2"/>
  <c r="AG40" i="2"/>
  <c r="AM39" i="2"/>
  <c r="AT38" i="2"/>
  <c r="AR38" i="2"/>
  <c r="AE38" i="2"/>
  <c r="AS38" i="2"/>
  <c r="AQ38" i="2"/>
  <c r="AV38" i="2" l="1"/>
  <c r="AW38" i="2" s="1"/>
  <c r="AU38" i="2"/>
  <c r="AH39" i="2"/>
  <c r="AT39" i="2" s="1"/>
  <c r="AN39" i="2"/>
  <c r="AK39" i="2"/>
  <c r="AI39" i="2"/>
  <c r="AP39" i="2"/>
  <c r="AO39" i="2"/>
  <c r="AF39" i="2"/>
  <c r="BF39" i="2"/>
  <c r="BH39" i="2"/>
  <c r="BD39" i="2"/>
  <c r="BE39" i="2"/>
  <c r="BG39" i="2"/>
  <c r="BM37" i="2"/>
  <c r="BN37" i="2" s="1"/>
  <c r="BL37" i="2"/>
  <c r="A83" i="1"/>
  <c r="AR39" i="2"/>
  <c r="AQ39" i="2"/>
  <c r="AG41" i="2"/>
  <c r="AM40" i="2"/>
  <c r="BB39" i="2"/>
  <c r="BC39" i="2" s="1"/>
  <c r="BA40" i="2"/>
  <c r="BJ38" i="2"/>
  <c r="AZ38" i="2"/>
  <c r="BK38" i="2"/>
  <c r="BI38" i="2"/>
  <c r="BL38" i="2" l="1"/>
  <c r="BM38" i="2"/>
  <c r="BN38" i="2" s="1"/>
  <c r="BF40" i="2"/>
  <c r="BH40" i="2"/>
  <c r="BD40" i="2"/>
  <c r="BE40" i="2"/>
  <c r="BG40" i="2"/>
  <c r="AH40" i="2"/>
  <c r="AN40" i="2"/>
  <c r="AK40" i="2"/>
  <c r="AI40" i="2"/>
  <c r="AP40" i="2"/>
  <c r="AO40" i="2"/>
  <c r="AF40" i="2"/>
  <c r="AE39" i="2"/>
  <c r="AS39" i="2"/>
  <c r="A84" i="1"/>
  <c r="BB40" i="2"/>
  <c r="BC40" i="2" s="1"/>
  <c r="BA41" i="2"/>
  <c r="BJ39" i="2"/>
  <c r="AZ39" i="2"/>
  <c r="BK39" i="2"/>
  <c r="BI39" i="2"/>
  <c r="AT40" i="2"/>
  <c r="AR40" i="2"/>
  <c r="AS40" i="2"/>
  <c r="AQ40" i="2"/>
  <c r="AE40" i="2"/>
  <c r="AG42" i="2"/>
  <c r="AM41" i="2"/>
  <c r="AH41" i="2" l="1"/>
  <c r="AN41" i="2"/>
  <c r="AK41" i="2"/>
  <c r="AI41" i="2"/>
  <c r="AP41" i="2"/>
  <c r="AO41" i="2"/>
  <c r="AF41" i="2"/>
  <c r="AV40" i="2"/>
  <c r="AW40" i="2" s="1"/>
  <c r="AU40" i="2"/>
  <c r="AV39" i="2"/>
  <c r="AW39" i="2" s="1"/>
  <c r="AU39" i="2"/>
  <c r="BL39" i="2"/>
  <c r="BM39" i="2"/>
  <c r="BN39" i="2" s="1"/>
  <c r="BF41" i="2"/>
  <c r="BH41" i="2"/>
  <c r="BD41" i="2"/>
  <c r="BE41" i="2"/>
  <c r="BG41" i="2"/>
  <c r="A85" i="1"/>
  <c r="AT41" i="2"/>
  <c r="AR41" i="2"/>
  <c r="AS41" i="2"/>
  <c r="AQ41" i="2"/>
  <c r="AE41" i="2"/>
  <c r="AG43" i="2"/>
  <c r="AM42" i="2"/>
  <c r="BA42" i="2"/>
  <c r="BB41" i="2"/>
  <c r="BC41" i="2" s="1"/>
  <c r="BJ40" i="2"/>
  <c r="AZ40" i="2"/>
  <c r="BK40" i="2"/>
  <c r="BI40" i="2"/>
  <c r="BE42" i="2" l="1"/>
  <c r="BD42" i="2"/>
  <c r="BF42" i="2"/>
  <c r="BH42" i="2"/>
  <c r="BG42" i="2"/>
  <c r="BL40" i="2"/>
  <c r="BM40" i="2"/>
  <c r="BN40" i="2" s="1"/>
  <c r="AH42" i="2"/>
  <c r="AI42" i="2"/>
  <c r="AK42" i="2"/>
  <c r="AP42" i="2"/>
  <c r="AN42" i="2"/>
  <c r="AO42" i="2"/>
  <c r="AF42" i="2"/>
  <c r="AV41" i="2"/>
  <c r="AW41" i="2" s="1"/>
  <c r="AU41" i="2"/>
  <c r="A86" i="1"/>
  <c r="BJ41" i="2"/>
  <c r="AZ41" i="2"/>
  <c r="BK41" i="2"/>
  <c r="BI41" i="2"/>
  <c r="BA43" i="2"/>
  <c r="BB42" i="2"/>
  <c r="BC42" i="2" s="1"/>
  <c r="AS42" i="2"/>
  <c r="AQ42" i="2"/>
  <c r="AE42" i="2"/>
  <c r="AT42" i="2"/>
  <c r="AR42" i="2"/>
  <c r="AM43" i="2"/>
  <c r="AG44" i="2"/>
  <c r="AU42" i="2" l="1"/>
  <c r="AV42" i="2"/>
  <c r="AW42" i="2" s="1"/>
  <c r="BE43" i="2"/>
  <c r="BD43" i="2"/>
  <c r="BF43" i="2"/>
  <c r="BH43" i="2"/>
  <c r="BG43" i="2"/>
  <c r="AH43" i="2"/>
  <c r="AK43" i="2"/>
  <c r="AP43" i="2"/>
  <c r="AI43" i="2"/>
  <c r="AN43" i="2"/>
  <c r="AO43" i="2"/>
  <c r="AF43" i="2"/>
  <c r="BL41" i="2"/>
  <c r="BM41" i="2"/>
  <c r="BN41" i="2" s="1"/>
  <c r="A87" i="1"/>
  <c r="AG45" i="2"/>
  <c r="AM44" i="2"/>
  <c r="AS43" i="2"/>
  <c r="AQ43" i="2"/>
  <c r="AE43" i="2"/>
  <c r="AT43" i="2"/>
  <c r="AR43" i="2"/>
  <c r="BK42" i="2"/>
  <c r="BI42" i="2"/>
  <c r="BJ42" i="2"/>
  <c r="AZ42" i="2"/>
  <c r="BA44" i="2"/>
  <c r="BB43" i="2"/>
  <c r="BC43" i="2" s="1"/>
  <c r="BM42" i="2" l="1"/>
  <c r="BN42" i="2" s="1"/>
  <c r="BL42" i="2"/>
  <c r="AU43" i="2"/>
  <c r="AV43" i="2"/>
  <c r="AW43" i="2" s="1"/>
  <c r="BF44" i="2"/>
  <c r="BH44" i="2"/>
  <c r="BD44" i="2"/>
  <c r="BE44" i="2"/>
  <c r="BG44" i="2"/>
  <c r="AH44" i="2"/>
  <c r="AT44" i="2" s="1"/>
  <c r="AN44" i="2"/>
  <c r="AK44" i="2"/>
  <c r="AI44" i="2"/>
  <c r="AP44" i="2"/>
  <c r="AO44" i="2"/>
  <c r="AF44" i="2"/>
  <c r="A88" i="1"/>
  <c r="BK43" i="2"/>
  <c r="BI43" i="2"/>
  <c r="BJ43" i="2"/>
  <c r="AZ43" i="2"/>
  <c r="BB44" i="2"/>
  <c r="BC44" i="2" s="1"/>
  <c r="BA45" i="2"/>
  <c r="AR44" i="2"/>
  <c r="AQ44" i="2"/>
  <c r="AG46" i="2"/>
  <c r="AM45" i="2"/>
  <c r="BD45" i="2" l="1"/>
  <c r="BF45" i="2"/>
  <c r="BH45" i="2"/>
  <c r="BE45" i="2"/>
  <c r="BG45" i="2"/>
  <c r="BM43" i="2"/>
  <c r="BN43" i="2" s="1"/>
  <c r="BL43" i="2"/>
  <c r="AH45" i="2"/>
  <c r="AT45" i="2" s="1"/>
  <c r="AK45" i="2"/>
  <c r="AI45" i="2"/>
  <c r="AN45" i="2"/>
  <c r="AP45" i="2"/>
  <c r="AO45" i="2"/>
  <c r="AF45" i="2"/>
  <c r="AE44" i="2"/>
  <c r="AS44" i="2"/>
  <c r="A89" i="1"/>
  <c r="AR45" i="2"/>
  <c r="AQ45" i="2"/>
  <c r="AG47" i="2"/>
  <c r="AM46" i="2"/>
  <c r="BB45" i="2"/>
  <c r="BC45" i="2" s="1"/>
  <c r="BA46" i="2"/>
  <c r="BJ44" i="2"/>
  <c r="AZ44" i="2"/>
  <c r="BK44" i="2"/>
  <c r="BI44" i="2"/>
  <c r="BL44" i="2" l="1"/>
  <c r="BM44" i="2"/>
  <c r="BN44" i="2" s="1"/>
  <c r="BF46" i="2"/>
  <c r="BH46" i="2"/>
  <c r="BD46" i="2"/>
  <c r="BE46" i="2"/>
  <c r="BG46" i="2"/>
  <c r="AH46" i="2"/>
  <c r="AN46" i="2"/>
  <c r="AK46" i="2"/>
  <c r="AI46" i="2"/>
  <c r="AP46" i="2"/>
  <c r="AO46" i="2"/>
  <c r="AF46" i="2"/>
  <c r="AE45" i="2"/>
  <c r="AS45" i="2"/>
  <c r="AV44" i="2"/>
  <c r="AW44" i="2" s="1"/>
  <c r="AU44" i="2"/>
  <c r="A90" i="1"/>
  <c r="BB46" i="2"/>
  <c r="BC46" i="2" s="1"/>
  <c r="BA47" i="2"/>
  <c r="BJ45" i="2"/>
  <c r="AZ45" i="2"/>
  <c r="BK45" i="2"/>
  <c r="BI45" i="2"/>
  <c r="AT46" i="2"/>
  <c r="AR46" i="2"/>
  <c r="AS46" i="2"/>
  <c r="AQ46" i="2"/>
  <c r="AE46" i="2"/>
  <c r="AG48" i="2"/>
  <c r="AM47" i="2"/>
  <c r="AH47" i="2" l="1"/>
  <c r="AN47" i="2"/>
  <c r="AK47" i="2"/>
  <c r="AI47" i="2"/>
  <c r="AP47" i="2"/>
  <c r="AO47" i="2"/>
  <c r="AF47" i="2"/>
  <c r="AV46" i="2"/>
  <c r="AW46" i="2" s="1"/>
  <c r="AU46" i="2"/>
  <c r="AV45" i="2"/>
  <c r="AW45" i="2" s="1"/>
  <c r="AU45" i="2"/>
  <c r="BL45" i="2"/>
  <c r="BM45" i="2"/>
  <c r="BN45" i="2" s="1"/>
  <c r="BF47" i="2"/>
  <c r="BD47" i="2"/>
  <c r="BH47" i="2"/>
  <c r="BE47" i="2"/>
  <c r="BG47" i="2"/>
  <c r="A91" i="1"/>
  <c r="AT47" i="2"/>
  <c r="AR47" i="2"/>
  <c r="AS47" i="2"/>
  <c r="AQ47" i="2"/>
  <c r="AE47" i="2"/>
  <c r="AG49" i="2"/>
  <c r="AM48" i="2"/>
  <c r="BB47" i="2"/>
  <c r="BC47" i="2" s="1"/>
  <c r="BA48" i="2"/>
  <c r="BJ46" i="2"/>
  <c r="AZ46" i="2"/>
  <c r="BK46" i="2"/>
  <c r="BI46" i="2"/>
  <c r="BL46" i="2" l="1"/>
  <c r="BM46" i="2"/>
  <c r="BN46" i="2" s="1"/>
  <c r="BD48" i="2"/>
  <c r="BF48" i="2"/>
  <c r="BH48" i="2"/>
  <c r="BE48" i="2"/>
  <c r="BG48" i="2"/>
  <c r="AH48" i="2"/>
  <c r="AK48" i="2"/>
  <c r="AN48" i="2"/>
  <c r="AI48" i="2"/>
  <c r="AP48" i="2"/>
  <c r="AO48" i="2"/>
  <c r="AF48" i="2"/>
  <c r="AV47" i="2"/>
  <c r="AW47" i="2" s="1"/>
  <c r="AU47" i="2"/>
  <c r="A92" i="1"/>
  <c r="BB48" i="2"/>
  <c r="BC48" i="2" s="1"/>
  <c r="BA49" i="2"/>
  <c r="BJ47" i="2"/>
  <c r="AZ47" i="2"/>
  <c r="BK47" i="2"/>
  <c r="BI47" i="2"/>
  <c r="AT48" i="2"/>
  <c r="AR48" i="2"/>
  <c r="AS48" i="2"/>
  <c r="AQ48" i="2"/>
  <c r="AE48" i="2"/>
  <c r="AG50" i="2"/>
  <c r="AM49" i="2"/>
  <c r="BL47" i="2" l="1"/>
  <c r="BM47" i="2"/>
  <c r="BN47" i="2" s="1"/>
  <c r="BF49" i="2"/>
  <c r="BD49" i="2"/>
  <c r="BH49" i="2"/>
  <c r="BE49" i="2"/>
  <c r="BG49" i="2"/>
  <c r="AH49" i="2"/>
  <c r="AN49" i="2"/>
  <c r="AK49" i="2"/>
  <c r="AI49" i="2"/>
  <c r="AP49" i="2"/>
  <c r="AO49" i="2"/>
  <c r="AF49" i="2"/>
  <c r="AV48" i="2"/>
  <c r="AW48" i="2" s="1"/>
  <c r="AU48" i="2"/>
  <c r="A93" i="1"/>
  <c r="AT49" i="2"/>
  <c r="AR49" i="2"/>
  <c r="AS49" i="2"/>
  <c r="AQ49" i="2"/>
  <c r="AE49" i="2"/>
  <c r="AG51" i="2"/>
  <c r="AM50" i="2"/>
  <c r="BB49" i="2"/>
  <c r="BC49" i="2" s="1"/>
  <c r="BA50" i="2"/>
  <c r="BJ48" i="2"/>
  <c r="AZ48" i="2"/>
  <c r="BK48" i="2"/>
  <c r="BI48" i="2"/>
  <c r="BL48" i="2" l="1"/>
  <c r="BM48" i="2"/>
  <c r="BN48" i="2" s="1"/>
  <c r="BD50" i="2"/>
  <c r="BF50" i="2"/>
  <c r="BH50" i="2"/>
  <c r="BE50" i="2"/>
  <c r="BG50" i="2"/>
  <c r="AH50" i="2"/>
  <c r="AK50" i="2"/>
  <c r="AN50" i="2"/>
  <c r="AI50" i="2"/>
  <c r="AP50" i="2"/>
  <c r="AO50" i="2"/>
  <c r="AF50" i="2"/>
  <c r="AV49" i="2"/>
  <c r="AW49" i="2" s="1"/>
  <c r="AU49" i="2"/>
  <c r="A94" i="1"/>
  <c r="BB50" i="2"/>
  <c r="BC50" i="2" s="1"/>
  <c r="BA51" i="2"/>
  <c r="BJ49" i="2"/>
  <c r="AZ49" i="2"/>
  <c r="BK49" i="2"/>
  <c r="BI49" i="2"/>
  <c r="AT50" i="2"/>
  <c r="AR50" i="2"/>
  <c r="AS50" i="2"/>
  <c r="AQ50" i="2"/>
  <c r="AE50" i="2"/>
  <c r="AG52" i="2"/>
  <c r="AM51" i="2"/>
  <c r="BL49" i="2" l="1"/>
  <c r="BM49" i="2"/>
  <c r="BN49" i="2" s="1"/>
  <c r="BF51" i="2"/>
  <c r="BD51" i="2"/>
  <c r="BH51" i="2"/>
  <c r="BE51" i="2"/>
  <c r="BG51" i="2"/>
  <c r="AH51" i="2"/>
  <c r="AN51" i="2"/>
  <c r="AK51" i="2"/>
  <c r="AI51" i="2"/>
  <c r="AP51" i="2"/>
  <c r="AO51" i="2"/>
  <c r="AF51" i="2"/>
  <c r="AV50" i="2"/>
  <c r="AW50" i="2" s="1"/>
  <c r="AU50" i="2"/>
  <c r="A95" i="1"/>
  <c r="AT51" i="2"/>
  <c r="AR51" i="2"/>
  <c r="AS51" i="2"/>
  <c r="AQ51" i="2"/>
  <c r="AE51" i="2"/>
  <c r="AG53" i="2"/>
  <c r="AM52" i="2"/>
  <c r="BB51" i="2"/>
  <c r="BC51" i="2" s="1"/>
  <c r="BA52" i="2"/>
  <c r="BJ50" i="2"/>
  <c r="AZ50" i="2"/>
  <c r="BK50" i="2"/>
  <c r="BI50" i="2"/>
  <c r="BL50" i="2" l="1"/>
  <c r="BM50" i="2"/>
  <c r="BN50" i="2" s="1"/>
  <c r="BD52" i="2"/>
  <c r="BF52" i="2"/>
  <c r="BH52" i="2"/>
  <c r="BE52" i="2"/>
  <c r="BG52" i="2"/>
  <c r="AH52" i="2"/>
  <c r="AK52" i="2"/>
  <c r="AN52" i="2"/>
  <c r="AI52" i="2"/>
  <c r="AP52" i="2"/>
  <c r="AO52" i="2"/>
  <c r="AF52" i="2"/>
  <c r="AV51" i="2"/>
  <c r="AW51" i="2" s="1"/>
  <c r="AU51" i="2"/>
  <c r="A96" i="1"/>
  <c r="BB52" i="2"/>
  <c r="BC52" i="2" s="1"/>
  <c r="BA53" i="2"/>
  <c r="BJ51" i="2"/>
  <c r="AZ51" i="2"/>
  <c r="BK51" i="2"/>
  <c r="BI51" i="2"/>
  <c r="AT52" i="2"/>
  <c r="AR52" i="2"/>
  <c r="AS52" i="2"/>
  <c r="AQ52" i="2"/>
  <c r="AE52" i="2"/>
  <c r="AG54" i="2"/>
  <c r="AM53" i="2"/>
  <c r="BL51" i="2" l="1"/>
  <c r="BM51" i="2"/>
  <c r="BN51" i="2" s="1"/>
  <c r="BF53" i="2"/>
  <c r="BD53" i="2"/>
  <c r="BH53" i="2"/>
  <c r="BE53" i="2"/>
  <c r="BG53" i="2"/>
  <c r="AH53" i="2"/>
  <c r="AN53" i="2"/>
  <c r="AK53" i="2"/>
  <c r="AI53" i="2"/>
  <c r="AP53" i="2"/>
  <c r="AO53" i="2"/>
  <c r="AF53" i="2"/>
  <c r="AV52" i="2"/>
  <c r="AW52" i="2" s="1"/>
  <c r="AU52" i="2"/>
  <c r="A97" i="1"/>
  <c r="AT53" i="2"/>
  <c r="AR53" i="2"/>
  <c r="AS53" i="2"/>
  <c r="AQ53" i="2"/>
  <c r="AE53" i="2"/>
  <c r="AG55" i="2"/>
  <c r="AM54" i="2"/>
  <c r="BB53" i="2"/>
  <c r="BC53" i="2" s="1"/>
  <c r="BA54" i="2"/>
  <c r="BJ52" i="2"/>
  <c r="AZ52" i="2"/>
  <c r="BK52" i="2"/>
  <c r="BI52" i="2"/>
  <c r="BL52" i="2" l="1"/>
  <c r="BM52" i="2"/>
  <c r="BN52" i="2" s="1"/>
  <c r="BD54" i="2"/>
  <c r="BF54" i="2"/>
  <c r="BH54" i="2"/>
  <c r="BE54" i="2"/>
  <c r="BG54" i="2"/>
  <c r="AH54" i="2"/>
  <c r="AK54" i="2"/>
  <c r="AN54" i="2"/>
  <c r="AI54" i="2"/>
  <c r="AP54" i="2"/>
  <c r="AO54" i="2"/>
  <c r="AF54" i="2"/>
  <c r="AV53" i="2"/>
  <c r="AW53" i="2" s="1"/>
  <c r="AU53" i="2"/>
  <c r="A98" i="1"/>
  <c r="BB54" i="2"/>
  <c r="BC54" i="2" s="1"/>
  <c r="BA55" i="2"/>
  <c r="BJ53" i="2"/>
  <c r="AZ53" i="2"/>
  <c r="BK53" i="2"/>
  <c r="BI53" i="2"/>
  <c r="AT54" i="2"/>
  <c r="AR54" i="2"/>
  <c r="AS54" i="2"/>
  <c r="AQ54" i="2"/>
  <c r="AE54" i="2"/>
  <c r="AG56" i="2"/>
  <c r="AM55" i="2"/>
  <c r="BL53" i="2" l="1"/>
  <c r="BM53" i="2"/>
  <c r="BN53" i="2" s="1"/>
  <c r="BF55" i="2"/>
  <c r="BD55" i="2"/>
  <c r="BH55" i="2"/>
  <c r="BE55" i="2"/>
  <c r="BG55" i="2"/>
  <c r="AH55" i="2"/>
  <c r="AN55" i="2"/>
  <c r="AK55" i="2"/>
  <c r="AI55" i="2"/>
  <c r="AP55" i="2"/>
  <c r="AO55" i="2"/>
  <c r="AF55" i="2"/>
  <c r="AV54" i="2"/>
  <c r="AW54" i="2" s="1"/>
  <c r="AU54" i="2"/>
  <c r="A99" i="1"/>
  <c r="AT55" i="2"/>
  <c r="AR55" i="2"/>
  <c r="AS55" i="2"/>
  <c r="AQ55" i="2"/>
  <c r="AE55" i="2"/>
  <c r="AG57" i="2"/>
  <c r="AM56" i="2"/>
  <c r="BB55" i="2"/>
  <c r="BC55" i="2" s="1"/>
  <c r="BA56" i="2"/>
  <c r="BJ54" i="2"/>
  <c r="AZ54" i="2"/>
  <c r="BK54" i="2"/>
  <c r="BI54" i="2"/>
  <c r="BL54" i="2" l="1"/>
  <c r="BM54" i="2"/>
  <c r="BN54" i="2" s="1"/>
  <c r="BD56" i="2"/>
  <c r="BF56" i="2"/>
  <c r="BH56" i="2"/>
  <c r="BE56" i="2"/>
  <c r="BG56" i="2"/>
  <c r="AH56" i="2"/>
  <c r="AK56" i="2"/>
  <c r="AN56" i="2"/>
  <c r="AI56" i="2"/>
  <c r="AP56" i="2"/>
  <c r="AO56" i="2"/>
  <c r="AF56" i="2"/>
  <c r="AV55" i="2"/>
  <c r="AW55" i="2" s="1"/>
  <c r="AU55" i="2"/>
  <c r="A100" i="1"/>
  <c r="BB56" i="2"/>
  <c r="BC56" i="2" s="1"/>
  <c r="BA57" i="2"/>
  <c r="BJ55" i="2"/>
  <c r="AZ55" i="2"/>
  <c r="BK55" i="2"/>
  <c r="BI55" i="2"/>
  <c r="AT56" i="2"/>
  <c r="AR56" i="2"/>
  <c r="AS56" i="2"/>
  <c r="AQ56" i="2"/>
  <c r="AE56" i="2"/>
  <c r="AG58" i="2"/>
  <c r="AM57" i="2"/>
  <c r="AH57" i="2" l="1"/>
  <c r="AN57" i="2"/>
  <c r="AK57" i="2"/>
  <c r="AI57" i="2"/>
  <c r="AP57" i="2"/>
  <c r="AO57" i="2"/>
  <c r="AF57" i="2"/>
  <c r="AV56" i="2"/>
  <c r="AW56" i="2" s="1"/>
  <c r="AU56" i="2"/>
  <c r="BL55" i="2"/>
  <c r="BM55" i="2"/>
  <c r="BN55" i="2" s="1"/>
  <c r="BF57" i="2"/>
  <c r="BD57" i="2"/>
  <c r="BH57" i="2"/>
  <c r="BE57" i="2"/>
  <c r="BG57" i="2"/>
  <c r="A101" i="1"/>
  <c r="AT57" i="2"/>
  <c r="AR57" i="2"/>
  <c r="AS57" i="2"/>
  <c r="AQ57" i="2"/>
  <c r="AE57" i="2"/>
  <c r="AG59" i="2"/>
  <c r="AM58" i="2"/>
  <c r="BB57" i="2"/>
  <c r="BC57" i="2" s="1"/>
  <c r="BA58" i="2"/>
  <c r="BJ56" i="2"/>
  <c r="AZ56" i="2"/>
  <c r="BK56" i="2"/>
  <c r="BI56" i="2"/>
  <c r="BL56" i="2" l="1"/>
  <c r="BM56" i="2"/>
  <c r="BN56" i="2" s="1"/>
  <c r="BD58" i="2"/>
  <c r="BF58" i="2"/>
  <c r="BH58" i="2"/>
  <c r="BE58" i="2"/>
  <c r="BG58" i="2"/>
  <c r="AH58" i="2"/>
  <c r="AK58" i="2"/>
  <c r="AN58" i="2"/>
  <c r="AI58" i="2"/>
  <c r="AP58" i="2"/>
  <c r="AO58" i="2"/>
  <c r="AF58" i="2"/>
  <c r="AV57" i="2"/>
  <c r="AW57" i="2" s="1"/>
  <c r="AU57" i="2"/>
  <c r="A102" i="1"/>
  <c r="BB58" i="2"/>
  <c r="BC58" i="2" s="1"/>
  <c r="BA59" i="2"/>
  <c r="BJ57" i="2"/>
  <c r="AZ57" i="2"/>
  <c r="BK57" i="2"/>
  <c r="BI57" i="2"/>
  <c r="AT58" i="2"/>
  <c r="AR58" i="2"/>
  <c r="AS58" i="2"/>
  <c r="AQ58" i="2"/>
  <c r="AE58" i="2"/>
  <c r="AG60" i="2"/>
  <c r="AM59" i="2"/>
  <c r="AH59" i="2" l="1"/>
  <c r="AN59" i="2"/>
  <c r="AK59" i="2"/>
  <c r="AI59" i="2"/>
  <c r="AP59" i="2"/>
  <c r="AO59" i="2"/>
  <c r="AF59" i="2"/>
  <c r="AV58" i="2"/>
  <c r="AW58" i="2" s="1"/>
  <c r="AU58" i="2"/>
  <c r="BL57" i="2"/>
  <c r="BM57" i="2"/>
  <c r="BN57" i="2" s="1"/>
  <c r="BF59" i="2"/>
  <c r="BD59" i="2"/>
  <c r="BH59" i="2"/>
  <c r="BE59" i="2"/>
  <c r="BG59" i="2"/>
  <c r="A103" i="1"/>
  <c r="AT59" i="2"/>
  <c r="AR59" i="2"/>
  <c r="AS59" i="2"/>
  <c r="AQ59" i="2"/>
  <c r="AE59" i="2"/>
  <c r="AG61" i="2"/>
  <c r="AM60" i="2"/>
  <c r="BB59" i="2"/>
  <c r="BC59" i="2" s="1"/>
  <c r="BA60" i="2"/>
  <c r="BJ58" i="2"/>
  <c r="AZ58" i="2"/>
  <c r="BK58" i="2"/>
  <c r="BI58" i="2"/>
  <c r="BL58" i="2" l="1"/>
  <c r="BM58" i="2"/>
  <c r="BN58" i="2" s="1"/>
  <c r="BD60" i="2"/>
  <c r="BF60" i="2"/>
  <c r="BH60" i="2"/>
  <c r="BE60" i="2"/>
  <c r="BG60" i="2"/>
  <c r="AH60" i="2"/>
  <c r="AK60" i="2"/>
  <c r="AN60" i="2"/>
  <c r="AI60" i="2"/>
  <c r="AP60" i="2"/>
  <c r="AO60" i="2"/>
  <c r="AF60" i="2"/>
  <c r="AV59" i="2"/>
  <c r="AW59" i="2" s="1"/>
  <c r="AU59" i="2"/>
  <c r="A104" i="1"/>
  <c r="BB60" i="2"/>
  <c r="BC60" i="2" s="1"/>
  <c r="BA61" i="2"/>
  <c r="BJ59" i="2"/>
  <c r="AZ59" i="2"/>
  <c r="BK59" i="2"/>
  <c r="BI59" i="2"/>
  <c r="AT60" i="2"/>
  <c r="AR60" i="2"/>
  <c r="AS60" i="2"/>
  <c r="AQ60" i="2"/>
  <c r="AE60" i="2"/>
  <c r="AG62" i="2"/>
  <c r="AM61" i="2"/>
  <c r="BL59" i="2" l="1"/>
  <c r="BM59" i="2"/>
  <c r="BN59" i="2" s="1"/>
  <c r="BF61" i="2"/>
  <c r="BD61" i="2"/>
  <c r="BH61" i="2"/>
  <c r="BE61" i="2"/>
  <c r="BG61" i="2"/>
  <c r="AH61" i="2"/>
  <c r="AN61" i="2"/>
  <c r="AK61" i="2"/>
  <c r="AI61" i="2"/>
  <c r="AP61" i="2"/>
  <c r="AO61" i="2"/>
  <c r="AF61" i="2"/>
  <c r="AV60" i="2"/>
  <c r="AW60" i="2" s="1"/>
  <c r="AU60" i="2"/>
  <c r="A105" i="1"/>
  <c r="AT61" i="2"/>
  <c r="AR61" i="2"/>
  <c r="AS61" i="2"/>
  <c r="AQ61" i="2"/>
  <c r="AE61" i="2"/>
  <c r="AG63" i="2"/>
  <c r="AM62" i="2"/>
  <c r="BB61" i="2"/>
  <c r="BC61" i="2" s="1"/>
  <c r="BA62" i="2"/>
  <c r="BJ60" i="2"/>
  <c r="AZ60" i="2"/>
  <c r="BK60" i="2"/>
  <c r="BI60" i="2"/>
  <c r="BL60" i="2" l="1"/>
  <c r="BM60" i="2"/>
  <c r="BN60" i="2" s="1"/>
  <c r="BD62" i="2"/>
  <c r="BF62" i="2"/>
  <c r="BH62" i="2"/>
  <c r="BE62" i="2"/>
  <c r="BG62" i="2"/>
  <c r="AH62" i="2"/>
  <c r="AK62" i="2"/>
  <c r="AN62" i="2"/>
  <c r="AI62" i="2"/>
  <c r="AP62" i="2"/>
  <c r="AO62" i="2"/>
  <c r="AF62" i="2"/>
  <c r="AV61" i="2"/>
  <c r="AW61" i="2" s="1"/>
  <c r="AU61" i="2"/>
  <c r="A106" i="1"/>
  <c r="BB62" i="2"/>
  <c r="BC62" i="2" s="1"/>
  <c r="BA63" i="2"/>
  <c r="BJ61" i="2"/>
  <c r="AZ61" i="2"/>
  <c r="BK61" i="2"/>
  <c r="BI61" i="2"/>
  <c r="AT62" i="2"/>
  <c r="AR62" i="2"/>
  <c r="AS62" i="2"/>
  <c r="AQ62" i="2"/>
  <c r="AE62" i="2"/>
  <c r="AG64" i="2"/>
  <c r="AM63" i="2"/>
  <c r="BL61" i="2" l="1"/>
  <c r="BM61" i="2"/>
  <c r="BN61" i="2" s="1"/>
  <c r="BF63" i="2"/>
  <c r="BD63" i="2"/>
  <c r="BH63" i="2"/>
  <c r="BE63" i="2"/>
  <c r="BG63" i="2"/>
  <c r="AH63" i="2"/>
  <c r="AN63" i="2"/>
  <c r="AK63" i="2"/>
  <c r="AI63" i="2"/>
  <c r="AP63" i="2"/>
  <c r="AO63" i="2"/>
  <c r="AF63" i="2"/>
  <c r="AV62" i="2"/>
  <c r="AW62" i="2" s="1"/>
  <c r="AU62" i="2"/>
  <c r="A107" i="1"/>
  <c r="AT63" i="2"/>
  <c r="AR63" i="2"/>
  <c r="AS63" i="2"/>
  <c r="AQ63" i="2"/>
  <c r="AE63" i="2"/>
  <c r="AG65" i="2"/>
  <c r="AM64" i="2"/>
  <c r="BB63" i="2"/>
  <c r="BC63" i="2" s="1"/>
  <c r="BA64" i="2"/>
  <c r="BJ62" i="2"/>
  <c r="AZ62" i="2"/>
  <c r="BK62" i="2"/>
  <c r="BI62" i="2"/>
  <c r="BL62" i="2" l="1"/>
  <c r="BM62" i="2"/>
  <c r="BN62" i="2" s="1"/>
  <c r="BD64" i="2"/>
  <c r="BF64" i="2"/>
  <c r="BH64" i="2"/>
  <c r="BE64" i="2"/>
  <c r="BG64" i="2"/>
  <c r="AH64" i="2"/>
  <c r="AK64" i="2"/>
  <c r="AN64" i="2"/>
  <c r="AI64" i="2"/>
  <c r="AP64" i="2"/>
  <c r="AO64" i="2"/>
  <c r="AF64" i="2"/>
  <c r="AV63" i="2"/>
  <c r="AW63" i="2" s="1"/>
  <c r="AU63" i="2"/>
  <c r="A108" i="1"/>
  <c r="BA65" i="2"/>
  <c r="BB64" i="2"/>
  <c r="BC64" i="2" s="1"/>
  <c r="BJ63" i="2"/>
  <c r="AZ63" i="2"/>
  <c r="BK63" i="2"/>
  <c r="BI63" i="2"/>
  <c r="AT64" i="2"/>
  <c r="AR64" i="2"/>
  <c r="AS64" i="2"/>
  <c r="AQ64" i="2"/>
  <c r="AE64" i="2"/>
  <c r="AG66" i="2"/>
  <c r="AM65" i="2"/>
  <c r="AH65" i="2" l="1"/>
  <c r="AN65" i="2"/>
  <c r="AK65" i="2"/>
  <c r="AI65" i="2"/>
  <c r="AP65" i="2"/>
  <c r="AO65" i="2"/>
  <c r="AF65" i="2"/>
  <c r="AV64" i="2"/>
  <c r="AW64" i="2" s="1"/>
  <c r="AU64" i="2"/>
  <c r="BF65" i="2"/>
  <c r="BD65" i="2"/>
  <c r="BE65" i="2"/>
  <c r="BH65" i="2"/>
  <c r="BG65" i="2"/>
  <c r="BL63" i="2"/>
  <c r="BM63" i="2"/>
  <c r="BN63" i="2" s="1"/>
  <c r="A109" i="1"/>
  <c r="AT65" i="2"/>
  <c r="AR65" i="2"/>
  <c r="AS65" i="2"/>
  <c r="AQ65" i="2"/>
  <c r="AE65" i="2"/>
  <c r="AG67" i="2"/>
  <c r="AM66" i="2"/>
  <c r="BJ64" i="2"/>
  <c r="AZ64" i="2"/>
  <c r="BK64" i="2"/>
  <c r="BI64" i="2"/>
  <c r="BB65" i="2"/>
  <c r="BC65" i="2" s="1"/>
  <c r="BA66" i="2"/>
  <c r="BD66" i="2" l="1"/>
  <c r="BF66" i="2"/>
  <c r="BE66" i="2"/>
  <c r="BH66" i="2"/>
  <c r="BG66" i="2"/>
  <c r="BL64" i="2"/>
  <c r="BM64" i="2"/>
  <c r="BN64" i="2" s="1"/>
  <c r="AH66" i="2"/>
  <c r="AK66" i="2"/>
  <c r="AI66" i="2"/>
  <c r="AN66" i="2"/>
  <c r="AP66" i="2"/>
  <c r="AF66" i="2"/>
  <c r="AO66" i="2"/>
  <c r="AU65" i="2"/>
  <c r="AV65" i="2"/>
  <c r="AW65" i="2" s="1"/>
  <c r="A110" i="1"/>
  <c r="BB66" i="2"/>
  <c r="BC66" i="2" s="1"/>
  <c r="BA67" i="2"/>
  <c r="BJ65" i="2"/>
  <c r="AZ65" i="2"/>
  <c r="BK65" i="2"/>
  <c r="BI65" i="2"/>
  <c r="AT66" i="2"/>
  <c r="AR66" i="2"/>
  <c r="AS66" i="2"/>
  <c r="AQ66" i="2"/>
  <c r="AE66" i="2"/>
  <c r="AG68" i="2"/>
  <c r="AM67" i="2"/>
  <c r="BL65" i="2" l="1"/>
  <c r="BM65" i="2"/>
  <c r="BN65" i="2" s="1"/>
  <c r="BF67" i="2"/>
  <c r="BD67" i="2"/>
  <c r="BE67" i="2"/>
  <c r="BH67" i="2"/>
  <c r="BG67" i="2"/>
  <c r="AH67" i="2"/>
  <c r="AN67" i="2"/>
  <c r="AI67" i="2"/>
  <c r="AK67" i="2"/>
  <c r="AP67" i="2"/>
  <c r="AF67" i="2"/>
  <c r="AO67" i="2"/>
  <c r="AV66" i="2"/>
  <c r="AW66" i="2" s="1"/>
  <c r="AU66" i="2"/>
  <c r="A111" i="1"/>
  <c r="AT67" i="2"/>
  <c r="AR67" i="2"/>
  <c r="AS67" i="2"/>
  <c r="AQ67" i="2"/>
  <c r="AE67" i="2"/>
  <c r="AG69" i="2"/>
  <c r="AM68" i="2"/>
  <c r="BB67" i="2"/>
  <c r="BC67" i="2" s="1"/>
  <c r="BA68" i="2"/>
  <c r="BJ66" i="2"/>
  <c r="AZ66" i="2"/>
  <c r="BK66" i="2"/>
  <c r="BI66" i="2"/>
  <c r="BL66" i="2" l="1"/>
  <c r="BM66" i="2"/>
  <c r="BN66" i="2" s="1"/>
  <c r="BD68" i="2"/>
  <c r="BF68" i="2"/>
  <c r="BE68" i="2"/>
  <c r="BH68" i="2"/>
  <c r="BG68" i="2"/>
  <c r="AH68" i="2"/>
  <c r="AK68" i="2"/>
  <c r="AI68" i="2"/>
  <c r="AN68" i="2"/>
  <c r="AP68" i="2"/>
  <c r="AF68" i="2"/>
  <c r="AO68" i="2"/>
  <c r="AV67" i="2"/>
  <c r="AW67" i="2" s="1"/>
  <c r="AU67" i="2"/>
  <c r="A112" i="1"/>
  <c r="BB68" i="2"/>
  <c r="BC68" i="2" s="1"/>
  <c r="BA69" i="2"/>
  <c r="BJ67" i="2"/>
  <c r="AZ67" i="2"/>
  <c r="BK67" i="2"/>
  <c r="BI67" i="2"/>
  <c r="AT68" i="2"/>
  <c r="AR68" i="2"/>
  <c r="AS68" i="2"/>
  <c r="AQ68" i="2"/>
  <c r="AE68" i="2"/>
  <c r="AG70" i="2"/>
  <c r="AM69" i="2"/>
  <c r="BL67" i="2" l="1"/>
  <c r="BM67" i="2"/>
  <c r="BN67" i="2" s="1"/>
  <c r="BF69" i="2"/>
  <c r="BD69" i="2"/>
  <c r="BE69" i="2"/>
  <c r="BH69" i="2"/>
  <c r="BG69" i="2"/>
  <c r="AH69" i="2"/>
  <c r="AN69" i="2"/>
  <c r="AI69" i="2"/>
  <c r="AK69" i="2"/>
  <c r="AP69" i="2"/>
  <c r="AO69" i="2"/>
  <c r="AF69" i="2"/>
  <c r="AV68" i="2"/>
  <c r="AW68" i="2" s="1"/>
  <c r="AU68" i="2"/>
  <c r="A113" i="1"/>
  <c r="AT69" i="2"/>
  <c r="AR69" i="2"/>
  <c r="AS69" i="2"/>
  <c r="AQ69" i="2"/>
  <c r="AE69" i="2"/>
  <c r="AG71" i="2"/>
  <c r="AM70" i="2"/>
  <c r="BB69" i="2"/>
  <c r="BC69" i="2" s="1"/>
  <c r="BA70" i="2"/>
  <c r="BJ68" i="2"/>
  <c r="AZ68" i="2"/>
  <c r="BK68" i="2"/>
  <c r="BI68" i="2"/>
  <c r="BL68" i="2" l="1"/>
  <c r="BM68" i="2"/>
  <c r="BN68" i="2" s="1"/>
  <c r="BF70" i="2"/>
  <c r="BD70" i="2"/>
  <c r="BE70" i="2"/>
  <c r="BH70" i="2"/>
  <c r="BG70" i="2"/>
  <c r="AH70" i="2"/>
  <c r="AN70" i="2"/>
  <c r="AI70" i="2"/>
  <c r="AK70" i="2"/>
  <c r="AP70" i="2"/>
  <c r="AF70" i="2"/>
  <c r="AO70" i="2"/>
  <c r="AV69" i="2"/>
  <c r="AW69" i="2" s="1"/>
  <c r="AU69" i="2"/>
  <c r="A114" i="1"/>
  <c r="BB70" i="2"/>
  <c r="BC70" i="2" s="1"/>
  <c r="BA71" i="2"/>
  <c r="BJ69" i="2"/>
  <c r="AZ69" i="2"/>
  <c r="BK69" i="2"/>
  <c r="BI69" i="2"/>
  <c r="AT70" i="2"/>
  <c r="AR70" i="2"/>
  <c r="AS70" i="2"/>
  <c r="AQ70" i="2"/>
  <c r="AE70" i="2"/>
  <c r="AG72" i="2"/>
  <c r="AM71" i="2"/>
  <c r="BL69" i="2" l="1"/>
  <c r="BM69" i="2"/>
  <c r="BN69" i="2" s="1"/>
  <c r="BF71" i="2"/>
  <c r="BD71" i="2"/>
  <c r="BE71" i="2"/>
  <c r="BH71" i="2"/>
  <c r="BG71" i="2"/>
  <c r="AH71" i="2"/>
  <c r="AN71" i="2"/>
  <c r="AI71" i="2"/>
  <c r="AK71" i="2"/>
  <c r="AP71" i="2"/>
  <c r="AF71" i="2"/>
  <c r="AO71" i="2"/>
  <c r="AV70" i="2"/>
  <c r="AW70" i="2" s="1"/>
  <c r="AU70" i="2"/>
  <c r="A115" i="1"/>
  <c r="AT71" i="2"/>
  <c r="AR71" i="2"/>
  <c r="AS71" i="2"/>
  <c r="AQ71" i="2"/>
  <c r="AE71" i="2"/>
  <c r="AG73" i="2"/>
  <c r="AM72" i="2"/>
  <c r="BB71" i="2"/>
  <c r="BC71" i="2" s="1"/>
  <c r="BA72" i="2"/>
  <c r="BJ70" i="2"/>
  <c r="AZ70" i="2"/>
  <c r="BK70" i="2"/>
  <c r="BI70" i="2"/>
  <c r="BL70" i="2" l="1"/>
  <c r="BM70" i="2"/>
  <c r="BN70" i="2" s="1"/>
  <c r="BF72" i="2"/>
  <c r="BD72" i="2"/>
  <c r="BE72" i="2"/>
  <c r="BH72" i="2"/>
  <c r="BG72" i="2"/>
  <c r="AH72" i="2"/>
  <c r="AN72" i="2"/>
  <c r="AI72" i="2"/>
  <c r="AK72" i="2"/>
  <c r="AP72" i="2"/>
  <c r="AF72" i="2"/>
  <c r="AO72" i="2"/>
  <c r="AV71" i="2"/>
  <c r="AW71" i="2" s="1"/>
  <c r="AU71" i="2"/>
  <c r="A116" i="1"/>
  <c r="BB72" i="2"/>
  <c r="BC72" i="2" s="1"/>
  <c r="BA73" i="2"/>
  <c r="BJ71" i="2"/>
  <c r="AZ71" i="2"/>
  <c r="BK71" i="2"/>
  <c r="BI71" i="2"/>
  <c r="AT72" i="2"/>
  <c r="AR72" i="2"/>
  <c r="AS72" i="2"/>
  <c r="AQ72" i="2"/>
  <c r="AE72" i="2"/>
  <c r="AG74" i="2"/>
  <c r="AM73" i="2"/>
  <c r="AH73" i="2" l="1"/>
  <c r="AN73" i="2"/>
  <c r="AI73" i="2"/>
  <c r="AK73" i="2"/>
  <c r="AP73" i="2"/>
  <c r="AO73" i="2"/>
  <c r="AF73" i="2"/>
  <c r="AV72" i="2"/>
  <c r="AW72" i="2" s="1"/>
  <c r="AU72" i="2"/>
  <c r="BL71" i="2"/>
  <c r="BM71" i="2"/>
  <c r="BN71" i="2" s="1"/>
  <c r="BD73" i="2"/>
  <c r="BF73" i="2"/>
  <c r="BE73" i="2"/>
  <c r="BH73" i="2"/>
  <c r="BG73" i="2"/>
  <c r="A117" i="1"/>
  <c r="AT73" i="2"/>
  <c r="AR73" i="2"/>
  <c r="AS73" i="2"/>
  <c r="AQ73" i="2"/>
  <c r="AE73" i="2"/>
  <c r="AG75" i="2"/>
  <c r="AM74" i="2"/>
  <c r="BB73" i="2"/>
  <c r="BC73" i="2" s="1"/>
  <c r="BA74" i="2"/>
  <c r="BJ72" i="2"/>
  <c r="AZ72" i="2"/>
  <c r="BK72" i="2"/>
  <c r="BI72" i="2"/>
  <c r="BL72" i="2" l="1"/>
  <c r="BM72" i="2"/>
  <c r="BN72" i="2" s="1"/>
  <c r="BD74" i="2"/>
  <c r="BF74" i="2"/>
  <c r="BE74" i="2"/>
  <c r="BH74" i="2"/>
  <c r="BG74" i="2"/>
  <c r="AH74" i="2"/>
  <c r="AK74" i="2"/>
  <c r="AN74" i="2"/>
  <c r="AI74" i="2"/>
  <c r="AP74" i="2"/>
  <c r="AF74" i="2"/>
  <c r="AO74" i="2"/>
  <c r="AV73" i="2"/>
  <c r="AW73" i="2" s="1"/>
  <c r="AU73" i="2"/>
  <c r="A118" i="1"/>
  <c r="BB74" i="2"/>
  <c r="BC74" i="2" s="1"/>
  <c r="BA75" i="2"/>
  <c r="BJ73" i="2"/>
  <c r="AZ73" i="2"/>
  <c r="BK73" i="2"/>
  <c r="BI73" i="2"/>
  <c r="AT74" i="2"/>
  <c r="AR74" i="2"/>
  <c r="AS74" i="2"/>
  <c r="AQ74" i="2"/>
  <c r="AE74" i="2"/>
  <c r="AG76" i="2"/>
  <c r="AM75" i="2"/>
  <c r="BL73" i="2" l="1"/>
  <c r="BM73" i="2"/>
  <c r="BN73" i="2" s="1"/>
  <c r="BD75" i="2"/>
  <c r="BF75" i="2"/>
  <c r="BE75" i="2"/>
  <c r="BH75" i="2"/>
  <c r="BG75" i="2"/>
  <c r="AH75" i="2"/>
  <c r="AK75" i="2"/>
  <c r="AN75" i="2"/>
  <c r="AI75" i="2"/>
  <c r="AP75" i="2"/>
  <c r="AF75" i="2"/>
  <c r="AO75" i="2"/>
  <c r="AV74" i="2"/>
  <c r="AW74" i="2" s="1"/>
  <c r="AU74" i="2"/>
  <c r="A119" i="1"/>
  <c r="AT75" i="2"/>
  <c r="AR75" i="2"/>
  <c r="AS75" i="2"/>
  <c r="AQ75" i="2"/>
  <c r="AE75" i="2"/>
  <c r="AG77" i="2"/>
  <c r="AM76" i="2"/>
  <c r="BB75" i="2"/>
  <c r="BC75" i="2" s="1"/>
  <c r="BA76" i="2"/>
  <c r="BJ74" i="2"/>
  <c r="AZ74" i="2"/>
  <c r="BK74" i="2"/>
  <c r="BI74" i="2"/>
  <c r="BL74" i="2" l="1"/>
  <c r="BM74" i="2"/>
  <c r="BN74" i="2" s="1"/>
  <c r="BD76" i="2"/>
  <c r="BF76" i="2"/>
  <c r="BE76" i="2"/>
  <c r="BH76" i="2"/>
  <c r="BG76" i="2"/>
  <c r="AH76" i="2"/>
  <c r="AK76" i="2"/>
  <c r="AN76" i="2"/>
  <c r="AI76" i="2"/>
  <c r="AP76" i="2"/>
  <c r="AF76" i="2"/>
  <c r="AO76" i="2"/>
  <c r="AV75" i="2"/>
  <c r="AW75" i="2" s="1"/>
  <c r="AU75" i="2"/>
  <c r="A120" i="1"/>
  <c r="BB76" i="2"/>
  <c r="BC76" i="2" s="1"/>
  <c r="BA77" i="2"/>
  <c r="BJ75" i="2"/>
  <c r="AZ75" i="2"/>
  <c r="BK75" i="2"/>
  <c r="BI75" i="2"/>
  <c r="AT76" i="2"/>
  <c r="AR76" i="2"/>
  <c r="AS76" i="2"/>
  <c r="AQ76" i="2"/>
  <c r="AE76" i="2"/>
  <c r="AG78" i="2"/>
  <c r="AM77" i="2"/>
  <c r="AH77" i="2" l="1"/>
  <c r="AK77" i="2"/>
  <c r="AN77" i="2"/>
  <c r="AI77" i="2"/>
  <c r="AP77" i="2"/>
  <c r="AO77" i="2"/>
  <c r="AF77" i="2"/>
  <c r="AV76" i="2"/>
  <c r="AW76" i="2" s="1"/>
  <c r="AU76" i="2"/>
  <c r="BL75" i="2"/>
  <c r="BM75" i="2"/>
  <c r="BN75" i="2" s="1"/>
  <c r="BD77" i="2"/>
  <c r="BF77" i="2"/>
  <c r="BE77" i="2"/>
  <c r="BH77" i="2"/>
  <c r="BG77" i="2"/>
  <c r="A121" i="1"/>
  <c r="AT77" i="2"/>
  <c r="AR77" i="2"/>
  <c r="AS77" i="2"/>
  <c r="AQ77" i="2"/>
  <c r="AE77" i="2"/>
  <c r="AG79" i="2"/>
  <c r="AM78" i="2"/>
  <c r="BB77" i="2"/>
  <c r="BC77" i="2" s="1"/>
  <c r="BA78" i="2"/>
  <c r="BJ76" i="2"/>
  <c r="AZ76" i="2"/>
  <c r="BK76" i="2"/>
  <c r="BI76" i="2"/>
  <c r="BL76" i="2" l="1"/>
  <c r="BM76" i="2"/>
  <c r="BN76" i="2" s="1"/>
  <c r="BD78" i="2"/>
  <c r="BF78" i="2"/>
  <c r="BE78" i="2"/>
  <c r="BH78" i="2"/>
  <c r="BG78" i="2"/>
  <c r="AH78" i="2"/>
  <c r="AK78" i="2"/>
  <c r="AN78" i="2"/>
  <c r="AI78" i="2"/>
  <c r="AP78" i="2"/>
  <c r="AF78" i="2"/>
  <c r="AO78" i="2"/>
  <c r="AV77" i="2"/>
  <c r="AW77" i="2" s="1"/>
  <c r="AU77" i="2"/>
  <c r="A122" i="1"/>
  <c r="BB78" i="2"/>
  <c r="BC78" i="2" s="1"/>
  <c r="BA79" i="2"/>
  <c r="BJ77" i="2"/>
  <c r="AZ77" i="2"/>
  <c r="BK77" i="2"/>
  <c r="BI77" i="2"/>
  <c r="AT78" i="2"/>
  <c r="AR78" i="2"/>
  <c r="AS78" i="2"/>
  <c r="AQ78" i="2"/>
  <c r="AE78" i="2"/>
  <c r="AG80" i="2"/>
  <c r="AM79" i="2"/>
  <c r="BL77" i="2" l="1"/>
  <c r="BM77" i="2"/>
  <c r="BN77" i="2" s="1"/>
  <c r="BD79" i="2"/>
  <c r="BF79" i="2"/>
  <c r="BE79" i="2"/>
  <c r="BH79" i="2"/>
  <c r="BG79" i="2"/>
  <c r="AH79" i="2"/>
  <c r="AK79" i="2"/>
  <c r="AN79" i="2"/>
  <c r="AI79" i="2"/>
  <c r="AP79" i="2"/>
  <c r="AF79" i="2"/>
  <c r="AO79" i="2"/>
  <c r="AV78" i="2"/>
  <c r="AW78" i="2" s="1"/>
  <c r="AU78" i="2"/>
  <c r="A123" i="1"/>
  <c r="AT79" i="2"/>
  <c r="AR79" i="2"/>
  <c r="AS79" i="2"/>
  <c r="AQ79" i="2"/>
  <c r="AE79" i="2"/>
  <c r="AG81" i="2"/>
  <c r="AM80" i="2"/>
  <c r="BB79" i="2"/>
  <c r="BC79" i="2" s="1"/>
  <c r="BA80" i="2"/>
  <c r="BJ78" i="2"/>
  <c r="AZ78" i="2"/>
  <c r="BK78" i="2"/>
  <c r="BI78" i="2"/>
  <c r="BL78" i="2" l="1"/>
  <c r="BM78" i="2"/>
  <c r="BN78" i="2" s="1"/>
  <c r="BD80" i="2"/>
  <c r="BF80" i="2"/>
  <c r="BE80" i="2"/>
  <c r="BH80" i="2"/>
  <c r="BG80" i="2"/>
  <c r="AH80" i="2"/>
  <c r="AK80" i="2"/>
  <c r="AN80" i="2"/>
  <c r="AI80" i="2"/>
  <c r="AP80" i="2"/>
  <c r="AF80" i="2"/>
  <c r="AO80" i="2"/>
  <c r="AV79" i="2"/>
  <c r="AW79" i="2" s="1"/>
  <c r="AU79" i="2"/>
  <c r="A124" i="1"/>
  <c r="BB80" i="2"/>
  <c r="BC80" i="2" s="1"/>
  <c r="BA81" i="2"/>
  <c r="BJ79" i="2"/>
  <c r="AZ79" i="2"/>
  <c r="BK79" i="2"/>
  <c r="BI79" i="2"/>
  <c r="AT80" i="2"/>
  <c r="AR80" i="2"/>
  <c r="AS80" i="2"/>
  <c r="AQ80" i="2"/>
  <c r="AE80" i="2"/>
  <c r="AG82" i="2"/>
  <c r="AM81" i="2"/>
  <c r="AH81" i="2" l="1"/>
  <c r="AK81" i="2"/>
  <c r="AN81" i="2"/>
  <c r="AI81" i="2"/>
  <c r="AP81" i="2"/>
  <c r="AO81" i="2"/>
  <c r="AF81" i="2"/>
  <c r="AV80" i="2"/>
  <c r="AW80" i="2" s="1"/>
  <c r="AU80" i="2"/>
  <c r="BL79" i="2"/>
  <c r="BM79" i="2"/>
  <c r="BN79" i="2" s="1"/>
  <c r="BD81" i="2"/>
  <c r="BF81" i="2"/>
  <c r="BE81" i="2"/>
  <c r="BH81" i="2"/>
  <c r="BG81" i="2"/>
  <c r="AT81" i="2"/>
  <c r="AR81" i="2"/>
  <c r="AS81" i="2"/>
  <c r="AQ81" i="2"/>
  <c r="AE81" i="2"/>
  <c r="AG83" i="2"/>
  <c r="AM82" i="2"/>
  <c r="BB81" i="2"/>
  <c r="BC81" i="2" s="1"/>
  <c r="BA82" i="2"/>
  <c r="BJ80" i="2"/>
  <c r="AZ80" i="2"/>
  <c r="BK80" i="2"/>
  <c r="BI80" i="2"/>
  <c r="BL80" i="2" l="1"/>
  <c r="BM80" i="2"/>
  <c r="BN80" i="2" s="1"/>
  <c r="BD82" i="2"/>
  <c r="BF82" i="2"/>
  <c r="BE82" i="2"/>
  <c r="BH82" i="2"/>
  <c r="BG82" i="2"/>
  <c r="AH82" i="2"/>
  <c r="AK82" i="2"/>
  <c r="AN82" i="2"/>
  <c r="AI82" i="2"/>
  <c r="AP82" i="2"/>
  <c r="AF82" i="2"/>
  <c r="AO82" i="2"/>
  <c r="AV81" i="2"/>
  <c r="AW81" i="2" s="1"/>
  <c r="AU81" i="2"/>
  <c r="BB82" i="2"/>
  <c r="BC82" i="2" s="1"/>
  <c r="BA83" i="2"/>
  <c r="BJ81" i="2"/>
  <c r="AZ81" i="2"/>
  <c r="BK81" i="2"/>
  <c r="BI81" i="2"/>
  <c r="AT82" i="2"/>
  <c r="AR82" i="2"/>
  <c r="AS82" i="2"/>
  <c r="AQ82" i="2"/>
  <c r="AE82" i="2"/>
  <c r="AG84" i="2"/>
  <c r="AM83" i="2"/>
  <c r="AH83" i="2" l="1"/>
  <c r="AK83" i="2"/>
  <c r="AN83" i="2"/>
  <c r="AI83" i="2"/>
  <c r="AP83" i="2"/>
  <c r="AO83" i="2"/>
  <c r="AF83" i="2"/>
  <c r="AV82" i="2"/>
  <c r="AW82" i="2" s="1"/>
  <c r="AU82" i="2"/>
  <c r="BL81" i="2"/>
  <c r="BM81" i="2"/>
  <c r="BN81" i="2" s="1"/>
  <c r="BD83" i="2"/>
  <c r="BF83" i="2"/>
  <c r="BE83" i="2"/>
  <c r="BH83" i="2"/>
  <c r="BG83" i="2"/>
  <c r="AT83" i="2"/>
  <c r="AR83" i="2"/>
  <c r="AS83" i="2"/>
  <c r="AQ83" i="2"/>
  <c r="AE83" i="2"/>
  <c r="AG85" i="2"/>
  <c r="AM84" i="2"/>
  <c r="BB83" i="2"/>
  <c r="BC83" i="2" s="1"/>
  <c r="BA84" i="2"/>
  <c r="BJ82" i="2"/>
  <c r="AZ82" i="2"/>
  <c r="BK82" i="2"/>
  <c r="BI82" i="2"/>
  <c r="BL82" i="2" l="1"/>
  <c r="BM82" i="2"/>
  <c r="BN82" i="2" s="1"/>
  <c r="BD84" i="2"/>
  <c r="BF84" i="2"/>
  <c r="BE84" i="2"/>
  <c r="BH84" i="2"/>
  <c r="BG84" i="2"/>
  <c r="AH84" i="2"/>
  <c r="AK84" i="2"/>
  <c r="AN84" i="2"/>
  <c r="AI84" i="2"/>
  <c r="AP84" i="2"/>
  <c r="AF84" i="2"/>
  <c r="AO84" i="2"/>
  <c r="AV83" i="2"/>
  <c r="AW83" i="2" s="1"/>
  <c r="AU83" i="2"/>
  <c r="BA85" i="2"/>
  <c r="BB84" i="2"/>
  <c r="BC84" i="2" s="1"/>
  <c r="BJ83" i="2"/>
  <c r="AZ83" i="2"/>
  <c r="BK83" i="2"/>
  <c r="BI83" i="2"/>
  <c r="AT84" i="2"/>
  <c r="AR84" i="2"/>
  <c r="AS84" i="2"/>
  <c r="AQ84" i="2"/>
  <c r="AE84" i="2"/>
  <c r="AG86" i="2"/>
  <c r="AM85" i="2"/>
  <c r="AH85" i="2" l="1"/>
  <c r="AN85" i="2"/>
  <c r="AI85" i="2"/>
  <c r="AK85" i="2"/>
  <c r="AP85" i="2"/>
  <c r="AO85" i="2"/>
  <c r="AF85" i="2"/>
  <c r="AV84" i="2"/>
  <c r="AW84" i="2" s="1"/>
  <c r="AU84" i="2"/>
  <c r="BE85" i="2"/>
  <c r="BF85" i="2"/>
  <c r="BD85" i="2"/>
  <c r="BH85" i="2"/>
  <c r="BG85" i="2"/>
  <c r="BL83" i="2"/>
  <c r="BM83" i="2"/>
  <c r="BN83" i="2" s="1"/>
  <c r="AS85" i="2"/>
  <c r="AQ85" i="2"/>
  <c r="AR85" i="2"/>
  <c r="AT85" i="2"/>
  <c r="AE85" i="2"/>
  <c r="AG87" i="2"/>
  <c r="AM86" i="2"/>
  <c r="BJ84" i="2"/>
  <c r="AZ84" i="2"/>
  <c r="BK84" i="2"/>
  <c r="BI84" i="2"/>
  <c r="BA86" i="2"/>
  <c r="BB85" i="2"/>
  <c r="BC85" i="2" s="1"/>
  <c r="BL84" i="2" l="1"/>
  <c r="BM84" i="2"/>
  <c r="BN84" i="2" s="1"/>
  <c r="AH86" i="2"/>
  <c r="AN86" i="2"/>
  <c r="AI86" i="2"/>
  <c r="AK86" i="2"/>
  <c r="AP86" i="2"/>
  <c r="AO86" i="2"/>
  <c r="AF86" i="2"/>
  <c r="AU85" i="2"/>
  <c r="AV85" i="2"/>
  <c r="AW85" i="2" s="1"/>
  <c r="BE86" i="2"/>
  <c r="BF86" i="2"/>
  <c r="BD86" i="2"/>
  <c r="BH86" i="2"/>
  <c r="BG86" i="2"/>
  <c r="BK85" i="2"/>
  <c r="BI85" i="2"/>
  <c r="BJ85" i="2"/>
  <c r="AZ85" i="2"/>
  <c r="BA87" i="2"/>
  <c r="BB86" i="2"/>
  <c r="BC86" i="2" s="1"/>
  <c r="AS86" i="2"/>
  <c r="AQ86" i="2"/>
  <c r="AE86" i="2"/>
  <c r="AT86" i="2"/>
  <c r="AR86" i="2"/>
  <c r="AG88" i="2"/>
  <c r="AM87" i="2"/>
  <c r="BM85" i="2" l="1"/>
  <c r="BN85" i="2" s="1"/>
  <c r="BL85" i="2"/>
  <c r="AH87" i="2"/>
  <c r="AQ87" i="2" s="1"/>
  <c r="AN87" i="2"/>
  <c r="AI87" i="2"/>
  <c r="AK87" i="2"/>
  <c r="AP87" i="2"/>
  <c r="AO87" i="2"/>
  <c r="AF87" i="2"/>
  <c r="AU86" i="2"/>
  <c r="AV86" i="2"/>
  <c r="AW86" i="2" s="1"/>
  <c r="BE87" i="2"/>
  <c r="BF87" i="2"/>
  <c r="BD87" i="2"/>
  <c r="BH87" i="2"/>
  <c r="BG87" i="2"/>
  <c r="AS87" i="2"/>
  <c r="AE87" i="2"/>
  <c r="AR87" i="2"/>
  <c r="AG89" i="2"/>
  <c r="AM88" i="2"/>
  <c r="BK86" i="2"/>
  <c r="BI86" i="2"/>
  <c r="BJ86" i="2"/>
  <c r="AZ86" i="2"/>
  <c r="BA88" i="2"/>
  <c r="BB87" i="2"/>
  <c r="BC87" i="2" s="1"/>
  <c r="BM86" i="2" l="1"/>
  <c r="BN86" i="2" s="1"/>
  <c r="BL86" i="2"/>
  <c r="AH88" i="2"/>
  <c r="AS88" i="2" s="1"/>
  <c r="AN88" i="2"/>
  <c r="AI88" i="2"/>
  <c r="AK88" i="2"/>
  <c r="AP88" i="2"/>
  <c r="AO88" i="2"/>
  <c r="AF88" i="2"/>
  <c r="AU87" i="2"/>
  <c r="AV87" i="2"/>
  <c r="AW87" i="2" s="1"/>
  <c r="BE88" i="2"/>
  <c r="BF88" i="2"/>
  <c r="BD88" i="2"/>
  <c r="BH88" i="2"/>
  <c r="BG88" i="2"/>
  <c r="AT87" i="2"/>
  <c r="BK87" i="2"/>
  <c r="BI87" i="2"/>
  <c r="BJ87" i="2"/>
  <c r="AZ87" i="2"/>
  <c r="BA89" i="2"/>
  <c r="BB88" i="2"/>
  <c r="BC88" i="2" s="1"/>
  <c r="AQ88" i="2"/>
  <c r="AT88" i="2"/>
  <c r="AG90" i="2"/>
  <c r="AM89" i="2"/>
  <c r="AH89" i="2" l="1"/>
  <c r="AN89" i="2"/>
  <c r="AI89" i="2"/>
  <c r="AK89" i="2"/>
  <c r="AP89" i="2"/>
  <c r="AO89" i="2"/>
  <c r="AF89" i="2"/>
  <c r="AR88" i="2"/>
  <c r="AE88" i="2"/>
  <c r="BE89" i="2"/>
  <c r="BF89" i="2"/>
  <c r="BD89" i="2"/>
  <c r="BH89" i="2"/>
  <c r="BG89" i="2"/>
  <c r="BM87" i="2"/>
  <c r="BN87" i="2" s="1"/>
  <c r="BL87" i="2"/>
  <c r="AS89" i="2"/>
  <c r="AQ89" i="2"/>
  <c r="AE89" i="2"/>
  <c r="AT89" i="2"/>
  <c r="AR89" i="2"/>
  <c r="AG91" i="2"/>
  <c r="AM90" i="2"/>
  <c r="BK88" i="2"/>
  <c r="BI88" i="2"/>
  <c r="BJ88" i="2"/>
  <c r="AZ88" i="2"/>
  <c r="BA90" i="2"/>
  <c r="BB89" i="2"/>
  <c r="BC89" i="2" s="1"/>
  <c r="BM88" i="2" l="1"/>
  <c r="BN88" i="2" s="1"/>
  <c r="BL88" i="2"/>
  <c r="AH90" i="2"/>
  <c r="AN90" i="2"/>
  <c r="AI90" i="2"/>
  <c r="AK90" i="2"/>
  <c r="AP90" i="2"/>
  <c r="AO90" i="2"/>
  <c r="AF90" i="2"/>
  <c r="AU89" i="2"/>
  <c r="AV89" i="2"/>
  <c r="AW89" i="2" s="1"/>
  <c r="BE90" i="2"/>
  <c r="BF90" i="2"/>
  <c r="BD90" i="2"/>
  <c r="BH90" i="2"/>
  <c r="BG90" i="2"/>
  <c r="AU88" i="2"/>
  <c r="AV88" i="2"/>
  <c r="AW88" i="2" s="1"/>
  <c r="BK89" i="2"/>
  <c r="BI89" i="2"/>
  <c r="BJ89" i="2"/>
  <c r="AZ89" i="2"/>
  <c r="BA91" i="2"/>
  <c r="BB90" i="2"/>
  <c r="BC90" i="2" s="1"/>
  <c r="AS90" i="2"/>
  <c r="AQ90" i="2"/>
  <c r="AE90" i="2"/>
  <c r="AT90" i="2"/>
  <c r="AR90" i="2"/>
  <c r="AG92" i="2"/>
  <c r="AM91" i="2"/>
  <c r="BM89" i="2" l="1"/>
  <c r="BN89" i="2" s="1"/>
  <c r="BL89" i="2"/>
  <c r="AH91" i="2"/>
  <c r="AQ91" i="2" s="1"/>
  <c r="AN91" i="2"/>
  <c r="AI91" i="2"/>
  <c r="AK91" i="2"/>
  <c r="AP91" i="2"/>
  <c r="AO91" i="2"/>
  <c r="AF91" i="2"/>
  <c r="AU90" i="2"/>
  <c r="AV90" i="2"/>
  <c r="AW90" i="2" s="1"/>
  <c r="BE91" i="2"/>
  <c r="BF91" i="2"/>
  <c r="BD91" i="2"/>
  <c r="BH91" i="2"/>
  <c r="BG91" i="2"/>
  <c r="AS91" i="2"/>
  <c r="AE91" i="2"/>
  <c r="AR91" i="2"/>
  <c r="AG93" i="2"/>
  <c r="AM92" i="2"/>
  <c r="BK90" i="2"/>
  <c r="BI90" i="2"/>
  <c r="BJ90" i="2"/>
  <c r="AZ90" i="2"/>
  <c r="BA92" i="2"/>
  <c r="BB91" i="2"/>
  <c r="BC91" i="2" s="1"/>
  <c r="BM90" i="2" l="1"/>
  <c r="BN90" i="2" s="1"/>
  <c r="BL90" i="2"/>
  <c r="AH92" i="2"/>
  <c r="AS92" i="2" s="1"/>
  <c r="AN92" i="2"/>
  <c r="AI92" i="2"/>
  <c r="AK92" i="2"/>
  <c r="AP92" i="2"/>
  <c r="AO92" i="2"/>
  <c r="AF92" i="2"/>
  <c r="AU91" i="2"/>
  <c r="AV91" i="2"/>
  <c r="AW91" i="2" s="1"/>
  <c r="BE92" i="2"/>
  <c r="BF92" i="2"/>
  <c r="BD92" i="2"/>
  <c r="BH92" i="2"/>
  <c r="BG92" i="2"/>
  <c r="AT91" i="2"/>
  <c r="BK91" i="2"/>
  <c r="BI91" i="2"/>
  <c r="BJ91" i="2"/>
  <c r="AZ91" i="2"/>
  <c r="BA93" i="2"/>
  <c r="BB92" i="2"/>
  <c r="BC92" i="2" s="1"/>
  <c r="AQ92" i="2"/>
  <c r="AT92" i="2"/>
  <c r="AG94" i="2"/>
  <c r="AM93" i="2"/>
  <c r="AH93" i="2" l="1"/>
  <c r="AN93" i="2"/>
  <c r="AI93" i="2"/>
  <c r="AK93" i="2"/>
  <c r="AP93" i="2"/>
  <c r="AO93" i="2"/>
  <c r="AF93" i="2"/>
  <c r="AR92" i="2"/>
  <c r="AE92" i="2"/>
  <c r="BE93" i="2"/>
  <c r="BF93" i="2"/>
  <c r="BD93" i="2"/>
  <c r="BH93" i="2"/>
  <c r="BG93" i="2"/>
  <c r="BM91" i="2"/>
  <c r="BN91" i="2" s="1"/>
  <c r="BL91" i="2"/>
  <c r="AS93" i="2"/>
  <c r="AQ93" i="2"/>
  <c r="AE93" i="2"/>
  <c r="AT93" i="2"/>
  <c r="AR93" i="2"/>
  <c r="AG95" i="2"/>
  <c r="AM94" i="2"/>
  <c r="BK92" i="2"/>
  <c r="BI92" i="2"/>
  <c r="BJ92" i="2"/>
  <c r="AZ92" i="2"/>
  <c r="BA94" i="2"/>
  <c r="BB93" i="2"/>
  <c r="BC93" i="2" s="1"/>
  <c r="BE94" i="2" l="1"/>
  <c r="BF94" i="2"/>
  <c r="BD94" i="2"/>
  <c r="BH94" i="2"/>
  <c r="BG94" i="2"/>
  <c r="BM92" i="2"/>
  <c r="BN92" i="2" s="1"/>
  <c r="BL92" i="2"/>
  <c r="AH94" i="2"/>
  <c r="AN94" i="2"/>
  <c r="AI94" i="2"/>
  <c r="AK94" i="2"/>
  <c r="AP94" i="2"/>
  <c r="AO94" i="2"/>
  <c r="AF94" i="2"/>
  <c r="AU93" i="2"/>
  <c r="AV93" i="2"/>
  <c r="AW93" i="2" s="1"/>
  <c r="AU92" i="2"/>
  <c r="AV92" i="2"/>
  <c r="AW92" i="2" s="1"/>
  <c r="BK93" i="2"/>
  <c r="BI93" i="2"/>
  <c r="BJ93" i="2"/>
  <c r="AZ93" i="2"/>
  <c r="BA95" i="2"/>
  <c r="BB94" i="2"/>
  <c r="BC94" i="2" s="1"/>
  <c r="AS94" i="2"/>
  <c r="AQ94" i="2"/>
  <c r="AE94" i="2"/>
  <c r="AT94" i="2"/>
  <c r="AR94" i="2"/>
  <c r="AG96" i="2"/>
  <c r="AM95" i="2"/>
  <c r="BM93" i="2" l="1"/>
  <c r="BN93" i="2" s="1"/>
  <c r="BL93" i="2"/>
  <c r="AH95" i="2"/>
  <c r="AQ95" i="2" s="1"/>
  <c r="AN95" i="2"/>
  <c r="AI95" i="2"/>
  <c r="AK95" i="2"/>
  <c r="AP95" i="2"/>
  <c r="AO95" i="2"/>
  <c r="AF95" i="2"/>
  <c r="AU94" i="2"/>
  <c r="AV94" i="2"/>
  <c r="AW94" i="2" s="1"/>
  <c r="BE95" i="2"/>
  <c r="BF95" i="2"/>
  <c r="BD95" i="2"/>
  <c r="BH95" i="2"/>
  <c r="BG95" i="2"/>
  <c r="AS95" i="2"/>
  <c r="AE95" i="2"/>
  <c r="AR95" i="2"/>
  <c r="AG97" i="2"/>
  <c r="AM96" i="2"/>
  <c r="BK94" i="2"/>
  <c r="BI94" i="2"/>
  <c r="BJ94" i="2"/>
  <c r="AZ94" i="2"/>
  <c r="BA96" i="2"/>
  <c r="BB95" i="2"/>
  <c r="BC95" i="2" s="1"/>
  <c r="BM94" i="2" l="1"/>
  <c r="BN94" i="2" s="1"/>
  <c r="BL94" i="2"/>
  <c r="AH96" i="2"/>
  <c r="AS96" i="2" s="1"/>
  <c r="AN96" i="2"/>
  <c r="AI96" i="2"/>
  <c r="AK96" i="2"/>
  <c r="AP96" i="2"/>
  <c r="AO96" i="2"/>
  <c r="AF96" i="2"/>
  <c r="AU95" i="2"/>
  <c r="AV95" i="2"/>
  <c r="AW95" i="2" s="1"/>
  <c r="BE96" i="2"/>
  <c r="BF96" i="2"/>
  <c r="BD96" i="2"/>
  <c r="BH96" i="2"/>
  <c r="BG96" i="2"/>
  <c r="AT95" i="2"/>
  <c r="BK95" i="2"/>
  <c r="BI95" i="2"/>
  <c r="BJ95" i="2"/>
  <c r="AZ95" i="2"/>
  <c r="BA97" i="2"/>
  <c r="BB96" i="2"/>
  <c r="BC96" i="2" s="1"/>
  <c r="AQ96" i="2"/>
  <c r="AT96" i="2"/>
  <c r="AG98" i="2"/>
  <c r="AM97" i="2"/>
  <c r="AH97" i="2" l="1"/>
  <c r="AN97" i="2"/>
  <c r="AI97" i="2"/>
  <c r="AK97" i="2"/>
  <c r="AP97" i="2"/>
  <c r="AO97" i="2"/>
  <c r="AF97" i="2"/>
  <c r="AR96" i="2"/>
  <c r="AE96" i="2"/>
  <c r="BE97" i="2"/>
  <c r="BF97" i="2"/>
  <c r="BD97" i="2"/>
  <c r="BH97" i="2"/>
  <c r="BG97" i="2"/>
  <c r="BM95" i="2"/>
  <c r="BN95" i="2" s="1"/>
  <c r="BL95" i="2"/>
  <c r="AS97" i="2"/>
  <c r="AQ97" i="2"/>
  <c r="AE97" i="2"/>
  <c r="AT97" i="2"/>
  <c r="AR97" i="2"/>
  <c r="AG99" i="2"/>
  <c r="AM98" i="2"/>
  <c r="BK96" i="2"/>
  <c r="BI96" i="2"/>
  <c r="BJ96" i="2"/>
  <c r="AZ96" i="2"/>
  <c r="BA98" i="2"/>
  <c r="BB97" i="2"/>
  <c r="BC97" i="2" s="1"/>
  <c r="BE98" i="2" l="1"/>
  <c r="BF98" i="2"/>
  <c r="BD98" i="2"/>
  <c r="BH98" i="2"/>
  <c r="BG98" i="2"/>
  <c r="BM96" i="2"/>
  <c r="BN96" i="2" s="1"/>
  <c r="BL96" i="2"/>
  <c r="AH98" i="2"/>
  <c r="AS98" i="2" s="1"/>
  <c r="AN98" i="2"/>
  <c r="AI98" i="2"/>
  <c r="AK98" i="2"/>
  <c r="AP98" i="2"/>
  <c r="AO98" i="2"/>
  <c r="AF98" i="2"/>
  <c r="AU97" i="2"/>
  <c r="AV97" i="2"/>
  <c r="AW97" i="2" s="1"/>
  <c r="AU96" i="2"/>
  <c r="AV96" i="2"/>
  <c r="AW96" i="2" s="1"/>
  <c r="BK97" i="2"/>
  <c r="BI97" i="2"/>
  <c r="BJ97" i="2"/>
  <c r="AZ97" i="2"/>
  <c r="BA99" i="2"/>
  <c r="BB98" i="2"/>
  <c r="BC98" i="2" s="1"/>
  <c r="AQ98" i="2"/>
  <c r="AT98" i="2"/>
  <c r="AG100" i="2"/>
  <c r="AM99" i="2"/>
  <c r="BM97" i="2" l="1"/>
  <c r="BN97" i="2" s="1"/>
  <c r="BL97" i="2"/>
  <c r="AH99" i="2"/>
  <c r="AQ99" i="2" s="1"/>
  <c r="AN99" i="2"/>
  <c r="AI99" i="2"/>
  <c r="AK99" i="2"/>
  <c r="AP99" i="2"/>
  <c r="AO99" i="2"/>
  <c r="AF99" i="2"/>
  <c r="AR98" i="2"/>
  <c r="AE98" i="2"/>
  <c r="BE99" i="2"/>
  <c r="BF99" i="2"/>
  <c r="BD99" i="2"/>
  <c r="BH99" i="2"/>
  <c r="BG99" i="2"/>
  <c r="AS99" i="2"/>
  <c r="AE99" i="2"/>
  <c r="AR99" i="2"/>
  <c r="AG101" i="2"/>
  <c r="AM100" i="2"/>
  <c r="BK98" i="2"/>
  <c r="BI98" i="2"/>
  <c r="BJ98" i="2"/>
  <c r="AZ98" i="2"/>
  <c r="BA100" i="2"/>
  <c r="BB99" i="2"/>
  <c r="BC99" i="2" s="1"/>
  <c r="BE100" i="2" l="1"/>
  <c r="BF100" i="2"/>
  <c r="BD100" i="2"/>
  <c r="BH100" i="2"/>
  <c r="BG100" i="2"/>
  <c r="AT99" i="2"/>
  <c r="BM98" i="2"/>
  <c r="BN98" i="2" s="1"/>
  <c r="BL98" i="2"/>
  <c r="AH100" i="2"/>
  <c r="AS100" i="2" s="1"/>
  <c r="AN100" i="2"/>
  <c r="AI100" i="2"/>
  <c r="AK100" i="2"/>
  <c r="AP100" i="2"/>
  <c r="AO100" i="2"/>
  <c r="AF100" i="2"/>
  <c r="AU99" i="2"/>
  <c r="AV99" i="2"/>
  <c r="AW99" i="2" s="1"/>
  <c r="AU98" i="2"/>
  <c r="AV98" i="2"/>
  <c r="AW98" i="2" s="1"/>
  <c r="BK99" i="2"/>
  <c r="BI99" i="2"/>
  <c r="BJ99" i="2"/>
  <c r="AZ99" i="2"/>
  <c r="BA101" i="2"/>
  <c r="BB100" i="2"/>
  <c r="BC100" i="2" s="1"/>
  <c r="AQ100" i="2"/>
  <c r="AT100" i="2"/>
  <c r="AG102" i="2"/>
  <c r="AM101" i="2"/>
  <c r="AH101" i="2" l="1"/>
  <c r="AN101" i="2"/>
  <c r="AI101" i="2"/>
  <c r="AK101" i="2"/>
  <c r="AP101" i="2"/>
  <c r="AO101" i="2"/>
  <c r="AF101" i="2"/>
  <c r="AR100" i="2"/>
  <c r="AE100" i="2"/>
  <c r="BE101" i="2"/>
  <c r="BF101" i="2"/>
  <c r="BD101" i="2"/>
  <c r="BH101" i="2"/>
  <c r="BG101" i="2"/>
  <c r="BM99" i="2"/>
  <c r="BN99" i="2" s="1"/>
  <c r="BL99" i="2"/>
  <c r="AS101" i="2"/>
  <c r="AQ101" i="2"/>
  <c r="AE101" i="2"/>
  <c r="AT101" i="2"/>
  <c r="AR101" i="2"/>
  <c r="AG103" i="2"/>
  <c r="AM102" i="2"/>
  <c r="BK100" i="2"/>
  <c r="BI100" i="2"/>
  <c r="BJ100" i="2"/>
  <c r="AZ100" i="2"/>
  <c r="BA102" i="2"/>
  <c r="BB101" i="2"/>
  <c r="BC101" i="2" s="1"/>
  <c r="BE102" i="2" l="1"/>
  <c r="BF102" i="2"/>
  <c r="BD102" i="2"/>
  <c r="BH102" i="2"/>
  <c r="BG102" i="2"/>
  <c r="BM100" i="2"/>
  <c r="BN100" i="2" s="1"/>
  <c r="BL100" i="2"/>
  <c r="AH102" i="2"/>
  <c r="AN102" i="2"/>
  <c r="AI102" i="2"/>
  <c r="AK102" i="2"/>
  <c r="AP102" i="2"/>
  <c r="AO102" i="2"/>
  <c r="AF102" i="2"/>
  <c r="AU101" i="2"/>
  <c r="AV101" i="2"/>
  <c r="AW101" i="2" s="1"/>
  <c r="AU100" i="2"/>
  <c r="AV100" i="2"/>
  <c r="AW100" i="2" s="1"/>
  <c r="BK101" i="2"/>
  <c r="BI101" i="2"/>
  <c r="BJ101" i="2"/>
  <c r="AZ101" i="2"/>
  <c r="BA103" i="2"/>
  <c r="BB102" i="2"/>
  <c r="BC102" i="2" s="1"/>
  <c r="AS102" i="2"/>
  <c r="AQ102" i="2"/>
  <c r="AE102" i="2"/>
  <c r="AT102" i="2"/>
  <c r="AR102" i="2"/>
  <c r="AG104" i="2"/>
  <c r="AM103" i="2"/>
  <c r="BM101" i="2" l="1"/>
  <c r="BN101" i="2" s="1"/>
  <c r="BL101" i="2"/>
  <c r="AH103" i="2"/>
  <c r="AQ103" i="2" s="1"/>
  <c r="AN103" i="2"/>
  <c r="AI103" i="2"/>
  <c r="AK103" i="2"/>
  <c r="AP103" i="2"/>
  <c r="AO103" i="2"/>
  <c r="AF103" i="2"/>
  <c r="AU102" i="2"/>
  <c r="AV102" i="2"/>
  <c r="AW102" i="2" s="1"/>
  <c r="BE103" i="2"/>
  <c r="BF103" i="2"/>
  <c r="BD103" i="2"/>
  <c r="BH103" i="2"/>
  <c r="BG103" i="2"/>
  <c r="AS103" i="2"/>
  <c r="AE103" i="2"/>
  <c r="AR103" i="2"/>
  <c r="AG105" i="2"/>
  <c r="AM104" i="2"/>
  <c r="BK102" i="2"/>
  <c r="BI102" i="2"/>
  <c r="BJ102" i="2"/>
  <c r="AZ102" i="2"/>
  <c r="BA104" i="2"/>
  <c r="BB103" i="2"/>
  <c r="BC103" i="2" s="1"/>
  <c r="BM102" i="2" l="1"/>
  <c r="BN102" i="2" s="1"/>
  <c r="BL102" i="2"/>
  <c r="AH104" i="2"/>
  <c r="AS104" i="2" s="1"/>
  <c r="AN104" i="2"/>
  <c r="AI104" i="2"/>
  <c r="AK104" i="2"/>
  <c r="AP104" i="2"/>
  <c r="AO104" i="2"/>
  <c r="AF104" i="2"/>
  <c r="AU103" i="2"/>
  <c r="AV103" i="2"/>
  <c r="AW103" i="2" s="1"/>
  <c r="BE104" i="2"/>
  <c r="BF104" i="2"/>
  <c r="BD104" i="2"/>
  <c r="BH104" i="2"/>
  <c r="BG104" i="2"/>
  <c r="AT103" i="2"/>
  <c r="BK103" i="2"/>
  <c r="BI103" i="2"/>
  <c r="BJ103" i="2"/>
  <c r="AZ103" i="2"/>
  <c r="BA105" i="2"/>
  <c r="BB104" i="2"/>
  <c r="BC104" i="2" s="1"/>
  <c r="AQ104" i="2"/>
  <c r="AT104" i="2"/>
  <c r="AG106" i="2"/>
  <c r="AM105" i="2"/>
  <c r="AH105" i="2" l="1"/>
  <c r="AN105" i="2"/>
  <c r="AI105" i="2"/>
  <c r="AK105" i="2"/>
  <c r="AP105" i="2"/>
  <c r="AO105" i="2"/>
  <c r="AF105" i="2"/>
  <c r="AR104" i="2"/>
  <c r="AE104" i="2"/>
  <c r="BE105" i="2"/>
  <c r="BF105" i="2"/>
  <c r="BD105" i="2"/>
  <c r="BH105" i="2"/>
  <c r="BG105" i="2"/>
  <c r="BM103" i="2"/>
  <c r="BN103" i="2" s="1"/>
  <c r="BL103" i="2"/>
  <c r="AS105" i="2"/>
  <c r="AQ105" i="2"/>
  <c r="AE105" i="2"/>
  <c r="AT105" i="2"/>
  <c r="AR105" i="2"/>
  <c r="AG107" i="2"/>
  <c r="AM106" i="2"/>
  <c r="BK104" i="2"/>
  <c r="BI104" i="2"/>
  <c r="BJ104" i="2"/>
  <c r="AZ104" i="2"/>
  <c r="BA106" i="2"/>
  <c r="BB105" i="2"/>
  <c r="BC105" i="2" s="1"/>
  <c r="BF106" i="2" l="1"/>
  <c r="BE106" i="2"/>
  <c r="BD106" i="2"/>
  <c r="BH106" i="2"/>
  <c r="BG106" i="2"/>
  <c r="BM104" i="2"/>
  <c r="BN104" i="2" s="1"/>
  <c r="BL104" i="2"/>
  <c r="AH106" i="2"/>
  <c r="AS106" i="2" s="1"/>
  <c r="AN106" i="2"/>
  <c r="AI106" i="2"/>
  <c r="AK106" i="2"/>
  <c r="AP106" i="2"/>
  <c r="AO106" i="2"/>
  <c r="AF106" i="2"/>
  <c r="AU105" i="2"/>
  <c r="AV105" i="2"/>
  <c r="AW105" i="2" s="1"/>
  <c r="AU104" i="2"/>
  <c r="AV104" i="2"/>
  <c r="AW104" i="2" s="1"/>
  <c r="BK105" i="2"/>
  <c r="BI105" i="2"/>
  <c r="BJ105" i="2"/>
  <c r="AZ105" i="2"/>
  <c r="BB106" i="2"/>
  <c r="BC106" i="2" s="1"/>
  <c r="BA107" i="2"/>
  <c r="AQ106" i="2"/>
  <c r="AT106" i="2"/>
  <c r="AG108" i="2"/>
  <c r="AM107" i="2"/>
  <c r="BF107" i="2" l="1"/>
  <c r="BE107" i="2"/>
  <c r="BD107" i="2"/>
  <c r="BH107" i="2"/>
  <c r="BG107" i="2"/>
  <c r="BM105" i="2"/>
  <c r="BN105" i="2" s="1"/>
  <c r="BL105" i="2"/>
  <c r="AH107" i="2"/>
  <c r="AT107" i="2" s="1"/>
  <c r="AN107" i="2"/>
  <c r="AK107" i="2"/>
  <c r="AI107" i="2"/>
  <c r="AP107" i="2"/>
  <c r="AO107" i="2"/>
  <c r="AF107" i="2"/>
  <c r="AR106" i="2"/>
  <c r="AE106" i="2"/>
  <c r="AR107" i="2"/>
  <c r="AQ107" i="2"/>
  <c r="AG109" i="2"/>
  <c r="AM108" i="2"/>
  <c r="BB107" i="2"/>
  <c r="BC107" i="2" s="1"/>
  <c r="BA108" i="2"/>
  <c r="BJ106" i="2"/>
  <c r="AZ106" i="2"/>
  <c r="BK106" i="2"/>
  <c r="BI106" i="2"/>
  <c r="AV106" i="2" l="1"/>
  <c r="AW106" i="2" s="1"/>
  <c r="AU106" i="2"/>
  <c r="BM106" i="2"/>
  <c r="BN106" i="2" s="1"/>
  <c r="BL106" i="2"/>
  <c r="BF108" i="2"/>
  <c r="BE108" i="2"/>
  <c r="BD108" i="2"/>
  <c r="BH108" i="2"/>
  <c r="BG108" i="2"/>
  <c r="AH108" i="2"/>
  <c r="AN108" i="2"/>
  <c r="AK108" i="2"/>
  <c r="AI108" i="2"/>
  <c r="AP108" i="2"/>
  <c r="AO108" i="2"/>
  <c r="AF108" i="2"/>
  <c r="AE107" i="2"/>
  <c r="AS107" i="2"/>
  <c r="BB108" i="2"/>
  <c r="BC108" i="2" s="1"/>
  <c r="BA109" i="2"/>
  <c r="BJ107" i="2"/>
  <c r="AZ107" i="2"/>
  <c r="BK107" i="2"/>
  <c r="BI107" i="2"/>
  <c r="AT108" i="2"/>
  <c r="AR108" i="2"/>
  <c r="AS108" i="2"/>
  <c r="AQ108" i="2"/>
  <c r="AE108" i="2"/>
  <c r="AG110" i="2"/>
  <c r="AM109" i="2"/>
  <c r="AH109" i="2" l="1"/>
  <c r="AN109" i="2"/>
  <c r="AK109" i="2"/>
  <c r="AI109" i="2"/>
  <c r="AP109" i="2"/>
  <c r="AO109" i="2"/>
  <c r="AF109" i="2"/>
  <c r="AV108" i="2"/>
  <c r="AW108" i="2" s="1"/>
  <c r="AU108" i="2"/>
  <c r="AV107" i="2"/>
  <c r="AW107" i="2" s="1"/>
  <c r="AU107" i="2"/>
  <c r="BM107" i="2"/>
  <c r="BN107" i="2" s="1"/>
  <c r="BL107" i="2"/>
  <c r="BF109" i="2"/>
  <c r="BE109" i="2"/>
  <c r="BD109" i="2"/>
  <c r="BH109" i="2"/>
  <c r="BG109" i="2"/>
  <c r="AT109" i="2"/>
  <c r="AR109" i="2"/>
  <c r="AS109" i="2"/>
  <c r="AQ109" i="2"/>
  <c r="AE109" i="2"/>
  <c r="AG111" i="2"/>
  <c r="AM110" i="2"/>
  <c r="BB109" i="2"/>
  <c r="BC109" i="2" s="1"/>
  <c r="BA110" i="2"/>
  <c r="BJ108" i="2"/>
  <c r="AZ108" i="2"/>
  <c r="BK108" i="2"/>
  <c r="BI108" i="2"/>
  <c r="BM108" i="2" l="1"/>
  <c r="BN108" i="2" s="1"/>
  <c r="BL108" i="2"/>
  <c r="BF110" i="2"/>
  <c r="BE110" i="2"/>
  <c r="BD110" i="2"/>
  <c r="BH110" i="2"/>
  <c r="BG110" i="2"/>
  <c r="AH110" i="2"/>
  <c r="AN110" i="2"/>
  <c r="AK110" i="2"/>
  <c r="AI110" i="2"/>
  <c r="AP110" i="2"/>
  <c r="AO110" i="2"/>
  <c r="AF110" i="2"/>
  <c r="AV109" i="2"/>
  <c r="AW109" i="2" s="1"/>
  <c r="AU109" i="2"/>
  <c r="BB110" i="2"/>
  <c r="BC110" i="2" s="1"/>
  <c r="BA111" i="2"/>
  <c r="BJ109" i="2"/>
  <c r="AZ109" i="2"/>
  <c r="BK109" i="2"/>
  <c r="BI109" i="2"/>
  <c r="AT110" i="2"/>
  <c r="AR110" i="2"/>
  <c r="AS110" i="2"/>
  <c r="AQ110" i="2"/>
  <c r="AE110" i="2"/>
  <c r="AG112" i="2"/>
  <c r="AM111" i="2"/>
  <c r="AH111" i="2" l="1"/>
  <c r="AN111" i="2"/>
  <c r="AK111" i="2"/>
  <c r="AI111" i="2"/>
  <c r="AP111" i="2"/>
  <c r="AO111" i="2"/>
  <c r="AF111" i="2"/>
  <c r="AV110" i="2"/>
  <c r="AW110" i="2" s="1"/>
  <c r="AU110" i="2"/>
  <c r="BM109" i="2"/>
  <c r="BN109" i="2" s="1"/>
  <c r="BL109" i="2"/>
  <c r="BF111" i="2"/>
  <c r="BE111" i="2"/>
  <c r="BD111" i="2"/>
  <c r="BH111" i="2"/>
  <c r="BG111" i="2"/>
  <c r="AT111" i="2"/>
  <c r="AR111" i="2"/>
  <c r="AS111" i="2"/>
  <c r="AQ111" i="2"/>
  <c r="AE111" i="2"/>
  <c r="AG113" i="2"/>
  <c r="AM112" i="2"/>
  <c r="BB111" i="2"/>
  <c r="BC111" i="2" s="1"/>
  <c r="BA112" i="2"/>
  <c r="BJ110" i="2"/>
  <c r="AZ110" i="2"/>
  <c r="BK110" i="2"/>
  <c r="BI110" i="2"/>
  <c r="BM110" i="2" l="1"/>
  <c r="BN110" i="2" s="1"/>
  <c r="BL110" i="2"/>
  <c r="BB112" i="2"/>
  <c r="BC112" i="2" s="1"/>
  <c r="AZ112" i="2" s="1"/>
  <c r="BF112" i="2"/>
  <c r="BE112" i="2"/>
  <c r="BD112" i="2"/>
  <c r="BH112" i="2"/>
  <c r="BG112" i="2"/>
  <c r="C60" i="1"/>
  <c r="D60" i="1" s="1"/>
  <c r="E60" i="1" s="1"/>
  <c r="F60" i="1" s="1"/>
  <c r="G60" i="1" s="1"/>
  <c r="H60" i="1" s="1"/>
  <c r="I60" i="1" s="1"/>
  <c r="J60" i="1" s="1"/>
  <c r="R60" i="1"/>
  <c r="U60" i="1" s="1"/>
  <c r="S125" i="1"/>
  <c r="V125" i="1" s="1"/>
  <c r="B60" i="1"/>
  <c r="S60" i="1"/>
  <c r="V60" i="1" s="1"/>
  <c r="K60" i="1"/>
  <c r="N60" i="1" s="1"/>
  <c r="M60" i="1"/>
  <c r="P60" i="1" s="1"/>
  <c r="L60" i="1"/>
  <c r="O60" i="1" s="1"/>
  <c r="S61" i="1"/>
  <c r="V61" i="1" s="1"/>
  <c r="Q60" i="1"/>
  <c r="T60" i="1" s="1"/>
  <c r="R61" i="1"/>
  <c r="U61" i="1" s="1"/>
  <c r="Q61" i="1"/>
  <c r="T61" i="1" s="1"/>
  <c r="M61" i="1"/>
  <c r="P61" i="1" s="1"/>
  <c r="B61" i="1"/>
  <c r="Q125" i="1"/>
  <c r="T125" i="1" s="1"/>
  <c r="K61" i="1"/>
  <c r="N61" i="1" s="1"/>
  <c r="L61" i="1"/>
  <c r="O61" i="1" s="1"/>
  <c r="C61" i="1"/>
  <c r="R125" i="1"/>
  <c r="U125" i="1" s="1"/>
  <c r="K62" i="1"/>
  <c r="N62" i="1" s="1"/>
  <c r="Q62" i="1"/>
  <c r="T62" i="1" s="1"/>
  <c r="L62" i="1"/>
  <c r="O62" i="1" s="1"/>
  <c r="S63" i="1"/>
  <c r="V63" i="1" s="1"/>
  <c r="Q63" i="1"/>
  <c r="T63" i="1" s="1"/>
  <c r="C62" i="1"/>
  <c r="D62" i="1" s="1"/>
  <c r="E62" i="1" s="1"/>
  <c r="F62" i="1" s="1"/>
  <c r="G62" i="1" s="1"/>
  <c r="H62" i="1" s="1"/>
  <c r="I62" i="1" s="1"/>
  <c r="J62" i="1" s="1"/>
  <c r="M62" i="1"/>
  <c r="P62" i="1" s="1"/>
  <c r="R63" i="1"/>
  <c r="U63" i="1" s="1"/>
  <c r="M63" i="1"/>
  <c r="P63" i="1" s="1"/>
  <c r="S62" i="1"/>
  <c r="V62" i="1" s="1"/>
  <c r="C63" i="1"/>
  <c r="L63" i="1"/>
  <c r="O63" i="1" s="1"/>
  <c r="B62" i="1"/>
  <c r="B63" i="1"/>
  <c r="K63" i="1"/>
  <c r="N63" i="1" s="1"/>
  <c r="R62" i="1"/>
  <c r="U62" i="1" s="1"/>
  <c r="S64" i="1"/>
  <c r="V64" i="1" s="1"/>
  <c r="C64" i="1"/>
  <c r="D64" i="1" s="1"/>
  <c r="E64" i="1" s="1"/>
  <c r="F64" i="1" s="1"/>
  <c r="G64" i="1" s="1"/>
  <c r="H64" i="1" s="1"/>
  <c r="I64" i="1" s="1"/>
  <c r="J64" i="1" s="1"/>
  <c r="R64" i="1"/>
  <c r="U64" i="1" s="1"/>
  <c r="B64" i="1"/>
  <c r="M64" i="1"/>
  <c r="P64" i="1" s="1"/>
  <c r="K65" i="1"/>
  <c r="N65" i="1" s="1"/>
  <c r="S65" i="1"/>
  <c r="V65" i="1" s="1"/>
  <c r="Q65" i="1"/>
  <c r="T65" i="1" s="1"/>
  <c r="L65" i="1"/>
  <c r="O65" i="1" s="1"/>
  <c r="B65" i="1"/>
  <c r="K64" i="1"/>
  <c r="N64" i="1" s="1"/>
  <c r="R65" i="1"/>
  <c r="U65" i="1" s="1"/>
  <c r="C65" i="1"/>
  <c r="S66" i="1"/>
  <c r="V66" i="1" s="1"/>
  <c r="M66" i="1"/>
  <c r="P66" i="1" s="1"/>
  <c r="M65" i="1"/>
  <c r="P65" i="1" s="1"/>
  <c r="B66" i="1"/>
  <c r="L64" i="1"/>
  <c r="O64" i="1" s="1"/>
  <c r="Q64" i="1"/>
  <c r="T64" i="1" s="1"/>
  <c r="S67" i="1"/>
  <c r="V67" i="1" s="1"/>
  <c r="L66" i="1"/>
  <c r="O66" i="1" s="1"/>
  <c r="M67" i="1"/>
  <c r="P67" i="1" s="1"/>
  <c r="Q67" i="1"/>
  <c r="T67" i="1" s="1"/>
  <c r="K66" i="1"/>
  <c r="N66" i="1" s="1"/>
  <c r="C66" i="1"/>
  <c r="R66" i="1"/>
  <c r="U66" i="1" s="1"/>
  <c r="K67" i="1"/>
  <c r="N67" i="1" s="1"/>
  <c r="B67" i="1"/>
  <c r="C67" i="1"/>
  <c r="R67" i="1"/>
  <c r="U67" i="1" s="1"/>
  <c r="B68" i="1"/>
  <c r="S68" i="1"/>
  <c r="V68" i="1" s="1"/>
  <c r="C68" i="1"/>
  <c r="M68" i="1"/>
  <c r="P68" i="1" s="1"/>
  <c r="L67" i="1"/>
  <c r="O67" i="1" s="1"/>
  <c r="R68" i="1"/>
  <c r="U68" i="1" s="1"/>
  <c r="Q66" i="1"/>
  <c r="T66" i="1" s="1"/>
  <c r="K68" i="1"/>
  <c r="N68" i="1" s="1"/>
  <c r="Q68" i="1"/>
  <c r="T68" i="1" s="1"/>
  <c r="S70" i="1"/>
  <c r="V70" i="1" s="1"/>
  <c r="L69" i="1"/>
  <c r="O69" i="1" s="1"/>
  <c r="R69" i="1"/>
  <c r="U69" i="1" s="1"/>
  <c r="Q69" i="1"/>
  <c r="T69" i="1" s="1"/>
  <c r="L68" i="1"/>
  <c r="O68" i="1" s="1"/>
  <c r="B69" i="1"/>
  <c r="K69" i="1"/>
  <c r="N69" i="1" s="1"/>
  <c r="S69" i="1"/>
  <c r="V69" i="1" s="1"/>
  <c r="K71" i="1"/>
  <c r="N71" i="1" s="1"/>
  <c r="K70" i="1"/>
  <c r="N70" i="1" s="1"/>
  <c r="C70" i="1"/>
  <c r="D70" i="1" s="1"/>
  <c r="E70" i="1" s="1"/>
  <c r="F70" i="1" s="1"/>
  <c r="G70" i="1" s="1"/>
  <c r="H70" i="1" s="1"/>
  <c r="I70" i="1" s="1"/>
  <c r="J70" i="1" s="1"/>
  <c r="R70" i="1"/>
  <c r="U70" i="1" s="1"/>
  <c r="M70" i="1"/>
  <c r="P70" i="1" s="1"/>
  <c r="B70" i="1"/>
  <c r="L70" i="1"/>
  <c r="O70" i="1" s="1"/>
  <c r="C69" i="1"/>
  <c r="M69" i="1"/>
  <c r="P69" i="1" s="1"/>
  <c r="Q70" i="1"/>
  <c r="T70" i="1" s="1"/>
  <c r="B71" i="1"/>
  <c r="S71" i="1"/>
  <c r="V71" i="1" s="1"/>
  <c r="L72" i="1"/>
  <c r="O72" i="1" s="1"/>
  <c r="M71" i="1"/>
  <c r="P71" i="1" s="1"/>
  <c r="C71" i="1"/>
  <c r="D71" i="1" s="1"/>
  <c r="E71" i="1" s="1"/>
  <c r="F71" i="1" s="1"/>
  <c r="G71" i="1" s="1"/>
  <c r="H71" i="1" s="1"/>
  <c r="I71" i="1" s="1"/>
  <c r="J71" i="1" s="1"/>
  <c r="Q71" i="1"/>
  <c r="T71" i="1" s="1"/>
  <c r="R71" i="1"/>
  <c r="U71" i="1" s="1"/>
  <c r="K72" i="1"/>
  <c r="N72" i="1" s="1"/>
  <c r="L71" i="1"/>
  <c r="O71" i="1" s="1"/>
  <c r="M72" i="1"/>
  <c r="P72" i="1" s="1"/>
  <c r="B72" i="1"/>
  <c r="M73" i="1"/>
  <c r="P73" i="1" s="1"/>
  <c r="R73" i="1"/>
  <c r="U73" i="1" s="1"/>
  <c r="C72" i="1"/>
  <c r="Q74" i="1"/>
  <c r="T74" i="1" s="1"/>
  <c r="S72" i="1"/>
  <c r="V72" i="1" s="1"/>
  <c r="C73" i="1"/>
  <c r="D73" i="1" s="1"/>
  <c r="E73" i="1" s="1"/>
  <c r="F73" i="1" s="1"/>
  <c r="G73" i="1" s="1"/>
  <c r="H73" i="1" s="1"/>
  <c r="I73" i="1" s="1"/>
  <c r="J73" i="1" s="1"/>
  <c r="C74" i="1"/>
  <c r="Q72" i="1"/>
  <c r="T72" i="1" s="1"/>
  <c r="M74" i="1"/>
  <c r="P74" i="1" s="1"/>
  <c r="L73" i="1"/>
  <c r="O73" i="1" s="1"/>
  <c r="R72" i="1"/>
  <c r="U72" i="1" s="1"/>
  <c r="S73" i="1"/>
  <c r="V73" i="1" s="1"/>
  <c r="K74" i="1"/>
  <c r="N74" i="1" s="1"/>
  <c r="R74" i="1"/>
  <c r="U74" i="1" s="1"/>
  <c r="B73" i="1"/>
  <c r="L74" i="1"/>
  <c r="O74" i="1" s="1"/>
  <c r="Q73" i="1"/>
  <c r="T73" i="1" s="1"/>
  <c r="K73" i="1"/>
  <c r="N73" i="1" s="1"/>
  <c r="C75" i="1"/>
  <c r="S74" i="1"/>
  <c r="V74" i="1" s="1"/>
  <c r="Q75" i="1"/>
  <c r="T75" i="1" s="1"/>
  <c r="M76" i="1"/>
  <c r="P76" i="1" s="1"/>
  <c r="B74" i="1"/>
  <c r="S75" i="1"/>
  <c r="V75" i="1" s="1"/>
  <c r="S76" i="1"/>
  <c r="V76" i="1" s="1"/>
  <c r="B75" i="1"/>
  <c r="R76" i="1"/>
  <c r="U76" i="1" s="1"/>
  <c r="R75" i="1"/>
  <c r="U75" i="1" s="1"/>
  <c r="L75" i="1"/>
  <c r="O75" i="1" s="1"/>
  <c r="M77" i="1"/>
  <c r="P77" i="1" s="1"/>
  <c r="B76" i="1"/>
  <c r="Q77" i="1"/>
  <c r="T77" i="1" s="1"/>
  <c r="K76" i="1"/>
  <c r="N76" i="1" s="1"/>
  <c r="S77" i="1"/>
  <c r="V77" i="1" s="1"/>
  <c r="C77" i="1"/>
  <c r="R77" i="1"/>
  <c r="U77" i="1" s="1"/>
  <c r="M75" i="1"/>
  <c r="P75" i="1" s="1"/>
  <c r="C76" i="1"/>
  <c r="D76" i="1" s="1"/>
  <c r="E76" i="1" s="1"/>
  <c r="F76" i="1" s="1"/>
  <c r="G76" i="1" s="1"/>
  <c r="H76" i="1" s="1"/>
  <c r="I76" i="1" s="1"/>
  <c r="J76" i="1" s="1"/>
  <c r="L76" i="1"/>
  <c r="O76" i="1" s="1"/>
  <c r="K75" i="1"/>
  <c r="N75" i="1" s="1"/>
  <c r="Q79" i="1"/>
  <c r="T79" i="1" s="1"/>
  <c r="K78" i="1"/>
  <c r="N78" i="1" s="1"/>
  <c r="B77" i="1"/>
  <c r="K77" i="1"/>
  <c r="N77" i="1" s="1"/>
  <c r="Q76" i="1"/>
  <c r="T76" i="1" s="1"/>
  <c r="M78" i="1"/>
  <c r="P78" i="1" s="1"/>
  <c r="L77" i="1"/>
  <c r="O77" i="1" s="1"/>
  <c r="R78" i="1"/>
  <c r="U78" i="1" s="1"/>
  <c r="S78" i="1"/>
  <c r="V78" i="1" s="1"/>
  <c r="L78" i="1"/>
  <c r="O78" i="1" s="1"/>
  <c r="C78" i="1"/>
  <c r="B78" i="1"/>
  <c r="L79" i="1"/>
  <c r="O79" i="1" s="1"/>
  <c r="R79" i="1"/>
  <c r="U79" i="1" s="1"/>
  <c r="B80" i="1"/>
  <c r="Q78" i="1"/>
  <c r="T78" i="1" s="1"/>
  <c r="K79" i="1"/>
  <c r="N79" i="1" s="1"/>
  <c r="R80" i="1"/>
  <c r="U80" i="1" s="1"/>
  <c r="B79" i="1"/>
  <c r="L80" i="1"/>
  <c r="O80" i="1" s="1"/>
  <c r="Q80" i="1"/>
  <c r="T80" i="1" s="1"/>
  <c r="M79" i="1"/>
  <c r="P79" i="1" s="1"/>
  <c r="C79" i="1"/>
  <c r="K80" i="1"/>
  <c r="N80" i="1" s="1"/>
  <c r="B81" i="1"/>
  <c r="S79" i="1"/>
  <c r="V79" i="1" s="1"/>
  <c r="M80" i="1"/>
  <c r="P80" i="1" s="1"/>
  <c r="S80" i="1"/>
  <c r="V80" i="1" s="1"/>
  <c r="C80" i="1"/>
  <c r="S81" i="1"/>
  <c r="V81" i="1" s="1"/>
  <c r="M81" i="1"/>
  <c r="P81" i="1" s="1"/>
  <c r="Q81" i="1"/>
  <c r="T81" i="1" s="1"/>
  <c r="C81" i="1"/>
  <c r="C82" i="1"/>
  <c r="D82" i="1" s="1"/>
  <c r="E82" i="1" s="1"/>
  <c r="F82" i="1" s="1"/>
  <c r="G82" i="1" s="1"/>
  <c r="H82" i="1" s="1"/>
  <c r="I82" i="1" s="1"/>
  <c r="J82" i="1" s="1"/>
  <c r="K82" i="1"/>
  <c r="N82" i="1" s="1"/>
  <c r="B82" i="1"/>
  <c r="C83" i="1"/>
  <c r="K81" i="1"/>
  <c r="N81" i="1" s="1"/>
  <c r="S83" i="1"/>
  <c r="V83" i="1" s="1"/>
  <c r="S82" i="1"/>
  <c r="V82" i="1" s="1"/>
  <c r="L82" i="1"/>
  <c r="O82" i="1" s="1"/>
  <c r="M83" i="1"/>
  <c r="P83" i="1" s="1"/>
  <c r="R81" i="1"/>
  <c r="U81" i="1" s="1"/>
  <c r="Q82" i="1"/>
  <c r="T82" i="1" s="1"/>
  <c r="L81" i="1"/>
  <c r="O81" i="1" s="1"/>
  <c r="R82" i="1"/>
  <c r="U82" i="1" s="1"/>
  <c r="R84" i="1"/>
  <c r="U84" i="1" s="1"/>
  <c r="R83" i="1"/>
  <c r="U83" i="1" s="1"/>
  <c r="B83" i="1"/>
  <c r="K83" i="1"/>
  <c r="N83" i="1" s="1"/>
  <c r="K84" i="1"/>
  <c r="N84" i="1" s="1"/>
  <c r="L83" i="1"/>
  <c r="O83" i="1" s="1"/>
  <c r="M82" i="1"/>
  <c r="P82" i="1" s="1"/>
  <c r="S84" i="1"/>
  <c r="V84" i="1" s="1"/>
  <c r="C84" i="1"/>
  <c r="L84" i="1"/>
  <c r="O84" i="1" s="1"/>
  <c r="S85" i="1"/>
  <c r="V85" i="1" s="1"/>
  <c r="R85" i="1"/>
  <c r="U85" i="1" s="1"/>
  <c r="Q84" i="1"/>
  <c r="T84" i="1" s="1"/>
  <c r="B84" i="1"/>
  <c r="M85" i="1"/>
  <c r="P85" i="1" s="1"/>
  <c r="L85" i="1"/>
  <c r="O85" i="1" s="1"/>
  <c r="M84" i="1"/>
  <c r="P84" i="1" s="1"/>
  <c r="Q85" i="1"/>
  <c r="T85" i="1" s="1"/>
  <c r="C85" i="1"/>
  <c r="K85" i="1"/>
  <c r="N85" i="1" s="1"/>
  <c r="S86" i="1"/>
  <c r="V86" i="1" s="1"/>
  <c r="Q86" i="1"/>
  <c r="T86" i="1" s="1"/>
  <c r="Q83" i="1"/>
  <c r="T83" i="1" s="1"/>
  <c r="L87" i="1"/>
  <c r="O87" i="1" s="1"/>
  <c r="B86" i="1"/>
  <c r="L86" i="1"/>
  <c r="O86" i="1" s="1"/>
  <c r="R86" i="1"/>
  <c r="U86" i="1" s="1"/>
  <c r="K87" i="1"/>
  <c r="N87" i="1" s="1"/>
  <c r="C86" i="1"/>
  <c r="B85" i="1"/>
  <c r="M86" i="1"/>
  <c r="P86" i="1" s="1"/>
  <c r="M87" i="1"/>
  <c r="P87" i="1" s="1"/>
  <c r="C87" i="1"/>
  <c r="K86" i="1"/>
  <c r="N86" i="1" s="1"/>
  <c r="R87" i="1"/>
  <c r="U87" i="1" s="1"/>
  <c r="Q88" i="1"/>
  <c r="T88" i="1" s="1"/>
  <c r="S87" i="1"/>
  <c r="V87" i="1" s="1"/>
  <c r="B87" i="1"/>
  <c r="K88" i="1"/>
  <c r="N88" i="1" s="1"/>
  <c r="Q87" i="1"/>
  <c r="T87" i="1" s="1"/>
  <c r="L88" i="1"/>
  <c r="O88" i="1" s="1"/>
  <c r="C89" i="1"/>
  <c r="D89" i="1" s="1"/>
  <c r="E89" i="1" s="1"/>
  <c r="F89" i="1" s="1"/>
  <c r="G89" i="1" s="1"/>
  <c r="H89" i="1" s="1"/>
  <c r="I89" i="1" s="1"/>
  <c r="J89" i="1" s="1"/>
  <c r="S89" i="1"/>
  <c r="V89" i="1" s="1"/>
  <c r="C88" i="1"/>
  <c r="D88" i="1" s="1"/>
  <c r="E88" i="1" s="1"/>
  <c r="F88" i="1" s="1"/>
  <c r="G88" i="1" s="1"/>
  <c r="H88" i="1" s="1"/>
  <c r="I88" i="1" s="1"/>
  <c r="J88" i="1" s="1"/>
  <c r="L90" i="1"/>
  <c r="O90" i="1" s="1"/>
  <c r="M88" i="1"/>
  <c r="P88" i="1" s="1"/>
  <c r="R88" i="1"/>
  <c r="U88" i="1" s="1"/>
  <c r="R89" i="1"/>
  <c r="U89" i="1" s="1"/>
  <c r="S90" i="1"/>
  <c r="V90" i="1" s="1"/>
  <c r="S88" i="1"/>
  <c r="V88" i="1" s="1"/>
  <c r="M90" i="1"/>
  <c r="P90" i="1" s="1"/>
  <c r="M89" i="1"/>
  <c r="P89" i="1" s="1"/>
  <c r="B88" i="1"/>
  <c r="R90" i="1"/>
  <c r="U90" i="1" s="1"/>
  <c r="B90" i="1"/>
  <c r="Q89" i="1"/>
  <c r="T89" i="1" s="1"/>
  <c r="B89" i="1"/>
  <c r="L89" i="1"/>
  <c r="O89" i="1" s="1"/>
  <c r="K89" i="1"/>
  <c r="N89" i="1" s="1"/>
  <c r="S91" i="1"/>
  <c r="V91" i="1" s="1"/>
  <c r="Q90" i="1"/>
  <c r="T90" i="1" s="1"/>
  <c r="B91" i="1"/>
  <c r="M91" i="1"/>
  <c r="P91" i="1" s="1"/>
  <c r="Q91" i="1"/>
  <c r="T91" i="1" s="1"/>
  <c r="K91" i="1"/>
  <c r="N91" i="1" s="1"/>
  <c r="C90" i="1"/>
  <c r="D90" i="1" s="1"/>
  <c r="E90" i="1" s="1"/>
  <c r="F90" i="1" s="1"/>
  <c r="G90" i="1" s="1"/>
  <c r="H90" i="1" s="1"/>
  <c r="I90" i="1" s="1"/>
  <c r="J90" i="1" s="1"/>
  <c r="K90" i="1"/>
  <c r="N90" i="1" s="1"/>
  <c r="K92" i="1"/>
  <c r="N92" i="1" s="1"/>
  <c r="M92" i="1"/>
  <c r="P92" i="1" s="1"/>
  <c r="B92" i="1"/>
  <c r="C93" i="1"/>
  <c r="R93" i="1"/>
  <c r="U93" i="1" s="1"/>
  <c r="R91" i="1"/>
  <c r="U91" i="1" s="1"/>
  <c r="Q92" i="1"/>
  <c r="T92" i="1" s="1"/>
  <c r="S93" i="1"/>
  <c r="V93" i="1" s="1"/>
  <c r="L92" i="1"/>
  <c r="O92" i="1" s="1"/>
  <c r="C91" i="1"/>
  <c r="L91" i="1"/>
  <c r="O91" i="1" s="1"/>
  <c r="Q94" i="1"/>
  <c r="T94" i="1" s="1"/>
  <c r="R92" i="1"/>
  <c r="U92" i="1" s="1"/>
  <c r="L94" i="1"/>
  <c r="O94" i="1" s="1"/>
  <c r="K94" i="1"/>
  <c r="N94" i="1" s="1"/>
  <c r="K93" i="1"/>
  <c r="N93" i="1" s="1"/>
  <c r="C92" i="1"/>
  <c r="D92" i="1" s="1"/>
  <c r="E92" i="1" s="1"/>
  <c r="F92" i="1" s="1"/>
  <c r="G92" i="1" s="1"/>
  <c r="H92" i="1" s="1"/>
  <c r="I92" i="1" s="1"/>
  <c r="J92" i="1" s="1"/>
  <c r="L93" i="1"/>
  <c r="O93" i="1" s="1"/>
  <c r="Q93" i="1"/>
  <c r="T93" i="1" s="1"/>
  <c r="S92" i="1"/>
  <c r="V92" i="1" s="1"/>
  <c r="B93" i="1"/>
  <c r="M93" i="1"/>
  <c r="P93" i="1" s="1"/>
  <c r="Q95" i="1"/>
  <c r="T95" i="1" s="1"/>
  <c r="B94" i="1"/>
  <c r="C94" i="1"/>
  <c r="D94" i="1" s="1"/>
  <c r="E94" i="1" s="1"/>
  <c r="F94" i="1" s="1"/>
  <c r="G94" i="1" s="1"/>
  <c r="H94" i="1" s="1"/>
  <c r="I94" i="1" s="1"/>
  <c r="J94" i="1" s="1"/>
  <c r="M94" i="1"/>
  <c r="P94" i="1" s="1"/>
  <c r="R95" i="1"/>
  <c r="U95" i="1" s="1"/>
  <c r="M95" i="1"/>
  <c r="P95" i="1" s="1"/>
  <c r="K95" i="1"/>
  <c r="N95" i="1" s="1"/>
  <c r="S94" i="1"/>
  <c r="V94" i="1" s="1"/>
  <c r="R94" i="1"/>
  <c r="U94" i="1" s="1"/>
  <c r="R97" i="1"/>
  <c r="U97" i="1" s="1"/>
  <c r="Q96" i="1"/>
  <c r="T96" i="1" s="1"/>
  <c r="S95" i="1"/>
  <c r="V95" i="1" s="1"/>
  <c r="B95" i="1"/>
  <c r="C95" i="1"/>
  <c r="L95" i="1"/>
  <c r="O95" i="1" s="1"/>
  <c r="L96" i="1"/>
  <c r="O96" i="1" s="1"/>
  <c r="B97" i="1"/>
  <c r="M97" i="1"/>
  <c r="P97" i="1" s="1"/>
  <c r="R96" i="1"/>
  <c r="U96" i="1" s="1"/>
  <c r="B98" i="1"/>
  <c r="C96" i="1"/>
  <c r="D96" i="1" s="1"/>
  <c r="E96" i="1" s="1"/>
  <c r="F96" i="1" s="1"/>
  <c r="G96" i="1" s="1"/>
  <c r="H96" i="1" s="1"/>
  <c r="I96" i="1" s="1"/>
  <c r="J96" i="1" s="1"/>
  <c r="S96" i="1"/>
  <c r="V96" i="1" s="1"/>
  <c r="S97" i="1"/>
  <c r="V97" i="1" s="1"/>
  <c r="M96" i="1"/>
  <c r="P96" i="1" s="1"/>
  <c r="B96" i="1"/>
  <c r="C97" i="1"/>
  <c r="L97" i="1"/>
  <c r="O97" i="1" s="1"/>
  <c r="K96" i="1"/>
  <c r="N96" i="1" s="1"/>
  <c r="K97" i="1"/>
  <c r="N97" i="1" s="1"/>
  <c r="R98" i="1"/>
  <c r="U98" i="1" s="1"/>
  <c r="L99" i="1"/>
  <c r="O99" i="1" s="1"/>
  <c r="L98" i="1"/>
  <c r="O98" i="1" s="1"/>
  <c r="Q97" i="1"/>
  <c r="T97" i="1" s="1"/>
  <c r="C98" i="1"/>
  <c r="K98" i="1"/>
  <c r="N98" i="1" s="1"/>
  <c r="B100" i="1"/>
  <c r="M98" i="1"/>
  <c r="P98" i="1" s="1"/>
  <c r="R99" i="1"/>
  <c r="U99" i="1" s="1"/>
  <c r="B99" i="1"/>
  <c r="K99" i="1"/>
  <c r="N99" i="1" s="1"/>
  <c r="Q98" i="1"/>
  <c r="T98" i="1" s="1"/>
  <c r="R100" i="1"/>
  <c r="U100" i="1" s="1"/>
  <c r="B101" i="1"/>
  <c r="S99" i="1"/>
  <c r="V99" i="1" s="1"/>
  <c r="M99" i="1"/>
  <c r="P99" i="1" s="1"/>
  <c r="S98" i="1"/>
  <c r="V98" i="1" s="1"/>
  <c r="Q99" i="1"/>
  <c r="T99" i="1" s="1"/>
  <c r="K100" i="1"/>
  <c r="N100" i="1" s="1"/>
  <c r="Q100" i="1"/>
  <c r="T100" i="1" s="1"/>
  <c r="L100" i="1"/>
  <c r="O100" i="1" s="1"/>
  <c r="Q101" i="1"/>
  <c r="T101" i="1" s="1"/>
  <c r="M100" i="1"/>
  <c r="P100" i="1" s="1"/>
  <c r="L101" i="1"/>
  <c r="O101" i="1" s="1"/>
  <c r="C99" i="1"/>
  <c r="R101" i="1"/>
  <c r="U101" i="1" s="1"/>
  <c r="B102" i="1"/>
  <c r="R102" i="1"/>
  <c r="U102" i="1" s="1"/>
  <c r="M101" i="1"/>
  <c r="P101" i="1" s="1"/>
  <c r="M102" i="1"/>
  <c r="P102" i="1" s="1"/>
  <c r="L102" i="1"/>
  <c r="O102" i="1" s="1"/>
  <c r="S100" i="1"/>
  <c r="V100" i="1" s="1"/>
  <c r="C100" i="1"/>
  <c r="C102" i="1"/>
  <c r="D102" i="1" s="1"/>
  <c r="E102" i="1" s="1"/>
  <c r="F102" i="1" s="1"/>
  <c r="G102" i="1" s="1"/>
  <c r="H102" i="1" s="1"/>
  <c r="I102" i="1" s="1"/>
  <c r="J102" i="1" s="1"/>
  <c r="R103" i="1"/>
  <c r="U103" i="1" s="1"/>
  <c r="S101" i="1"/>
  <c r="V101" i="1" s="1"/>
  <c r="K101" i="1"/>
  <c r="N101" i="1" s="1"/>
  <c r="C101" i="1"/>
  <c r="D101" i="1" s="1"/>
  <c r="E101" i="1" s="1"/>
  <c r="F101" i="1" s="1"/>
  <c r="G101" i="1" s="1"/>
  <c r="H101" i="1" s="1"/>
  <c r="I101" i="1" s="1"/>
  <c r="J101" i="1" s="1"/>
  <c r="K102" i="1"/>
  <c r="N102" i="1" s="1"/>
  <c r="S102" i="1"/>
  <c r="V102" i="1" s="1"/>
  <c r="S103" i="1"/>
  <c r="V103" i="1" s="1"/>
  <c r="B103" i="1"/>
  <c r="L103" i="1"/>
  <c r="O103" i="1" s="1"/>
  <c r="R105" i="1"/>
  <c r="U105" i="1" s="1"/>
  <c r="Q102" i="1"/>
  <c r="T102" i="1" s="1"/>
  <c r="B104" i="1"/>
  <c r="Q103" i="1"/>
  <c r="T103" i="1" s="1"/>
  <c r="R104" i="1"/>
  <c r="U104" i="1" s="1"/>
  <c r="K104" i="1"/>
  <c r="N104" i="1" s="1"/>
  <c r="C104" i="1"/>
  <c r="D104" i="1" s="1"/>
  <c r="E104" i="1" s="1"/>
  <c r="F104" i="1" s="1"/>
  <c r="G104" i="1" s="1"/>
  <c r="H104" i="1" s="1"/>
  <c r="I104" i="1" s="1"/>
  <c r="J104" i="1" s="1"/>
  <c r="K105" i="1"/>
  <c r="N105" i="1" s="1"/>
  <c r="C103" i="1"/>
  <c r="D103" i="1" s="1"/>
  <c r="E103" i="1" s="1"/>
  <c r="F103" i="1" s="1"/>
  <c r="G103" i="1" s="1"/>
  <c r="H103" i="1" s="1"/>
  <c r="I103" i="1" s="1"/>
  <c r="J103" i="1" s="1"/>
  <c r="B105" i="1"/>
  <c r="K103" i="1"/>
  <c r="N103" i="1" s="1"/>
  <c r="M103" i="1"/>
  <c r="P103" i="1" s="1"/>
  <c r="L104" i="1"/>
  <c r="O104" i="1" s="1"/>
  <c r="L105" i="1"/>
  <c r="O105" i="1" s="1"/>
  <c r="Q104" i="1"/>
  <c r="T104" i="1" s="1"/>
  <c r="S105" i="1"/>
  <c r="V105" i="1" s="1"/>
  <c r="C105" i="1"/>
  <c r="D105" i="1" s="1"/>
  <c r="E105" i="1" s="1"/>
  <c r="F105" i="1" s="1"/>
  <c r="G105" i="1" s="1"/>
  <c r="H105" i="1" s="1"/>
  <c r="I105" i="1" s="1"/>
  <c r="J105" i="1" s="1"/>
  <c r="L106" i="1"/>
  <c r="O106" i="1" s="1"/>
  <c r="B106" i="1"/>
  <c r="R106" i="1"/>
  <c r="U106" i="1" s="1"/>
  <c r="M104" i="1"/>
  <c r="P104" i="1" s="1"/>
  <c r="M105" i="1"/>
  <c r="P105" i="1" s="1"/>
  <c r="Q105" i="1"/>
  <c r="T105" i="1" s="1"/>
  <c r="R107" i="1"/>
  <c r="U107" i="1" s="1"/>
  <c r="S104" i="1"/>
  <c r="V104" i="1" s="1"/>
  <c r="B107" i="1"/>
  <c r="K106" i="1"/>
  <c r="N106" i="1" s="1"/>
  <c r="Q106" i="1"/>
  <c r="T106" i="1" s="1"/>
  <c r="Q107" i="1"/>
  <c r="T107" i="1" s="1"/>
  <c r="C106" i="1"/>
  <c r="S106" i="1"/>
  <c r="V106" i="1" s="1"/>
  <c r="C107" i="1"/>
  <c r="M106" i="1"/>
  <c r="P106" i="1" s="1"/>
  <c r="S107" i="1"/>
  <c r="V107" i="1" s="1"/>
  <c r="L107" i="1"/>
  <c r="O107" i="1" s="1"/>
  <c r="M107" i="1"/>
  <c r="P107" i="1" s="1"/>
  <c r="L108" i="1"/>
  <c r="O108" i="1" s="1"/>
  <c r="B108" i="1"/>
  <c r="K107" i="1"/>
  <c r="N107" i="1" s="1"/>
  <c r="R108" i="1"/>
  <c r="U108" i="1" s="1"/>
  <c r="B109" i="1"/>
  <c r="Q108" i="1"/>
  <c r="T108" i="1" s="1"/>
  <c r="M109" i="1"/>
  <c r="P109" i="1" s="1"/>
  <c r="R109" i="1"/>
  <c r="U109" i="1" s="1"/>
  <c r="L110" i="1"/>
  <c r="O110" i="1" s="1"/>
  <c r="C108" i="1"/>
  <c r="K108" i="1"/>
  <c r="N108" i="1" s="1"/>
  <c r="S109" i="1"/>
  <c r="V109" i="1" s="1"/>
  <c r="K110" i="1"/>
  <c r="N110" i="1" s="1"/>
  <c r="R111" i="1"/>
  <c r="U111" i="1" s="1"/>
  <c r="C109" i="1"/>
  <c r="D109" i="1" s="1"/>
  <c r="E109" i="1" s="1"/>
  <c r="F109" i="1" s="1"/>
  <c r="G109" i="1" s="1"/>
  <c r="H109" i="1" s="1"/>
  <c r="I109" i="1" s="1"/>
  <c r="J109" i="1" s="1"/>
  <c r="K109" i="1"/>
  <c r="N109" i="1" s="1"/>
  <c r="B110" i="1"/>
  <c r="L109" i="1"/>
  <c r="O109" i="1" s="1"/>
  <c r="S108" i="1"/>
  <c r="V108" i="1" s="1"/>
  <c r="L111" i="1"/>
  <c r="O111" i="1" s="1"/>
  <c r="R110" i="1"/>
  <c r="U110" i="1" s="1"/>
  <c r="M108" i="1"/>
  <c r="P108" i="1" s="1"/>
  <c r="M111" i="1"/>
  <c r="P111" i="1" s="1"/>
  <c r="Q111" i="1"/>
  <c r="T111" i="1" s="1"/>
  <c r="B111" i="1"/>
  <c r="B112" i="1"/>
  <c r="Q110" i="1"/>
  <c r="T110" i="1" s="1"/>
  <c r="Q109" i="1"/>
  <c r="T109" i="1" s="1"/>
  <c r="C110" i="1"/>
  <c r="D110" i="1" s="1"/>
  <c r="E110" i="1" s="1"/>
  <c r="F110" i="1" s="1"/>
  <c r="G110" i="1" s="1"/>
  <c r="H110" i="1" s="1"/>
  <c r="I110" i="1" s="1"/>
  <c r="J110" i="1" s="1"/>
  <c r="K111" i="1"/>
  <c r="N111" i="1" s="1"/>
  <c r="S110" i="1"/>
  <c r="V110" i="1" s="1"/>
  <c r="R112" i="1"/>
  <c r="U112" i="1" s="1"/>
  <c r="B113" i="1"/>
  <c r="L113" i="1"/>
  <c r="O113" i="1" s="1"/>
  <c r="R113" i="1"/>
  <c r="U113" i="1" s="1"/>
  <c r="C111" i="1"/>
  <c r="S111" i="1"/>
  <c r="V111" i="1" s="1"/>
  <c r="M110" i="1"/>
  <c r="P110" i="1" s="1"/>
  <c r="L112" i="1"/>
  <c r="O112" i="1" s="1"/>
  <c r="Q114" i="1"/>
  <c r="T114" i="1" s="1"/>
  <c r="S113" i="1"/>
  <c r="V113" i="1" s="1"/>
  <c r="B114" i="1"/>
  <c r="Q112" i="1"/>
  <c r="T112" i="1" s="1"/>
  <c r="K112" i="1"/>
  <c r="N112" i="1" s="1"/>
  <c r="K113" i="1"/>
  <c r="N113" i="1" s="1"/>
  <c r="R114" i="1"/>
  <c r="U114" i="1" s="1"/>
  <c r="S112" i="1"/>
  <c r="V112" i="1" s="1"/>
  <c r="C113" i="1"/>
  <c r="Q113" i="1"/>
  <c r="T113" i="1" s="1"/>
  <c r="B115" i="1"/>
  <c r="C112" i="1"/>
  <c r="D112" i="1" s="1"/>
  <c r="E112" i="1" s="1"/>
  <c r="F112" i="1" s="1"/>
  <c r="G112" i="1" s="1"/>
  <c r="H112" i="1" s="1"/>
  <c r="I112" i="1" s="1"/>
  <c r="J112" i="1" s="1"/>
  <c r="M113" i="1"/>
  <c r="P113" i="1" s="1"/>
  <c r="M112" i="1"/>
  <c r="P112" i="1" s="1"/>
  <c r="B116" i="1"/>
  <c r="L114" i="1"/>
  <c r="O114" i="1" s="1"/>
  <c r="M114" i="1"/>
  <c r="P114" i="1" s="1"/>
  <c r="L115" i="1"/>
  <c r="O115" i="1" s="1"/>
  <c r="S114" i="1"/>
  <c r="V114" i="1" s="1"/>
  <c r="R115" i="1"/>
  <c r="U115" i="1" s="1"/>
  <c r="C115" i="1"/>
  <c r="K114" i="1"/>
  <c r="N114" i="1" s="1"/>
  <c r="R116" i="1"/>
  <c r="U116" i="1" s="1"/>
  <c r="C116" i="1"/>
  <c r="D116" i="1" s="1"/>
  <c r="E116" i="1" s="1"/>
  <c r="F116" i="1" s="1"/>
  <c r="G116" i="1" s="1"/>
  <c r="H116" i="1" s="1"/>
  <c r="I116" i="1" s="1"/>
  <c r="J116" i="1" s="1"/>
  <c r="L117" i="1"/>
  <c r="O117" i="1" s="1"/>
  <c r="S116" i="1"/>
  <c r="V116" i="1" s="1"/>
  <c r="M115" i="1"/>
  <c r="P115" i="1" s="1"/>
  <c r="C114" i="1"/>
  <c r="D114" i="1" s="1"/>
  <c r="E114" i="1" s="1"/>
  <c r="F114" i="1" s="1"/>
  <c r="G114" i="1" s="1"/>
  <c r="H114" i="1" s="1"/>
  <c r="I114" i="1" s="1"/>
  <c r="J114" i="1" s="1"/>
  <c r="L116" i="1"/>
  <c r="O116" i="1" s="1"/>
  <c r="K115" i="1"/>
  <c r="N115" i="1" s="1"/>
  <c r="R117" i="1"/>
  <c r="U117" i="1" s="1"/>
  <c r="S115" i="1"/>
  <c r="V115" i="1" s="1"/>
  <c r="K116" i="1"/>
  <c r="N116" i="1" s="1"/>
  <c r="K117" i="1"/>
  <c r="N117" i="1" s="1"/>
  <c r="M118" i="1"/>
  <c r="P118" i="1" s="1"/>
  <c r="K118" i="1"/>
  <c r="N118" i="1" s="1"/>
  <c r="Q116" i="1"/>
  <c r="T116" i="1" s="1"/>
  <c r="Q115" i="1"/>
  <c r="T115" i="1" s="1"/>
  <c r="M116" i="1"/>
  <c r="P116" i="1" s="1"/>
  <c r="R118" i="1"/>
  <c r="U118" i="1" s="1"/>
  <c r="L118" i="1"/>
  <c r="O118" i="1" s="1"/>
  <c r="B120" i="1"/>
  <c r="B118" i="1"/>
  <c r="B117" i="1"/>
  <c r="M117" i="1"/>
  <c r="P117" i="1" s="1"/>
  <c r="B119" i="1"/>
  <c r="K119" i="1"/>
  <c r="N119" i="1" s="1"/>
  <c r="L120" i="1"/>
  <c r="O120" i="1" s="1"/>
  <c r="L119" i="1"/>
  <c r="O119" i="1" s="1"/>
  <c r="Q119" i="1"/>
  <c r="T119" i="1" s="1"/>
  <c r="C118" i="1"/>
  <c r="R119" i="1"/>
  <c r="U119" i="1" s="1"/>
  <c r="C117" i="1"/>
  <c r="B121" i="1"/>
  <c r="S119" i="1"/>
  <c r="V119" i="1" s="1"/>
  <c r="Q117" i="1"/>
  <c r="T117" i="1" s="1"/>
  <c r="S117" i="1"/>
  <c r="V117" i="1" s="1"/>
  <c r="Q118" i="1"/>
  <c r="T118" i="1" s="1"/>
  <c r="C120" i="1"/>
  <c r="R123" i="1"/>
  <c r="U123" i="1" s="1"/>
  <c r="Q120" i="1"/>
  <c r="T120" i="1" s="1"/>
  <c r="M119" i="1"/>
  <c r="P119" i="1" s="1"/>
  <c r="M120" i="1"/>
  <c r="P120" i="1" s="1"/>
  <c r="R120" i="1"/>
  <c r="U120" i="1" s="1"/>
  <c r="S121" i="1"/>
  <c r="V121" i="1" s="1"/>
  <c r="R122" i="1"/>
  <c r="U122" i="1" s="1"/>
  <c r="S120" i="1"/>
  <c r="V120" i="1" s="1"/>
  <c r="L124" i="1"/>
  <c r="O124" i="1" s="1"/>
  <c r="L121" i="1"/>
  <c r="O121" i="1" s="1"/>
  <c r="C119" i="1"/>
  <c r="D119" i="1" s="1"/>
  <c r="E119" i="1" s="1"/>
  <c r="F119" i="1" s="1"/>
  <c r="G119" i="1" s="1"/>
  <c r="H119" i="1" s="1"/>
  <c r="I119" i="1" s="1"/>
  <c r="J119" i="1" s="1"/>
  <c r="B122" i="1"/>
  <c r="B123" i="1"/>
  <c r="S122" i="1"/>
  <c r="V122" i="1" s="1"/>
  <c r="L122" i="1"/>
  <c r="O122" i="1" s="1"/>
  <c r="S118" i="1"/>
  <c r="V118" i="1" s="1"/>
  <c r="R121" i="1"/>
  <c r="U121" i="1" s="1"/>
  <c r="B124" i="1"/>
  <c r="Q122" i="1"/>
  <c r="T122" i="1" s="1"/>
  <c r="K120" i="1"/>
  <c r="N120" i="1" s="1"/>
  <c r="K122" i="1"/>
  <c r="N122" i="1" s="1"/>
  <c r="C121" i="1"/>
  <c r="D121" i="1" s="1"/>
  <c r="E121" i="1" s="1"/>
  <c r="F121" i="1" s="1"/>
  <c r="G121" i="1" s="1"/>
  <c r="H121" i="1" s="1"/>
  <c r="I121" i="1" s="1"/>
  <c r="J121" i="1" s="1"/>
  <c r="Q121" i="1"/>
  <c r="T121" i="1" s="1"/>
  <c r="R124" i="1"/>
  <c r="U124" i="1" s="1"/>
  <c r="Q123" i="1"/>
  <c r="T123" i="1" s="1"/>
  <c r="K121" i="1"/>
  <c r="N121" i="1" s="1"/>
  <c r="L123" i="1"/>
  <c r="O123" i="1" s="1"/>
  <c r="M121" i="1"/>
  <c r="P121" i="1" s="1"/>
  <c r="C123" i="1"/>
  <c r="D123" i="1" s="1"/>
  <c r="E123" i="1" s="1"/>
  <c r="F123" i="1" s="1"/>
  <c r="G123" i="1" s="1"/>
  <c r="H123" i="1" s="1"/>
  <c r="I123" i="1" s="1"/>
  <c r="J123" i="1" s="1"/>
  <c r="M122" i="1"/>
  <c r="P122" i="1" s="1"/>
  <c r="K123" i="1"/>
  <c r="N123" i="1" s="1"/>
  <c r="S123" i="1"/>
  <c r="V123" i="1" s="1"/>
  <c r="C122" i="1"/>
  <c r="D122" i="1" s="1"/>
  <c r="E122" i="1" s="1"/>
  <c r="F122" i="1" s="1"/>
  <c r="G122" i="1" s="1"/>
  <c r="H122" i="1" s="1"/>
  <c r="I122" i="1" s="1"/>
  <c r="J122" i="1" s="1"/>
  <c r="Q124" i="1"/>
  <c r="T124" i="1" s="1"/>
  <c r="S124" i="1"/>
  <c r="V124" i="1" s="1"/>
  <c r="M124" i="1"/>
  <c r="P124" i="1" s="1"/>
  <c r="K124" i="1"/>
  <c r="N124" i="1" s="1"/>
  <c r="M123" i="1"/>
  <c r="P123" i="1" s="1"/>
  <c r="C124" i="1"/>
  <c r="D124" i="1" s="1"/>
  <c r="E124" i="1" s="1"/>
  <c r="F124" i="1" s="1"/>
  <c r="G124" i="1" s="1"/>
  <c r="H124" i="1" s="1"/>
  <c r="I124" i="1" s="1"/>
  <c r="J124" i="1" s="1"/>
  <c r="AH112" i="2"/>
  <c r="AN112" i="2"/>
  <c r="AK112" i="2"/>
  <c r="AI112" i="2"/>
  <c r="AP112" i="2"/>
  <c r="AO112" i="2"/>
  <c r="AF112" i="2"/>
  <c r="AV111" i="2"/>
  <c r="AW111" i="2" s="1"/>
  <c r="AU111" i="2"/>
  <c r="BJ112" i="2"/>
  <c r="BK112" i="2"/>
  <c r="BJ111" i="2"/>
  <c r="AZ111" i="2"/>
  <c r="BK111" i="2"/>
  <c r="BI111" i="2"/>
  <c r="AT112" i="2"/>
  <c r="AR112" i="2"/>
  <c r="AS112" i="2"/>
  <c r="AQ112" i="2"/>
  <c r="AE112" i="2"/>
  <c r="AG114" i="2"/>
  <c r="AM113" i="2"/>
  <c r="BM112" i="2" l="1"/>
  <c r="BN112" i="2" s="1"/>
  <c r="BL112" i="2"/>
  <c r="AH113" i="2"/>
  <c r="AN113" i="2"/>
  <c r="AK113" i="2"/>
  <c r="AI113" i="2"/>
  <c r="AP113" i="2"/>
  <c r="AO113" i="2"/>
  <c r="AF113" i="2"/>
  <c r="AV112" i="2"/>
  <c r="AW112" i="2" s="1"/>
  <c r="AU112" i="2"/>
  <c r="BM111" i="2"/>
  <c r="BN111" i="2" s="1"/>
  <c r="BL111" i="2"/>
  <c r="BI112" i="2"/>
  <c r="D120" i="1"/>
  <c r="E120" i="1" s="1"/>
  <c r="F120" i="1" s="1"/>
  <c r="G120" i="1" s="1"/>
  <c r="H120" i="1" s="1"/>
  <c r="I120" i="1" s="1"/>
  <c r="J120" i="1" s="1"/>
  <c r="D117" i="1"/>
  <c r="E117" i="1" s="1"/>
  <c r="F117" i="1" s="1"/>
  <c r="G117" i="1" s="1"/>
  <c r="H117" i="1" s="1"/>
  <c r="I117" i="1" s="1"/>
  <c r="J117" i="1" s="1"/>
  <c r="D118" i="1"/>
  <c r="E118" i="1" s="1"/>
  <c r="F118" i="1" s="1"/>
  <c r="G118" i="1" s="1"/>
  <c r="H118" i="1" s="1"/>
  <c r="I118" i="1" s="1"/>
  <c r="J118" i="1" s="1"/>
  <c r="D115" i="1"/>
  <c r="E115" i="1" s="1"/>
  <c r="F115" i="1" s="1"/>
  <c r="G115" i="1" s="1"/>
  <c r="H115" i="1" s="1"/>
  <c r="I115" i="1" s="1"/>
  <c r="J115" i="1" s="1"/>
  <c r="D113" i="1"/>
  <c r="E113" i="1" s="1"/>
  <c r="F113" i="1" s="1"/>
  <c r="G113" i="1" s="1"/>
  <c r="H113" i="1" s="1"/>
  <c r="I113" i="1" s="1"/>
  <c r="J113" i="1" s="1"/>
  <c r="D111" i="1"/>
  <c r="E111" i="1" s="1"/>
  <c r="F111" i="1" s="1"/>
  <c r="G111" i="1" s="1"/>
  <c r="H111" i="1" s="1"/>
  <c r="I111" i="1" s="1"/>
  <c r="J111" i="1" s="1"/>
  <c r="D108" i="1"/>
  <c r="E108" i="1" s="1"/>
  <c r="F108" i="1" s="1"/>
  <c r="G108" i="1" s="1"/>
  <c r="H108" i="1" s="1"/>
  <c r="I108" i="1" s="1"/>
  <c r="J108" i="1" s="1"/>
  <c r="D107" i="1"/>
  <c r="E107" i="1" s="1"/>
  <c r="F107" i="1" s="1"/>
  <c r="G107" i="1" s="1"/>
  <c r="H107" i="1" s="1"/>
  <c r="I107" i="1" s="1"/>
  <c r="J107" i="1" s="1"/>
  <c r="D106" i="1"/>
  <c r="E106" i="1" s="1"/>
  <c r="F106" i="1" s="1"/>
  <c r="G106" i="1" s="1"/>
  <c r="H106" i="1" s="1"/>
  <c r="I106" i="1" s="1"/>
  <c r="J106" i="1" s="1"/>
  <c r="D100" i="1"/>
  <c r="E100" i="1" s="1"/>
  <c r="F100" i="1" s="1"/>
  <c r="G100" i="1" s="1"/>
  <c r="H100" i="1" s="1"/>
  <c r="I100" i="1" s="1"/>
  <c r="J100" i="1" s="1"/>
  <c r="D99" i="1"/>
  <c r="E99" i="1" s="1"/>
  <c r="F99" i="1" s="1"/>
  <c r="G99" i="1" s="1"/>
  <c r="H99" i="1" s="1"/>
  <c r="I99" i="1" s="1"/>
  <c r="J99" i="1" s="1"/>
  <c r="D98" i="1"/>
  <c r="E98" i="1" s="1"/>
  <c r="F98" i="1" s="1"/>
  <c r="G98" i="1" s="1"/>
  <c r="H98" i="1" s="1"/>
  <c r="I98" i="1" s="1"/>
  <c r="J98" i="1" s="1"/>
  <c r="D97" i="1"/>
  <c r="E97" i="1" s="1"/>
  <c r="F97" i="1" s="1"/>
  <c r="G97" i="1" s="1"/>
  <c r="H97" i="1" s="1"/>
  <c r="I97" i="1" s="1"/>
  <c r="J97" i="1" s="1"/>
  <c r="D95" i="1"/>
  <c r="E95" i="1" s="1"/>
  <c r="F95" i="1" s="1"/>
  <c r="G95" i="1" s="1"/>
  <c r="H95" i="1" s="1"/>
  <c r="I95" i="1" s="1"/>
  <c r="J95" i="1" s="1"/>
  <c r="D91" i="1"/>
  <c r="E91" i="1" s="1"/>
  <c r="F91" i="1" s="1"/>
  <c r="G91" i="1" s="1"/>
  <c r="H91" i="1" s="1"/>
  <c r="I91" i="1" s="1"/>
  <c r="J91" i="1" s="1"/>
  <c r="D93" i="1"/>
  <c r="E93" i="1" s="1"/>
  <c r="F93" i="1" s="1"/>
  <c r="G93" i="1" s="1"/>
  <c r="H93" i="1" s="1"/>
  <c r="I93" i="1" s="1"/>
  <c r="J93" i="1" s="1"/>
  <c r="D87" i="1"/>
  <c r="E87" i="1" s="1"/>
  <c r="F87" i="1" s="1"/>
  <c r="G87" i="1" s="1"/>
  <c r="H87" i="1" s="1"/>
  <c r="I87" i="1" s="1"/>
  <c r="J87" i="1" s="1"/>
  <c r="D86" i="1"/>
  <c r="E86" i="1" s="1"/>
  <c r="F86" i="1" s="1"/>
  <c r="G86" i="1" s="1"/>
  <c r="H86" i="1" s="1"/>
  <c r="I86" i="1" s="1"/>
  <c r="J86" i="1" s="1"/>
  <c r="D85" i="1"/>
  <c r="E85" i="1" s="1"/>
  <c r="F85" i="1" s="1"/>
  <c r="G85" i="1" s="1"/>
  <c r="H85" i="1" s="1"/>
  <c r="I85" i="1" s="1"/>
  <c r="J85" i="1" s="1"/>
  <c r="D84" i="1"/>
  <c r="E84" i="1" s="1"/>
  <c r="F84" i="1" s="1"/>
  <c r="G84" i="1" s="1"/>
  <c r="H84" i="1" s="1"/>
  <c r="I84" i="1" s="1"/>
  <c r="J84" i="1" s="1"/>
  <c r="D83" i="1"/>
  <c r="E83" i="1" s="1"/>
  <c r="F83" i="1" s="1"/>
  <c r="G83" i="1" s="1"/>
  <c r="H83" i="1" s="1"/>
  <c r="I83" i="1" s="1"/>
  <c r="J83" i="1" s="1"/>
  <c r="D81" i="1"/>
  <c r="E81" i="1" s="1"/>
  <c r="F81" i="1" s="1"/>
  <c r="G81" i="1" s="1"/>
  <c r="H81" i="1" s="1"/>
  <c r="I81" i="1" s="1"/>
  <c r="J81" i="1" s="1"/>
  <c r="D80" i="1"/>
  <c r="E80" i="1" s="1"/>
  <c r="F80" i="1" s="1"/>
  <c r="G80" i="1" s="1"/>
  <c r="H80" i="1" s="1"/>
  <c r="I80" i="1" s="1"/>
  <c r="J80" i="1" s="1"/>
  <c r="D79" i="1"/>
  <c r="E79" i="1" s="1"/>
  <c r="F79" i="1" s="1"/>
  <c r="G79" i="1" s="1"/>
  <c r="H79" i="1" s="1"/>
  <c r="I79" i="1" s="1"/>
  <c r="J79" i="1" s="1"/>
  <c r="D78" i="1"/>
  <c r="E78" i="1" s="1"/>
  <c r="F78" i="1" s="1"/>
  <c r="G78" i="1" s="1"/>
  <c r="H78" i="1" s="1"/>
  <c r="I78" i="1" s="1"/>
  <c r="J78" i="1" s="1"/>
  <c r="D77" i="1"/>
  <c r="E77" i="1" s="1"/>
  <c r="F77" i="1" s="1"/>
  <c r="G77" i="1" s="1"/>
  <c r="H77" i="1" s="1"/>
  <c r="I77" i="1" s="1"/>
  <c r="J77" i="1" s="1"/>
  <c r="D75" i="1"/>
  <c r="E75" i="1" s="1"/>
  <c r="F75" i="1" s="1"/>
  <c r="G75" i="1" s="1"/>
  <c r="H75" i="1" s="1"/>
  <c r="I75" i="1" s="1"/>
  <c r="J75" i="1" s="1"/>
  <c r="D74" i="1"/>
  <c r="E74" i="1" s="1"/>
  <c r="F74" i="1" s="1"/>
  <c r="G74" i="1" s="1"/>
  <c r="H74" i="1" s="1"/>
  <c r="I74" i="1" s="1"/>
  <c r="J74" i="1" s="1"/>
  <c r="D72" i="1"/>
  <c r="E72" i="1" s="1"/>
  <c r="F72" i="1" s="1"/>
  <c r="G72" i="1" s="1"/>
  <c r="H72" i="1" s="1"/>
  <c r="I72" i="1" s="1"/>
  <c r="J72" i="1" s="1"/>
  <c r="D69" i="1"/>
  <c r="E69" i="1" s="1"/>
  <c r="F69" i="1" s="1"/>
  <c r="G69" i="1" s="1"/>
  <c r="H69" i="1" s="1"/>
  <c r="I69" i="1" s="1"/>
  <c r="J69" i="1" s="1"/>
  <c r="D68" i="1"/>
  <c r="E68" i="1" s="1"/>
  <c r="F68" i="1" s="1"/>
  <c r="G68" i="1" s="1"/>
  <c r="H68" i="1" s="1"/>
  <c r="I68" i="1" s="1"/>
  <c r="J68" i="1" s="1"/>
  <c r="D67" i="1"/>
  <c r="E67" i="1" s="1"/>
  <c r="F67" i="1" s="1"/>
  <c r="G67" i="1" s="1"/>
  <c r="H67" i="1" s="1"/>
  <c r="I67" i="1" s="1"/>
  <c r="J67" i="1" s="1"/>
  <c r="D66" i="1"/>
  <c r="E66" i="1" s="1"/>
  <c r="F66" i="1" s="1"/>
  <c r="G66" i="1" s="1"/>
  <c r="H66" i="1" s="1"/>
  <c r="I66" i="1" s="1"/>
  <c r="J66" i="1" s="1"/>
  <c r="D65" i="1"/>
  <c r="E65" i="1" s="1"/>
  <c r="F65" i="1" s="1"/>
  <c r="G65" i="1" s="1"/>
  <c r="H65" i="1" s="1"/>
  <c r="I65" i="1" s="1"/>
  <c r="J65" i="1" s="1"/>
  <c r="D63" i="1"/>
  <c r="E63" i="1" s="1"/>
  <c r="F63" i="1" s="1"/>
  <c r="G63" i="1" s="1"/>
  <c r="H63" i="1" s="1"/>
  <c r="I63" i="1" s="1"/>
  <c r="J63" i="1" s="1"/>
  <c r="D61" i="1"/>
  <c r="E61" i="1" s="1"/>
  <c r="F61" i="1" s="1"/>
  <c r="G61" i="1" s="1"/>
  <c r="H61" i="1" s="1"/>
  <c r="I61" i="1" s="1"/>
  <c r="J61" i="1" s="1"/>
  <c r="AT113" i="2"/>
  <c r="AR113" i="2"/>
  <c r="AS113" i="2"/>
  <c r="AQ113" i="2"/>
  <c r="AE113" i="2"/>
  <c r="AM114" i="2"/>
  <c r="AG115" i="2"/>
  <c r="AH114" i="2" l="1"/>
  <c r="AK114" i="2"/>
  <c r="AI114" i="2"/>
  <c r="AN114" i="2"/>
  <c r="AP114" i="2"/>
  <c r="AO114" i="2"/>
  <c r="AF114" i="2"/>
  <c r="AV113" i="2"/>
  <c r="AW113" i="2" s="1"/>
  <c r="AU113" i="2"/>
  <c r="AG116" i="2"/>
  <c r="AM115" i="2"/>
  <c r="AS114" i="2"/>
  <c r="AQ114" i="2"/>
  <c r="AE114" i="2"/>
  <c r="AT114" i="2"/>
  <c r="AR114" i="2"/>
  <c r="AV114" i="2" l="1"/>
  <c r="AW114" i="2" s="1"/>
  <c r="AU114" i="2"/>
  <c r="AM116" i="2"/>
  <c r="L34" i="1"/>
  <c r="O34" i="1" s="1"/>
  <c r="B38" i="1"/>
  <c r="R33" i="1"/>
  <c r="U33" i="1" s="1"/>
  <c r="C37" i="1"/>
  <c r="L33" i="1"/>
  <c r="O33" i="1" s="1"/>
  <c r="Q33" i="1"/>
  <c r="T33" i="1" s="1"/>
  <c r="M36" i="1"/>
  <c r="P36" i="1" s="1"/>
  <c r="B40" i="1"/>
  <c r="S38" i="1"/>
  <c r="V38" i="1" s="1"/>
  <c r="C39" i="1"/>
  <c r="K38" i="1"/>
  <c r="N38" i="1" s="1"/>
  <c r="Q34" i="1"/>
  <c r="T34" i="1" s="1"/>
  <c r="M38" i="1"/>
  <c r="P38" i="1" s="1"/>
  <c r="L35" i="1"/>
  <c r="O35" i="1" s="1"/>
  <c r="C34" i="1"/>
  <c r="R31" i="1"/>
  <c r="U31" i="1" s="1"/>
  <c r="R34" i="1"/>
  <c r="U34" i="1" s="1"/>
  <c r="M31" i="1"/>
  <c r="P31" i="1" s="1"/>
  <c r="M42" i="1"/>
  <c r="P42" i="1" s="1"/>
  <c r="R36" i="1"/>
  <c r="U36" i="1" s="1"/>
  <c r="L41" i="1"/>
  <c r="O41" i="1" s="1"/>
  <c r="S31" i="1"/>
  <c r="V31" i="1" s="1"/>
  <c r="S40" i="1"/>
  <c r="V40" i="1" s="1"/>
  <c r="Q40" i="1"/>
  <c r="T40" i="1" s="1"/>
  <c r="R42" i="1"/>
  <c r="U42" i="1" s="1"/>
  <c r="B41" i="1"/>
  <c r="R40" i="1"/>
  <c r="U40" i="1" s="1"/>
  <c r="K33" i="1"/>
  <c r="N33" i="1" s="1"/>
  <c r="B31" i="1"/>
  <c r="B33" i="1"/>
  <c r="K31" i="1"/>
  <c r="N31" i="1" s="1"/>
  <c r="Q42" i="1"/>
  <c r="T42" i="1" s="1"/>
  <c r="K36" i="1"/>
  <c r="N36" i="1" s="1"/>
  <c r="C32" i="1"/>
  <c r="Q31" i="1"/>
  <c r="T31" i="1" s="1"/>
  <c r="B42" i="1"/>
  <c r="S42" i="1"/>
  <c r="V42" i="1" s="1"/>
  <c r="C41" i="1"/>
  <c r="K42" i="1"/>
  <c r="N42" i="1" s="1"/>
  <c r="Q36" i="1"/>
  <c r="T36" i="1" s="1"/>
  <c r="C33" i="1"/>
  <c r="C31" i="1"/>
  <c r="K40" i="1"/>
  <c r="N40" i="1" s="1"/>
  <c r="Q39" i="1"/>
  <c r="T39" i="1" s="1"/>
  <c r="M37" i="1"/>
  <c r="P37" i="1" s="1"/>
  <c r="B37" i="1"/>
  <c r="K37" i="1"/>
  <c r="N37" i="1" s="1"/>
  <c r="S37" i="1"/>
  <c r="V37" i="1" s="1"/>
  <c r="K39" i="1"/>
  <c r="N39" i="1" s="1"/>
  <c r="M39" i="1"/>
  <c r="P39" i="1" s="1"/>
  <c r="M32" i="1"/>
  <c r="P32" i="1" s="1"/>
  <c r="L40" i="1"/>
  <c r="O40" i="1" s="1"/>
  <c r="K34" i="1"/>
  <c r="N34" i="1" s="1"/>
  <c r="L42" i="1"/>
  <c r="O42" i="1" s="1"/>
  <c r="S39" i="1"/>
  <c r="V39" i="1" s="1"/>
  <c r="C36" i="1"/>
  <c r="C38" i="1"/>
  <c r="M41" i="1"/>
  <c r="P41" i="1" s="1"/>
  <c r="K41" i="1"/>
  <c r="N41" i="1" s="1"/>
  <c r="Q32" i="1"/>
  <c r="T32" i="1" s="1"/>
  <c r="K35" i="1"/>
  <c r="N35" i="1" s="1"/>
  <c r="C42" i="1"/>
  <c r="B35" i="1"/>
  <c r="Q37" i="1"/>
  <c r="T37" i="1" s="1"/>
  <c r="Q35" i="1"/>
  <c r="T35" i="1" s="1"/>
  <c r="B32" i="1"/>
  <c r="Q41" i="1"/>
  <c r="T41" i="1" s="1"/>
  <c r="L38" i="1"/>
  <c r="O38" i="1" s="1"/>
  <c r="B39" i="1"/>
  <c r="C40" i="1"/>
  <c r="S32" i="1"/>
  <c r="V32" i="1" s="1"/>
  <c r="L36" i="1"/>
  <c r="O36" i="1" s="1"/>
  <c r="B34" i="1"/>
  <c r="S41" i="1"/>
  <c r="V41" i="1" s="1"/>
  <c r="S34" i="1"/>
  <c r="V34" i="1" s="1"/>
  <c r="S35" i="1"/>
  <c r="V35" i="1" s="1"/>
  <c r="M35" i="1"/>
  <c r="P35" i="1" s="1"/>
  <c r="K32" i="1"/>
  <c r="N32" i="1" s="1"/>
  <c r="Q38" i="1"/>
  <c r="T38" i="1" s="1"/>
  <c r="M34" i="1"/>
  <c r="P34" i="1" s="1"/>
  <c r="R38" i="1"/>
  <c r="U38" i="1" s="1"/>
  <c r="R32" i="1"/>
  <c r="U32" i="1" s="1"/>
  <c r="B36" i="1"/>
  <c r="R39" i="1"/>
  <c r="U39" i="1" s="1"/>
  <c r="C35" i="1"/>
  <c r="R37" i="1"/>
  <c r="U37" i="1" s="1"/>
  <c r="L37" i="1"/>
  <c r="O37" i="1" s="1"/>
  <c r="L31" i="1"/>
  <c r="O31" i="1" s="1"/>
  <c r="S33" i="1"/>
  <c r="V33" i="1" s="1"/>
  <c r="L39" i="1"/>
  <c r="O39" i="1" s="1"/>
  <c r="L32" i="1"/>
  <c r="O32" i="1" s="1"/>
  <c r="M40" i="1"/>
  <c r="P40" i="1" s="1"/>
  <c r="S36" i="1"/>
  <c r="V36" i="1" s="1"/>
  <c r="R41" i="1"/>
  <c r="U41" i="1" s="1"/>
  <c r="R35" i="1"/>
  <c r="U35" i="1" s="1"/>
  <c r="M33" i="1"/>
  <c r="P33" i="1" s="1"/>
  <c r="AH115" i="2"/>
  <c r="AK115" i="2"/>
  <c r="AI115" i="2"/>
  <c r="AN115" i="2"/>
  <c r="AP115" i="2"/>
  <c r="AO115" i="2"/>
  <c r="AF115" i="2"/>
  <c r="AT115" i="2"/>
  <c r="AR115" i="2"/>
  <c r="AS115" i="2"/>
  <c r="AQ115" i="2"/>
  <c r="AE115" i="2"/>
  <c r="AV115" i="2" l="1"/>
  <c r="AW115" i="2" s="1"/>
  <c r="AU115" i="2"/>
  <c r="AH116" i="2"/>
  <c r="AI116" i="2"/>
  <c r="AN116" i="2"/>
  <c r="AK116" i="2"/>
  <c r="AP116" i="2"/>
  <c r="AO116" i="2"/>
  <c r="AF116" i="2"/>
  <c r="AS116" i="2" l="1"/>
  <c r="AE116" i="2"/>
  <c r="AR116" i="2"/>
  <c r="AQ116" i="2"/>
  <c r="AT116" i="2"/>
  <c r="AV116" i="2" l="1"/>
  <c r="AW116" i="2" s="1"/>
  <c r="AU116" i="2"/>
</calcChain>
</file>

<file path=xl/sharedStrings.xml><?xml version="1.0" encoding="utf-8"?>
<sst xmlns="http://schemas.openxmlformats.org/spreadsheetml/2006/main" count="4952" uniqueCount="1302">
  <si>
    <t>リバース星座占い鑑定結果</t>
    <phoneticPr fontId="3"/>
  </si>
  <si>
    <t>生年月日</t>
    <phoneticPr fontId="3"/>
  </si>
  <si>
    <t>年</t>
    <phoneticPr fontId="3"/>
  </si>
  <si>
    <t>月</t>
    <phoneticPr fontId="3"/>
  </si>
  <si>
    <t>日</t>
    <phoneticPr fontId="3"/>
  </si>
  <si>
    <t>表星座</t>
    <phoneticPr fontId="3"/>
  </si>
  <si>
    <t>私たちが普段意識している星座（太陽星座）は社会的な表の顔を示します。</t>
    <phoneticPr fontId="3"/>
  </si>
  <si>
    <t>イベント</t>
    <phoneticPr fontId="3"/>
  </si>
  <si>
    <t>意味</t>
    <phoneticPr fontId="3"/>
  </si>
  <si>
    <t>干合名</t>
    <phoneticPr fontId="3"/>
  </si>
  <si>
    <t>化名</t>
    <phoneticPr fontId="3"/>
  </si>
  <si>
    <t>キャラ変</t>
    <phoneticPr fontId="3"/>
  </si>
  <si>
    <t>害</t>
  </si>
  <si>
    <t>ストレス</t>
  </si>
  <si>
    <t>病気注意</t>
    <phoneticPr fontId="3"/>
  </si>
  <si>
    <t>病気注意</t>
  </si>
  <si>
    <t>甲己干合</t>
  </si>
  <si>
    <t>土化</t>
  </si>
  <si>
    <t>オカン化</t>
  </si>
  <si>
    <t>全体運</t>
  </si>
  <si>
    <t>害刑</t>
  </si>
  <si>
    <t>ストレス・バトル</t>
  </si>
  <si>
    <t>ストレスと揉め事</t>
  </si>
  <si>
    <t>乙庚干合</t>
  </si>
  <si>
    <t>金化</t>
  </si>
  <si>
    <t>クール化</t>
    <phoneticPr fontId="3"/>
  </si>
  <si>
    <r>
      <rPr>
        <sz val="12"/>
        <color rgb="FF000000"/>
        <rFont val="ＭＳ Ｐゴシック"/>
        <family val="3"/>
        <charset val="128"/>
        <scheme val="minor"/>
      </rPr>
      <t>仕事運</t>
    </r>
  </si>
  <si>
    <t>刑</t>
  </si>
  <si>
    <t>バトル</t>
  </si>
  <si>
    <t>人間関係のトラブル</t>
  </si>
  <si>
    <t>丙辛干合</t>
  </si>
  <si>
    <t>水化</t>
  </si>
  <si>
    <t>デレ化</t>
  </si>
  <si>
    <r>
      <rPr>
        <sz val="12"/>
        <color rgb="FF000000"/>
        <rFont val="ＭＳ Ｐゴシック"/>
        <family val="3"/>
        <charset val="128"/>
        <scheme val="minor"/>
      </rPr>
      <t>恋愛結婚運</t>
    </r>
  </si>
  <si>
    <t>刑破</t>
  </si>
  <si>
    <t>バトル・フリーズ</t>
  </si>
  <si>
    <t>揉め事と物事の停滞</t>
  </si>
  <si>
    <t>丁壬干合</t>
  </si>
  <si>
    <t>木化</t>
  </si>
  <si>
    <t>エロ化</t>
  </si>
  <si>
    <r>
      <rPr>
        <sz val="12"/>
        <color rgb="FF000000"/>
        <rFont val="ＭＳ Ｐゴシック"/>
        <family val="3"/>
        <charset val="128"/>
        <scheme val="minor"/>
      </rPr>
      <t>金運</t>
    </r>
  </si>
  <si>
    <t>支合</t>
    <phoneticPr fontId="3"/>
  </si>
  <si>
    <t>バランス</t>
  </si>
  <si>
    <t>結びつきやまとまり</t>
  </si>
  <si>
    <t>戊癸干合</t>
  </si>
  <si>
    <t>火化</t>
  </si>
  <si>
    <t>オトメ化</t>
  </si>
  <si>
    <r>
      <rPr>
        <sz val="12"/>
        <color rgb="FF000000"/>
        <rFont val="ＭＳ Ｐゴシック"/>
        <family val="3"/>
        <charset val="128"/>
        <scheme val="minor"/>
      </rPr>
      <t>健康運</t>
    </r>
  </si>
  <si>
    <t>合刑</t>
  </si>
  <si>
    <t>バランス・バトル</t>
  </si>
  <si>
    <t>まとまる中の揉め事</t>
  </si>
  <si>
    <t>合破</t>
  </si>
  <si>
    <t>バランス・フリーズ</t>
  </si>
  <si>
    <t>まとまる中の停滞</t>
  </si>
  <si>
    <t>裏星座</t>
    <phoneticPr fontId="3"/>
  </si>
  <si>
    <t>東洋の宿命理論（算命学）を掛け合わせることで浮き彫りになるあなたの無意識の裏の顔</t>
    <phoneticPr fontId="3"/>
  </si>
  <si>
    <t>冲刑</t>
  </si>
  <si>
    <t>クラッシュ・バトル</t>
  </si>
  <si>
    <t>衝突と対人トラブル</t>
  </si>
  <si>
    <t>冲破</t>
  </si>
  <si>
    <t>クラッシュ・フリーズ</t>
  </si>
  <si>
    <t>衝突と物事の停滞</t>
  </si>
  <si>
    <t>対冲</t>
  </si>
  <si>
    <t>クラッシュ</t>
  </si>
  <si>
    <t>真正面からの衝突</t>
  </si>
  <si>
    <t>対冲刑</t>
  </si>
  <si>
    <t>メガクラッシュ</t>
  </si>
  <si>
    <t>激しい衝突と争い</t>
  </si>
  <si>
    <t>大半会</t>
  </si>
  <si>
    <t>フィーバー</t>
  </si>
  <si>
    <t>異分野融合と大発展</t>
  </si>
  <si>
    <t>同</t>
  </si>
  <si>
    <t>ブースト</t>
  </si>
  <si>
    <t>要素の強調や倍増</t>
  </si>
  <si>
    <t>健康運</t>
    <phoneticPr fontId="3"/>
  </si>
  <si>
    <t>納音</t>
  </si>
  <si>
    <t>ブレーキ</t>
  </si>
  <si>
    <t>白紙に戻る・停止</t>
  </si>
  <si>
    <t>律音</t>
  </si>
  <si>
    <t>リスタート</t>
  </si>
  <si>
    <t>再出発や新たな開始</t>
  </si>
  <si>
    <t>リバーシブル・アングル6分類：表と裏のワタシの交差点</t>
    <phoneticPr fontId="3"/>
  </si>
  <si>
    <t>半会</t>
  </si>
  <si>
    <t>シナジー</t>
  </si>
  <si>
    <t>新たな広がりや発展</t>
  </si>
  <si>
    <t>あなたが社会で見せるオモテの顔（表星座）と、心の奥底に隠されたガチの素顔（裏星座）。この2つが12星座の円盤上で「どのくらいの角度（距離）」にあるかによって、あなたの心の中で起きる化学反応は6つの角度タイプ（①0°②30°③60°,120°④90°⑤150°⑥180°）に分類されます。</t>
    <phoneticPr fontId="3"/>
  </si>
  <si>
    <t>準合</t>
  </si>
  <si>
    <t>スタンバイ</t>
  </si>
  <si>
    <t>発展や変化の準備</t>
  </si>
  <si>
    <t>アングル
（角度・アスペクト）</t>
    <phoneticPr fontId="3"/>
  </si>
  <si>
    <t>破</t>
  </si>
  <si>
    <t>フリーズ</t>
  </si>
  <si>
    <t>物事の停滞や破損</t>
  </si>
  <si>
    <t>アングルの内容説明</t>
    <phoneticPr fontId="3"/>
  </si>
  <si>
    <t>準方位</t>
    <phoneticPr fontId="3"/>
  </si>
  <si>
    <t>スクラム</t>
  </si>
  <si>
    <t>強固な結びつき</t>
  </si>
  <si>
    <t>全体の特性</t>
    <phoneticPr fontId="3"/>
  </si>
  <si>
    <t>天剋地冲</t>
  </si>
  <si>
    <t>ビックバン</t>
  </si>
  <si>
    <t>強制的なリセット</t>
  </si>
  <si>
    <t>葛藤パターン</t>
    <phoneticPr fontId="3"/>
  </si>
  <si>
    <t>自刑</t>
  </si>
  <si>
    <t>セルフバトル</t>
  </si>
  <si>
    <r>
      <rPr>
        <sz val="11"/>
        <color theme="0"/>
        <rFont val="ＭＳ Ｐゴシック"/>
        <family val="3"/>
        <charset val="128"/>
        <scheme val="minor"/>
      </rPr>
      <t>身内や自身との葛藤</t>
    </r>
  </si>
  <si>
    <t>身内や自身との葛藤</t>
  </si>
  <si>
    <t>開運パターン</t>
    <phoneticPr fontId="3"/>
  </si>
  <si>
    <t>－</t>
  </si>
  <si>
    <t>年天運</t>
    <phoneticPr fontId="3"/>
  </si>
  <si>
    <t>家庭</t>
    <phoneticPr fontId="3"/>
  </si>
  <si>
    <t>自分</t>
    <phoneticPr fontId="3"/>
  </si>
  <si>
    <t>社会</t>
    <phoneticPr fontId="3"/>
  </si>
  <si>
    <t>家庭</t>
    <phoneticPr fontId="3"/>
  </si>
  <si>
    <t>自分</t>
    <phoneticPr fontId="3"/>
  </si>
  <si>
    <t>自分</t>
    <phoneticPr fontId="3"/>
  </si>
  <si>
    <t>月天運</t>
    <phoneticPr fontId="3"/>
  </si>
  <si>
    <t>家庭</t>
    <phoneticPr fontId="3"/>
  </si>
  <si>
    <t>自分</t>
    <phoneticPr fontId="3"/>
  </si>
  <si>
    <t>社会</t>
    <phoneticPr fontId="3"/>
  </si>
  <si>
    <t>社会</t>
    <phoneticPr fontId="3"/>
  </si>
  <si>
    <t>2026/4</t>
  </si>
  <si>
    <t>日天運</t>
    <phoneticPr fontId="3"/>
  </si>
  <si>
    <t>干合名</t>
  </si>
  <si>
    <t>化気</t>
  </si>
  <si>
    <t>キャラ変</t>
  </si>
  <si>
    <t>ステータス</t>
  </si>
  <si>
    <t>【日干】相手・関係性の変化（現実のパートナーシップ）</t>
  </si>
  <si>
    <t>【月干】自分・心境の変化（恋愛観・精神面）</t>
  </si>
  <si>
    <t>【年干】出会い・社会面の変化（出会いの場・外からの見え方）</t>
  </si>
  <si>
    <t>【変化の根拠】なぜそうなるのか</t>
  </si>
  <si>
    <t>未婚(相手無)</t>
  </si>
  <si>
    <t>「真面目な相手をロックオン」堅実で浮気しないタイプを選ぶ</t>
  </si>
  <si>
    <t>「遊びは卒業！ド安定志向」刺激より安心感と誠実さを求める</t>
  </si>
  <si>
    <t>「手堅い出会いと信用アップ」職場など真面目な場での出会い</t>
  </si>
  <si>
    <t>木と土が交わり「不動の土」になるため。浮ついた気が消え、保護者のような保守性が強まる。</t>
  </si>
  <si>
    <t>未婚(相手有)</t>
  </si>
  <si>
    <t>「恋人から人生の相棒へ」同棲など生活の基盤が固まる</t>
  </si>
  <si>
    <t>「プロポーズ待ち！結婚願望」恋人から「家族」になりたい</t>
  </si>
  <si>
    <t>「親や会社への公式な紹介」交際を公にし社会的な信用を得る</t>
  </si>
  <si>
    <t>恋愛という流動的な状態から、法的・社会的な「定着・固定」へと向かうため。</t>
  </si>
  <si>
    <t>既婚(夫婦)</t>
  </si>
  <si>
    <t>「盤石！揺るがない家族の絆」生活ルールが整った安全地帯に</t>
  </si>
  <si>
    <t>「マイホーム第一主義へ」個人の楽しみより家庭の平和を優先</t>
  </si>
  <si>
    <t>「おしどり夫婦認定」世間から安定した夫婦と評価される</t>
  </si>
  <si>
    <t>土性が極まり、変化や刺激を嫌う「現状維持と安定の防衛本能」が強く働くため。</t>
  </si>
  <si>
    <t>ツンツン化</t>
  </si>
  <si>
    <t>「信頼度100%の相手確保」有言実行でスジの通った人との縁</t>
  </si>
  <si>
    <t>「無駄撃ち終了！本気モード」この人以外はバッサリ斬る</t>
  </si>
  <si>
    <t>「義理と約束の出会い」信頼できる人からの確実な紹介</t>
  </si>
  <si>
    <t>柔軟な草木が「鋼（金）」になるため。迷いや妥協を刃物で断ち切り、本物だけを鋭く見極める。</t>
  </si>
  <si>
    <t>「白黒ハッキリ！運命のジャッジ」結婚か別れかズルズルを清算</t>
  </si>
  <si>
    <t>「優柔不断終了！覚悟完了」この人と生きるという強い決意</t>
  </si>
  <si>
    <t>「婚約など公的な契約を結ぶ」後戻りできない確固たる約束を交わす</t>
  </si>
  <si>
    <t>刃物の性質が発揮され、曖昧な状態を許さず白黒つけるシビアな決断力が宿るため。</t>
  </si>
  <si>
    <t>「なぁなぁ解消！絆の再構築」悪習慣を断ち切りルールを再徹底</t>
  </si>
  <si>
    <t>「伴侶への義理堅さ再確認」家族を守り抜くという鋼の信念</t>
  </si>
  <si>
    <t>「夫婦揃っての社会的責任」夫婦で協力して社会的な義務を果たす</t>
  </si>
  <si>
    <t>金性が持つ義理・責任が強調され、一度結んだ契約を鋼のように硬く守り抜くため。</t>
  </si>
  <si>
    <t>「素を見せられる相手との遭遇」見栄を張らない等身大の相手と惹かれ合う</t>
  </si>
  <si>
    <t>「強がり解除！甘えん坊化」エゴが消え、自分を委ねられる恋へ</t>
  </si>
  <si>
    <t>「玉の輿！ステータス激変」華やかな場でのセレブな恋の展開</t>
  </si>
  <si>
    <t>太陽と宝石が「柔軟な水」に溶けるため。強い自我やプライドが消え、相手の器にスッポリ収まる。</t>
  </si>
  <si>
    <t>「主導権争い終了！深い愛情」勝ち負けのない思いやりの関係へ</t>
  </si>
  <si>
    <t>「プライド崩壊！どっぷり尽くす」意地を張るのをやめ相手に尽くす</t>
  </si>
  <si>
    <t>「誰もが羨む美男美女カップル」SNS等で映える華やかな交際</t>
  </si>
  <si>
    <t>融和・浸透のエネルギーが働き、互いの境界線が溶けて損得勘定のない情愛で混ざり合うため。</t>
  </si>
  <si>
    <t>「潤い復活！思いやりの生活」ギスギスした空気が消え優しさに満ちる</t>
  </si>
  <si>
    <t>「意地っ張りからデレ顔へ」配偶者に対して驚くほど素直になる</t>
  </si>
  <si>
    <t>「憧れのパワーカップル化」洗練された夫婦として周囲の憧れを集める</t>
  </si>
  <si>
    <t>乾いた関係に「潤い」が戻り、形やルールにこだわらない思いやりのある関係へと柔軟に変化するため。</t>
  </si>
  <si>
    <t>「フェロモン全開でターゲット確保」強烈な色気で大恋愛を引き寄せる</t>
  </si>
  <si>
    <t>「恋に落ちたい！恋愛至上主義」理屈より運命的な引力を渇望する</t>
  </si>
  <si>
    <t>「ドラマチック＆危険な引力」非日常空間での出会いや危険な恋</t>
  </si>
  <si>
    <t>炎と水が交わり「生命（木）」が誕生するため。理性を超えた本能的な男女の引力（エロス）が爆発する。</t>
  </si>
  <si>
    <t>「四六時中ベッタリ！一心同体」相手の色に染まり深く絡み合う</t>
  </si>
  <si>
    <t>「理性喪失！盲目的な愛」周りが見えないほどドップリ沼る</t>
  </si>
  <si>
    <t>「周囲を巻き込む大熱愛」良くも悪くもドラマチックな展開が波及</t>
  </si>
  <si>
    <t>ツル草のように絡みつく性質が発揮され、互いの領域に深く根を張り、理屈では離れられなくなるため。</t>
  </si>
  <si>
    <t>「濃密！お互いの領域が融合」プライバシーゼロで深く愛し合う</t>
  </si>
  <si>
    <t>「ルームメイトから恋人へ再燃」忘れかけたトキメキや情熱を求める</t>
  </si>
  <si>
    <t>「色気ダダ漏れ！魅力の爆発」夫婦のロマンチックな雰囲気が外に漏れる</t>
  </si>
  <si>
    <t>木性の「増殖」のエネルギーが、二人の間の情念や執着をどこまでも深く大きく育ててしまうため。</t>
  </si>
  <si>
    <t>「ドライな関係から電撃スパーク」ただの知り合いと突然熱烈な恋に落ちる</t>
  </si>
  <si>
    <t>「打算からの突然の大発火」コスパ重視から突然一目惚れの衝撃</t>
  </si>
  <si>
    <t>「ビジネスシーンでの電撃展開」仕事の取引先など公私の境目が燃え上がる</t>
  </si>
  <si>
    <t>冷たい山と雨が突如「熱い炎」になるため。冷静な打算が、予期せぬ摩擦による熱量で一気に燃え尽きる。</t>
  </si>
  <si>
    <t>「マンネリ打破！突然のスパーク」急な同棲や電撃婚などスピード展開</t>
  </si>
  <si>
    <t>「現状維持を打破する起爆剤」平坦な関係に飽き突発的な刺激を求める</t>
  </si>
  <si>
    <t>「突然のサプライズ発表」電撃入籍など周囲をアッと驚かせる</t>
  </si>
  <si>
    <t>火の持つ突発的な爆発力が働き、停滞・安定していた関係が一気にスパークして急展開を迎えるため。</t>
  </si>
  <si>
    <t>「まさかの熱愛！マンネリ打破」冷え切った関係に火がつき劇的に盛り上がる</t>
  </si>
  <si>
    <t>「事務的ルーティンに革命を」冷めた日常に飽き突発的な変化を仕掛ける</t>
  </si>
  <si>
    <t>「夫婦で大飛躍のサプライズ」突然の抜擢や成功など予測不能な展開</t>
  </si>
  <si>
    <t>燃焼・起爆のエネルギーが、ルーティン化した日常を破壊し、劇的な変化や情熱を強制的に生み出すため。</t>
  </si>
  <si>
    <t>氏名</t>
  </si>
  <si>
    <t>生年</t>
  </si>
  <si>
    <t>生月</t>
  </si>
  <si>
    <t>生日</t>
  </si>
  <si>
    <t>性別</t>
  </si>
  <si>
    <t>数理法（％）</t>
  </si>
  <si>
    <t>男</t>
  </si>
  <si>
    <t>干</t>
  </si>
  <si>
    <t>干
数</t>
  </si>
  <si>
    <t>星</t>
  </si>
  <si>
    <t>日干入
単価</t>
  </si>
  <si>
    <t>日干入
合計</t>
  </si>
  <si>
    <t>日干
なし</t>
  </si>
  <si>
    <t>剋線</t>
  </si>
  <si>
    <t>↓誕生日入力↓</t>
  </si>
  <si>
    <t>１２天運</t>
    <phoneticPr fontId="3"/>
  </si>
  <si>
    <t>内容</t>
    <phoneticPr fontId="3"/>
  </si>
  <si>
    <t>起天</t>
  </si>
  <si>
    <t>運命の幕開け。過去を断ち切り新しい種をまく開拓期。</t>
  </si>
  <si>
    <t>父系祖父母</t>
  </si>
  <si>
    <t>母系祖父母</t>
  </si>
  <si>
    <t>吉祥天</t>
  </si>
  <si>
    <t>まいた種が芽吹き、周囲の支援を受けて着実に育つ時期。</t>
  </si>
  <si>
    <t>止まる星</t>
  </si>
  <si>
    <t>弁財天</t>
  </si>
  <si>
    <t>才能がパッと花開き、今後の人生を左右する重要な決定を下す発展期。</t>
  </si>
  <si>
    <t>|</t>
  </si>
  <si>
    <t>両親</t>
  </si>
  <si>
    <t>曇天</t>
  </si>
  <si>
    <t>運気の勢いに心身が追いつかない小休止。自己治癒の時期。</t>
  </si>
  <si>
    <t>義理の両親</t>
  </si>
  <si>
    <t>　</t>
  </si>
  <si>
    <t>韋駄天</t>
  </si>
  <si>
    <t>運気絶頂。これまでの努力が実を結び、最高のスポットライトを浴びる。</t>
  </si>
  <si>
    <t>|自分</t>
  </si>
  <si>
    <t>|配偶者</t>
  </si>
  <si>
    <t>伏魔天</t>
  </si>
  <si>
    <t>強すぎる運気の反動で迷いや摩擦が生じる。理性と現状維持が必要な嵐。</t>
  </si>
  <si>
    <t>有頂天</t>
  </si>
  <si>
    <t>第2の絶頂期。過去の縁が繋がり、周囲を巻き込み大きな成果を出す。</t>
  </si>
  <si>
    <t>|子供</t>
  </si>
  <si>
    <t>満天</t>
  </si>
  <si>
    <t>収穫の喜び。物質や人脈などあらゆる財を蓄積し、強固な基盤を作る。</t>
  </si>
  <si>
    <t>静天</t>
  </si>
  <si>
    <t>成果が出揃う。精神的な安定と充実の中で平和に人生を俯瞰する時期。</t>
  </si>
  <si>
    <t>主観</t>
  </si>
  <si>
    <t>客観</t>
  </si>
  <si>
    <t>暗天</t>
  </si>
  <si>
    <t>運気下降（運の冬入り）。孤独を感じやすいが水面下の自己鍛錬が必要。</t>
  </si>
  <si>
    <t>日運</t>
  </si>
  <si>
    <t>構成比</t>
  </si>
  <si>
    <t>欲求度</t>
  </si>
  <si>
    <t>五大欲求</t>
  </si>
  <si>
    <t>大曇天</t>
  </si>
  <si>
    <t>運命の停止（運の真冬時期）。古い価値観を手放す究極の浄化期間。</t>
  </si>
  <si>
    <t>甲</t>
  </si>
  <si>
    <t>木</t>
  </si>
  <si>
    <t>生存の欲求</t>
  </si>
  <si>
    <t>システムの安全維持・リスク回避・保守</t>
  </si>
  <si>
    <t>雨天</t>
  </si>
  <si>
    <t>カルマの精算。過去の執着をすべて洗い流し、次の春への準備を整える。</t>
  </si>
  <si>
    <t>乙</t>
  </si>
  <si>
    <t>火</t>
  </si>
  <si>
    <t>楽しみの欲求</t>
  </si>
  <si>
    <t>自己表現・遊び・学習の喜び・共鳴</t>
  </si>
  <si>
    <t>丙</t>
  </si>
  <si>
    <t>土</t>
  </si>
  <si>
    <t>愛・所属の欲求</t>
  </si>
  <si>
    <t>蓄積・集団への帰属・他者との繋がり</t>
  </si>
  <si>
    <t>丁</t>
  </si>
  <si>
    <t>金</t>
  </si>
  <si>
    <t>力の欲求</t>
  </si>
  <si>
    <t>達成・承認・競争・課題の打破</t>
  </si>
  <si>
    <t>戊</t>
  </si>
  <si>
    <t>水</t>
  </si>
  <si>
    <t>自由の欲求</t>
  </si>
  <si>
    <t>独創性・独立・物理的／精神的制約の解放</t>
  </si>
  <si>
    <t>己</t>
  </si>
  <si>
    <t>全体</t>
  </si>
  <si>
    <t>庚</t>
  </si>
  <si>
    <t>辛</t>
  </si>
  <si>
    <t>壬</t>
  </si>
  <si>
    <t>癸</t>
  </si>
  <si>
    <t>宿命星</t>
  </si>
  <si>
    <t>1旬</t>
  </si>
  <si>
    <t>2旬</t>
  </si>
  <si>
    <t>3旬</t>
  </si>
  <si>
    <t>4旬</t>
  </si>
  <si>
    <t>5旬</t>
  </si>
  <si>
    <t>6旬</t>
  </si>
  <si>
    <t>7旬</t>
  </si>
  <si>
    <t>8旬</t>
  </si>
  <si>
    <t>9旬</t>
  </si>
  <si>
    <t>西</t>
  </si>
  <si>
    <t>中央</t>
  </si>
  <si>
    <t>仕事運</t>
  </si>
  <si>
    <t>恋愛結婚運</t>
  </si>
  <si>
    <t>金運</t>
  </si>
  <si>
    <t>健康運</t>
  </si>
  <si>
    <t>東</t>
  </si>
  <si>
    <t>土星人（＋）</t>
    <phoneticPr fontId="3"/>
  </si>
  <si>
    <t>戌亥＋</t>
    <phoneticPr fontId="3"/>
  </si>
  <si>
    <t>裏おひつじ座</t>
    <phoneticPr fontId="3"/>
  </si>
  <si>
    <t>群れることを好まない孤高の完璧主義者としての特性が、人生の基盤となります。他人の意見や世間の常識に流されることなく、内なるルールに絶対の自信を持って独自の道を切り開く強さを持っています。集団行動では息苦しさを感じることもありますが、妥協を許さないその生き様は、最終的に多くの人から一目置かれる存在へとあなたを押し上げます。信念を貫くことで運気が開ける大器です。</t>
  </si>
  <si>
    <t>裁量権のある単独ポジションや専門職において、誰も真似できないような圧倒的な成果を上げて大成します。組織の歯車として細かな指示を受ける環境では能力が半減してしまうため、自らの判断で動けるフリーランスやリーダー職が最適です。与えられた任務に対しては完璧を目指すため、その圧倒的なクオリティが周囲からの絶大な評価と信頼に直結していくでしょう。</t>
  </si>
  <si>
    <t>恋愛や結婚においては、依存し合う関係を好まず、自立と尊敬をベースにした精神的な繋がりを何よりも重視します。ベタベタした交際よりも、お互いがひとりの人間として目標に向かって努力し、高め合えるようなパートナーシップが理想です。相手の領域に踏み込みすぎず、自分の聖域も守りながら、深く静かな愛情を育んでいく大人の恋愛関係を築き上げます。</t>
  </si>
  <si>
    <t>完璧主義に基づく徹底したリサーチ能力と自己管理能力が、手堅く確実な財産形成に直結します。ギャンブルや不確実な投資には手を出さず、自らの実力と専門スキルでお金を稼ぎ出す力が非常に強いです。自分の納得のいく「質の高いもの」には惜しみなくお金を使いますが、無駄遣いは一切しないため、生涯を通じて安定した力強い金運を維持することができるでしょう。</t>
  </si>
  <si>
    <t>精神的な緊張状態が続きやすいため、意識的に一人になって心身をリラックスさせる「完全なオフの時間」を設けることが健康運アップの鍵です。他人に気を遣わず、自分のペースで楽しめる単独の趣味やスポーツ、または自然の中で静かに過ごす時間が、すり減ったエネルギーを強力にチャージしてくれます。質の高い睡眠環境を整えることも重要です。</t>
  </si>
  <si>
    <t>南</t>
  </si>
  <si>
    <t>土星人（－）</t>
    <phoneticPr fontId="3"/>
  </si>
  <si>
    <t>戌亥－</t>
    <phoneticPr fontId="3"/>
  </si>
  <si>
    <t>裏うお座</t>
    <phoneticPr fontId="3"/>
  </si>
  <si>
    <t>妥協を許さない極めて厳格で気高い理想主義者としての魂を持ち、独自の美学を追求する運命にあります。優しさの中に決して折れない鋭い剣を隠し持ち、自らの信じる正義や理想を現実世界で体現しようと闘い続けます。世俗的なものに迎合しないため孤立感を覚えることもありますが、その高い精神性は周囲に深い感動を与え、精神的な指導者やカリスマとしてのポジションを確立していくことになります。</t>
  </si>
  <si>
    <t>独自の精神世界を表現できる芸術分野や、高度な技術が求められるプロフェッショナルな仕事において、孤高の地位を築き上げます。ルーチンワークや妥協を強いられる職場では魂が枯渇してしまうため、自らの世界観を存分に発揮できるクリエイティブな環境が天職です。ストイックに技術を磨き上げる姿勢は、やがて業界内で唯一無二の評価を獲得することに繋がります。</t>
  </si>
  <si>
    <t>表面的な条件やルックスではなく、魂レベルで共鳴できるような深く運命的な愛を探し求めるロマンチストです。一度この人だと決めた相手に対しては、すべてを包み込むような究極の優しさと深い愛情を注ぎ込みます。精神的な絆を何よりも大切にするため、言葉にしなくてもお互いの感情を理解し合えるような、スピリチュアルな繋がりを感じる結婚生活に強い憧れを抱きます。</t>
  </si>
  <si>
    <t>物質的な豊かさよりも「精神的な満足」を重視する傾向があるため、お金そのものへの執着は薄いタイプです。しかし、追求を重ねた専門的なスキルや芸術的な才能が、結果として莫大な富を引き寄せるという不思議な金運を持っています。自らの直感や美意識を信じて自己投資を続けることで、後から自然とお金がついてくるという理想的な金銭サイクルを作り出すことができます。</t>
  </si>
  <si>
    <t>高い理想と現実のギャップに悩みやすく、メンタル面からの不調が体調に表れやすいデリケートな体質です。気高い精神を休ませるために、音楽やアート、アロマテラピーなど、五感を癒す美しいものに触れる時間を日常に取り入れてください。また、水辺の近くを散歩したり、質の高い入浴時間を確保することで、体内に溜まったマイナスエネルギーを効果的に浄化できます。</t>
  </si>
  <si>
    <t>北</t>
  </si>
  <si>
    <t>金星人（＋）</t>
    <phoneticPr fontId="3"/>
  </si>
  <si>
    <t>申酉＋</t>
    <phoneticPr fontId="3"/>
  </si>
  <si>
    <t>裏ふたご座</t>
    <phoneticPr fontId="3"/>
  </si>
  <si>
    <t>人と関わることで魂が最も輝く、超・社交型としてのバイオリズムを持っています。直感で即座に行動を起こす抜群の機動力で、常に時代の最先端やトレンドを創り出していくエネルギッシュな運命です。好奇心旺盛でフットワークが軽く、新しい情報や人脈を次々と引き寄せるため、あなたの周囲には常に活気と笑顔が溢れます。停滞を嫌い、変化を楽しみながら人生をハイスピードで駆け抜けていくでしょう。</t>
  </si>
  <si>
    <t>ルーチンワークを嫌い、営業や企画など、常に変化と刺激のある職場環境に身を置くことで最高のパフォーマンスを発揮する最適性があります。持ち前のコミュニケーション能力と頭の回転の速さを活かし、人と人とを繋ぐハブのような役割を担うと大成功を収めます。マルチタスクが得意なため、複数のプロジェクトを同時に回しながら次々と結果を出していくことができます。</t>
  </si>
  <si>
    <t>恋愛においても「楽しさ」と「新鮮さ」を最重視し、まるで親友同士のように軽やかで明るい交際を求めます。束縛されたり重苦しい関係になったりすると途端に熱が冷めてしまうため、お互いの自由を尊重し合いながら、様々な場所へ出かけて新しい体験を共有できるパートナーがベストです。結婚後も所帯染みることなく、いつまでも若々しく刺激的な関係を築きます。</t>
  </si>
  <si>
    <t>情報収集能力の高さがそのまま金運に直結するタイプです。最新のトレンドや有利な投資情報を誰よりも早くキャッチし、機動力を活かしてサクッと利益を上げる才能があります。交際費や自己投資への出費は多くなりがちですが、それが「生ききたお金」となって人脈や新しいチャンスとして何倍にもなって返ってくるため、ケチケチせずに経済を回していくスタイルが金運をさらに引き上げます。</t>
  </si>
  <si>
    <t>常に動き回り、頭もフル回転しているため、本人が気づかないうちに神経が疲労困憊していることがあります。オンとオフの切り替えを意識し、情報を完全にシャットアウトする「デジタルデトックス」の時間を意識的に作ることが健康維持の秘訣です。睡眠不足は運気低下に直結するため、良質な睡眠を確保し、疲労を翌日に持ち越さないようケアを怠らないようにしましょう。</t>
  </si>
  <si>
    <t>金星人（－）</t>
    <phoneticPr fontId="3"/>
  </si>
  <si>
    <t>申酉－</t>
    <phoneticPr fontId="3"/>
  </si>
  <si>
    <t>裏おうし座</t>
    <phoneticPr fontId="3"/>
  </si>
  <si>
    <t>常に新しい刺激を求めるアグレッシブな自由人としての顔を持ちながら、独自の視点を着実に形にしていく堅実さを併せ持つ、非常にバランスの取れた運命です。自由奔放に見えても、内面には絶対にブレない芯があり、自分が「これだ」と思った目標に対しては驚くべき持久力を発揮します。古い価値観に縛られることなく、自分自身の五感と直感を信じて人生を開拓していく開拓者と言えます。</t>
  </si>
  <si>
    <t>ひとつの仕事に縛られることなく、情報収集力を存分に活かして複数の仕事を同時進行させるようなパラレルワークの環境こそが天職です。型にハマった業務ではストレスを抱えますが、自身のペースで多様な案件を裁ける自由な環境を与えられれば、持ち前の堅実さで圧倒的な成果を上げます。独自のセンスが光るため、クリエイティブな分野とビジネスを見事に融合させる才能があります。</t>
  </si>
  <si>
    <t>ベタベタした束縛を極端に嫌い、お互いが自立した「友達感覚の楽しい交際」を好む傾向があります。趣味や美味しい食事を共有し、共に笑顔でいられる時間を大切にします。結婚後もパートナーとは対等な関係を望み、お互いのライフスタイルを尊重し合える風通しの良い家庭を築きます。重い感情の押し付け合いを避けるため、サバサバとした爽やかな愛情表現が特徴です。</t>
  </si>
  <si>
    <t>五感に優れ、「本当に価値のあるもの」を見極める審美眼を持っているため、生涯を通じて安定した豊かな金運に恵まれます。美味しい食事や美しい芸術、居心地の良い空間作りなど、自分のライフスタイルを向上させる出費にはお金を惜しみません。それがさらなるモチベーションとなり、結果的に収入アップへと繋がります。着実な蓄財能力も併せ持っているため、財産形成も非常に上手です。</t>
  </si>
  <si>
    <t>アクティブに活動するエネルギーと、徹底してリラックスしたいという欲求が交互に訪れます。疲労を感じた時は、マッサージや温泉、美味しい食事など「五感を満たすケア」を取り入れることで、驚くほど速やかに体力が回復します。喉や首回り、胃腸などが弱りやすいため、暴飲暴食には注意し、日頃から良質な食材を使ったバランスの良い食事を心がけることが大切です。</t>
  </si>
  <si>
    <t>火星人（＋）</t>
    <phoneticPr fontId="3"/>
  </si>
  <si>
    <t>午未＋</t>
    <phoneticPr fontId="3"/>
  </si>
  <si>
    <t>裏しし座</t>
    <phoneticPr fontId="3"/>
  </si>
  <si>
    <t>燃えたぎる強烈な情熱と、芸術家のように繊細な感性が同居する、非常にドラマチックな運命の持ち主です。他人の評価よりも「自分が心から納得できるか」を人生の最優先事項とし、周囲の反対を押し切ってでも我が道を力強く切り開いていく圧倒的なカリスマ性を秘めています。その生き様は多くの人を惹きつけますが、内面のデリケートさゆえに孤独を感じることも少なくありません。</t>
  </si>
  <si>
    <t>組織のルールに縛られることを嫌い、自らの采配で動けるフリーランスやクリエイターなど、己の美学を貫ける仕事が最適です。自分が情熱を注げるプロジェクトに出会った時の爆発力は凄まじく、誰も到達できないような高いクオリティの作品や成果を生み出します。妥協を許さないプロ意識が評価され、いつしか業界内でトップクラスの地位を確立することになるでしょう。</t>
  </si>
  <si>
    <t>恋愛においては、映画のようなドラマチックな展開を好む情熱的なロマンチストです。一度火がつくと周りが見えなくなるほど情熱的に愛を貫き、相手に対してストレートな愛情表現を欠かしません。プライドが高いため、自分を特別扱いして心から称賛してくれるパートナーを求めます。結婚後も生活感を出さず、いつまでも華やかで恋人同士のようなロマンチックな関係を維持しようと努力します。</t>
  </si>
  <si>
    <t>「自分の美学」や「見栄え」にこだわりがあるため、ファッションやステータスシンボルなど、華やかなものにお金を使う傾向があります。しかし、それが単なる浪費ではなく、自らのセルフプロデュース力やオーラを高めるための「必要経費」として機能し、結果的にさらに大きな仕事や富を引き寄せるという派手な金運を持っています。大胆な決断で大きな財を動かす才能があります。</t>
  </si>
  <si>
    <t>情熱の赴くままに限界を超えて活動してしまうため、突然のガス欠（バーンアウト）に陥りやすい傾向があります。心臓や血流、背中などに負担がかかりやすいため、日頃から適度な運動で血行を促進することが重要です。また、繊細な内面がストレスを感じやすいため、誰にも邪魔されない空間で一人静かに好きなことに没頭し、心のエネルギーを満たす時間を意識的に作ってください。</t>
  </si>
  <si>
    <t>火星人（－）</t>
    <phoneticPr fontId="3"/>
  </si>
  <si>
    <t>午未－</t>
    <phoneticPr fontId="3"/>
  </si>
  <si>
    <t>裏かに座</t>
    <phoneticPr fontId="3"/>
  </si>
  <si>
    <t>他人に決して踏み込まれない絶対的な「聖域」を持つ、孤高の存在としての運気を背負っています。一見穏やかに見えても、内面には底知れぬ忍耐力と強烈な反骨精神を秘めており、どんな困難な状況に陥っても決して諦めない不屈の魂を持っています。警戒心が強いため人間関係の構築には時間をかけますが、一度心を開いた相手には絶対的な味方となる、非常に義理堅く情に深い性質です。</t>
  </si>
  <si>
    <t>他人のペースに巻き込まれず、自分のペースで深く没頭できる専門分野や職人肌の仕事において、絶大な信頼と評価を得ます。表立ってリーダーシップを取るよりも、裏方や専門職として「この人にしかできない」と言われるような替えのきかないポジションを確立することが成功の鍵です。並外れた集中力と忍耐力で、誰も成し遂げられないような困難なミッションを見事にクリアしていきます。</t>
  </si>
  <si>
    <t>警戒心が強いため、相手に心を開くまでに非常に長い時間を必要とします。しかし、一度相手を深く愛し信頼すると決めたら、見返りを求めない底知れぬ愛情と献身を注ぎ込みます。家族や恋人を「自分のテリトリー内の大切な存在」として徹底的に守り抜く強さを持っています。結婚後は非常に家庭的になり、強固な絆で結ばれた温かく安心できる家庭を何よりも大切に築き上げます。</t>
  </si>
  <si>
    <t>貯蓄能力が非常に高く、お金に対しては保守的で堅実な価値観を持っています。無駄遣いや見栄のための出費を嫌い、将来の安心のためにコツコツと着実に財産を形成していくことができる手堅い金運です。ギャンブルや投資話には簡単には乗りませんが、家族のためや「いざという時の備え」に対する出費は惜しみません。晩年になるほど豊かさが増していく大器晩成型の財運です。</t>
  </si>
  <si>
    <t>我慢強く忍耐力がある反面、ストレスや疲労を限界まで溜め込んでしまう傾向があるため注意が必要です。胃腸や消化器系が感情と直結しており、不安や怒りを感じると胃が痛くなるなどの症状が出やすい体質です。心を開ける少数の親しい友人と語り合ったり、家の中でリラックスできるお気に入りの空間を整えたりすることで、精神的なデトックスをこまめに行うことが健康長寿の秘訣です。</t>
  </si>
  <si>
    <r>
      <rPr>
        <sz val="11"/>
        <color rgb="FF000000"/>
        <rFont val="ＭＳ Ｐゴシック"/>
        <family val="3"/>
        <charset val="128"/>
        <scheme val="minor"/>
      </rPr>
      <t>戌亥</t>
    </r>
    <r>
      <rPr>
        <sz val="11"/>
        <color rgb="FF000000"/>
        <rFont val="ＭＳ Ｐゴシック"/>
        <family val="2"/>
        <scheme val="minor"/>
      </rPr>
      <t/>
    </r>
    <phoneticPr fontId="3"/>
  </si>
  <si>
    <t xml:space="preserve"> 土星人</t>
    <phoneticPr fontId="3"/>
  </si>
  <si>
    <t>天王星人（＋）</t>
    <phoneticPr fontId="3"/>
  </si>
  <si>
    <t>辰巳＋</t>
    <phoneticPr fontId="3"/>
  </si>
  <si>
    <t>裏てんびん座</t>
    <phoneticPr fontId="3"/>
  </si>
  <si>
    <t>独自の優れた論理的思考と、人情味あふれる温かなリーダーシップを併せ持つ、非常にスケールの大きな運命の持ち主です。多様な価値観を受け入れる広い視野を持ち、周囲の人々を巧みに巻き込みながら、一人では到達できないような大きな目標を次々と達成していきます。平和主義でありながらも、理想の実現のためには毅然とした態度で物事を推し進める、頼りになるカリスマ性を発揮します。</t>
  </si>
  <si>
    <t>人を動かす卓越した手腕を持っているため、プロデュース業やマネジメント業、ディレクターなどのポジションで圧倒的な才能を発揮します。それぞれのメンバーの適性を見抜き、適材適所に配置して最高のチームを作り上げる天才です。論理的な戦略と、相手の感情に寄り添う人情味のバランスが絶妙なため、上司からも部下からも熱烈な支持を受け、組織のトップへと上り詰める暗示があります。</t>
  </si>
  <si>
    <t>争いごとを極端に嫌い、常に平和で穏やかな関係を好みます。相手の気持ちを察する気配りに長け、洗練された会話術とスマートな振る舞いができるため、異性からは非常にモテる運命にあります。恋愛経験は豊富になりがちですが、結婚後は持ち前のバランス感覚を発揮し、喧嘩の少ない落ち着いた温かい家庭を築きます。パートナーを陰ながらプロデュースし、成功へと導く力も持っています。</t>
  </si>
  <si>
    <t>人脈がそのまま金脈へと繋がる強力な引き寄せの金運を持っています。周囲の人々との調和を大切にし、他者に利益をもたらすことで、巡り巡って自分自身に大きな富が還元されるというサイクルを生まれ持っています。交際費への投資は惜しむべきではありません。公平な視点を持っているため、ビジネスパートナーとの共同事業や投資などでも、双方が納得する形で大きな利益を生み出します。</t>
  </si>
  <si>
    <t>人当たりが良く常に他者に気を配っているため、対人関係の疲労が蓄積しやすい傾向があります。腰や腎臓などにストレスのサインが出やすいため、定期的な休息が必要です。美しいものや芸術に触れることで精神的なバランスを取り戻すことができるため、休日は美術館巡りやクラシック音楽の鑑賞、または洗練された空間での優雅なティータイムなどで、心のチューニングを行うと良いでしょう。</t>
  </si>
  <si>
    <t>申酉</t>
    <phoneticPr fontId="3"/>
  </si>
  <si>
    <t>金星人</t>
    <phoneticPr fontId="3"/>
  </si>
  <si>
    <t>天王星人（－）</t>
    <phoneticPr fontId="3"/>
  </si>
  <si>
    <t>辰巳－</t>
    <phoneticPr fontId="3"/>
  </si>
  <si>
    <t>裏おとめ座</t>
    <phoneticPr fontId="3"/>
  </si>
  <si>
    <t>常識や既存のルールに一切囚われない、非常に柔軟で博愛主義的な魂を持っています。水のようにどんな環境や状況にも見事に適応し、困っている人や弱者に寄り添うことを心から喜びとする、深い慈愛の精神に満ちた人生を送ります。損得勘定抜きで他者に尽くすその姿勢は、巡り巡ってあなた自身を強固に守る見えないバリアとなり、多くの人から愛され、助けられる温かい運命を引き寄せます。</t>
  </si>
  <si>
    <t>表舞台で目立つよりも、医療や福祉、教育、人事など、人を直接サポートし、チーム全体を円滑に回す調整役・裏方としてのポジションが天職です。相手が何を求めているかを瞬時に察知し、先回りして行動する能力は天才的です。あなたが職場にいるだけで雰囲気が和らぎ、トラブルが激減するため、組織にとって決して手放せない「扇の要」のような重要人物として重宝されることになります。</t>
  </si>
  <si>
    <t>相手の喜ぶ顔を見ること、相手に尽くすことに至上の喜びを感じる、究極の奉仕型恋愛を好みます。パートナーの欠点すらも受け入れて包み込むほどの深い愛情を持っていますが、尽くしすぎて自分が疲弊してしまったり、依存心の強い相手を引き寄せてしまうことには注意が必要です。あなたの献身的な愛に心から感謝し、対等に思いやりのキャッチボールができる相手を選ぶことで、最高の幸せを掴めます。</t>
  </si>
  <si>
    <t>他人のためにお金を使うことを惜しまないため、手元にお金が残りにくい傾向があります。しかし、あなたのその無私の精神に感動した人々から、思いがけない援助や引き立てを受け、結果的にお金に困ることはないという特殊で恵まれた金運を持っています。福祉やボランティア、後進の育成など、社会の役に立つことへお金を循環させることで、さらに大きくて清らかな財運の波を引き寄せることができます。</t>
  </si>
  <si>
    <t>他人の悩みや痛みを自分のことのように受け取ってしまう共感能力の高さゆえに、精神的な疲労やネガティブなエネルギーをもらいやすい体質です。腸内環境や神経系にストレスが出やすいため、日々の食事を整えることが基本となります。定期的に自然の豊かな場所へ出かけたり、海や山で深呼吸をして、他者の感情と自分の感情の境界線をリセットする「浄化」の習慣を持つことが健康維持の要です。</t>
  </si>
  <si>
    <r>
      <rPr>
        <sz val="11"/>
        <color rgb="FF000000"/>
        <rFont val="ＭＳ Ｐゴシック"/>
        <family val="3"/>
        <charset val="128"/>
        <scheme val="minor"/>
      </rPr>
      <t>午未</t>
    </r>
    <r>
      <rPr>
        <sz val="11"/>
        <color rgb="FF000000"/>
        <rFont val="ＭＳ Ｐゴシック"/>
        <family val="2"/>
        <scheme val="minor"/>
      </rPr>
      <t/>
    </r>
    <phoneticPr fontId="3"/>
  </si>
  <si>
    <t xml:space="preserve"> 火星人</t>
    <phoneticPr fontId="3"/>
  </si>
  <si>
    <t>木星人（＋）</t>
    <phoneticPr fontId="3"/>
  </si>
  <si>
    <t>寅卯＋</t>
    <phoneticPr fontId="3"/>
  </si>
  <si>
    <t>裏いて座</t>
    <phoneticPr fontId="3"/>
  </si>
  <si>
    <t>伝統や歴史、先人たちの知恵を深く重んじる、非常に真面目で学習意欲旺盛な優等生としての魂を持っています。高い論理的思考力と、どんな状況でも冷静に分析して最適解を導き出す優れた適応力を武器に、人生の壁を着実に乗り越えていきます。軽はずみな行動は取らず、常に長期的な視点で物事を捉えるため、年齢を重ねるごとに知識と経験が重厚なオーラとなり、大器晩成型の成功を収めます。</t>
  </si>
  <si>
    <t>高い知性と探求心を活かせる、研究職、教育分野、データ分析、企業の戦略立案などのポジションで才能が最高に輝きます。物事の本質を深く掘り下げ、体系化して人に教えることが非常に得意です。コンプライアンスやルールを厳守し、正確でミスのない完璧な仕事ぶりは上司からの信頼も厚く、最終的には組織の中枢を担う知恵袋や顧問のような立場へと昇り詰める暗示があります。</t>
  </si>
  <si>
    <t>感情の赴くままの情熱的な恋愛よりも、お互いの知識や世界観を深く共有し合える、尊敬を伴う知的な恋愛関係を強く望みます。議論を交わしたり、一緒に勉強や読書を楽しんだりできる、精神的なレベルの高いパートナーとのご縁に恵まれます。結婚に対しても非常に慎重で責任感が強いため、一度結んだ絆は決して裏切ることなく、安定的で倫理観の高い、模範的な家庭を築き上げます。</t>
  </si>
  <si>
    <t>一攫千金を狙うようなハイリスクな行動は取らず、緻密な計画に基づいた非常に手堅く安定した金運の持ち主です。若い頃からコツコツと貯蓄や堅実な投資（インデックス投資や不動産など）を行い、老後には磐石の財産を築き上げているタイプです。また、知識や資格取得への自己投資は最強のリターンを生むため、学ぶことに対してはお金を出し惜しみしないことが、さらなる富の拡大に繋がります。</t>
  </si>
  <si>
    <t>真面目で責任感が強すぎるあまり、無意識のうちにストレスを溜め込み、肩こりや頭痛、肝臓などの不調を引き起こしやすい傾向があります。「〜しなければならない」という思考の枠をたまには外し、意図的に「何もしないだらけの時間」を作ることが究極の健康法です。読書などで脳を使いすぎた後は、軽いジョギングやストレッチで身体を動かし、頭に上った血を全身に巡らせることを意識してください。</t>
  </si>
  <si>
    <r>
      <rPr>
        <sz val="11"/>
        <color rgb="FF000000"/>
        <rFont val="ＭＳ Ｐゴシック"/>
        <family val="3"/>
        <charset val="128"/>
        <scheme val="minor"/>
      </rPr>
      <t>辰巳</t>
    </r>
    <r>
      <rPr>
        <sz val="11"/>
        <color rgb="FF000000"/>
        <rFont val="ＭＳ Ｐゴシック"/>
        <family val="2"/>
        <scheme val="minor"/>
      </rPr>
      <t/>
    </r>
    <phoneticPr fontId="3"/>
  </si>
  <si>
    <t>天王星人</t>
    <phoneticPr fontId="3"/>
  </si>
  <si>
    <t>木星人（－）</t>
    <phoneticPr fontId="3"/>
  </si>
  <si>
    <t>寅卯－</t>
    <phoneticPr fontId="3"/>
  </si>
  <si>
    <t>裏さそり座</t>
    <phoneticPr fontId="3"/>
  </si>
  <si>
    <t>その場の空気を敏感に読み取り、周囲の環境や状況に合わせて自らをカメレオンのように変化させる、驚異的な模倣能力と適応力を持った運命です。決して派手に目立つことは好まず、裏で緻密な計算と準備を重ね、一歩ずつ確実に実績を積み上げていく筋金入りの大器晩成型です。内面に秘めた野心は誰よりも強く、最終的にはしたたかに大きな成功と権力を手中に収める実力者となります。</t>
  </si>
  <si>
    <t>優れたロールモデルやメンターを見つけ、その技術や思考法を完全に吸収して自分のものにしてしまう天才的な学習能力を持っています。目立つポジションよりも、実務を取り仕切る参謀役や、地道な作業の積み重ねが結果を生む職人肌の仕事で確固たる地位を築きます。困難な状況でも決して弱音を吐かず、泥臭く結果にコミットし続ける姿勢が、後年になって莫大な評価となって返ってきます。</t>
  </si>
  <si>
    <t>一時の感情に流されることなく、相手の人間性や将来性をじっくりと見極めた上で、誠実で安定した恋愛関係を好みます。交際がスタートすれば、よそ見をすることなく一途に相手を愛し抜く深い情念を持っています。結婚に対しても「生活の安定」や「家族を守ること」を最優先に考えるため、非常に堅実で頼りがいのあるパートナーとなります。浮気や不倫といったリスクの高い行動は絶対に避けるタイプです。</t>
  </si>
  <si>
    <t>生殖器系や泌尿器系に疲れが出やすく、ストレスが溜まると極端に無口になったり、内に籠もったりする傾向があります。溜め込んだ感情を安全に発散させるために、日記を書いたり、親しい人にだけは本音を打ち明けたりする習慣を持つことが大切です。また、デトックス効果のあるサウナや岩盤浴、発酵食品の摂取などを通じて、体内に溜まった老廃物やマイナス感情を定期的に排出することが健康の鍵です。</t>
  </si>
  <si>
    <t>「沈黙は金」を地で行くような、非常に強力で隠密性の高い蓄財能力を持っています。人知れずコツコツと貯えを増やし、気づけば周囲が驚くような財産を築いているという「隠れ富豪」になりやすい運命です。ギャンブルには向いていませんが、長期的な複利効果を狙う投資や、不動産など手堅い資産運用で才能を発揮します。お金の貸し借りはトラブルの元になるため、どれほど親しい相手でも避けた方が無難です。</t>
  </si>
  <si>
    <r>
      <rPr>
        <sz val="11"/>
        <color rgb="FF000000"/>
        <rFont val="ＭＳ Ｐゴシック"/>
        <family val="3"/>
        <charset val="128"/>
        <scheme val="minor"/>
      </rPr>
      <t>寅卯</t>
    </r>
    <r>
      <rPr>
        <sz val="11"/>
        <color rgb="FF000000"/>
        <rFont val="ＭＳ Ｐゴシック"/>
        <family val="2"/>
        <scheme val="minor"/>
      </rPr>
      <t/>
    </r>
    <phoneticPr fontId="3"/>
  </si>
  <si>
    <t>木星人</t>
    <phoneticPr fontId="3"/>
  </si>
  <si>
    <t>水星人（＋）</t>
    <phoneticPr fontId="3"/>
  </si>
  <si>
    <t>子丑＋</t>
    <phoneticPr fontId="3"/>
  </si>
  <si>
    <t>裏みずがめ座</t>
    <phoneticPr fontId="3"/>
  </si>
  <si>
    <t>周囲の人を楽しませ、笑顔にすることに自分の全エネルギーを注ぎ込む、カリスマ的なエンターテイナーとしての魂を持っています。ユーモアのセンスに溢れ、明るく知的に人生を謳歌するその姿は、性別や年齢を問わず多くの人を惹きつける強烈な磁力を持っています。常識や古い慣習にとらわれない自由な発想力で、周囲に驚きと感動を与えながら、自分自身の人生をも壮大なエンターテインメントとして昇華させます。</t>
  </si>
  <si>
    <t>サービス業やエンタメ業、マスコミ、企画PRなど、あなたの個性とセンスが直接評価される目立つポジションにおいて、圧倒的な輝きを放ちます。退屈な単純作業や厳しい上下関係のある職場では才能が完全に枯れてしまいます。常に新しいアイデアを発信し、周囲をワクワクさせるようなムードメーカーとして活躍することで、大抜擢を受け、若くして業界のスターダムにのし上がる可能性を秘めています。</t>
  </si>
  <si>
    <t>恋愛においても「驚き」と「喜び」を提供することを愛し、サプライズを企画してパートナーを喜ばせることに幸せを感じます。甘くベタベタしたロマンスよりも、共通の趣味を楽しんだり、冗談を言い合って一緒に大笑いできるような、親友や仲間のような風通しの良い恋愛関係が理想です。束縛を極端に嫌うため、お互いの自由を尊重し合える自立した相手との結婚が最も上手くいきます。</t>
  </si>
  <si>
    <t>お金を「人生を楽しむためのチケット」と捉えているため、旅行やイベント、友人との交際費などにパッと使ってしまう傾向があります。蓄財はあまり得意ではありませんが、その天性の明るさと人脈の広さが強力な金脈となり、ピンチの時には必ずどこかからスポンサーや援助者が現れるという「お金に愛される」不思議な運を持っています。楽しいことにお金を使うほど、金運の波がさらに大きくなって還ってきます。</t>
  </si>
  <si>
    <t>常に周囲を楽しませようと気を張っているため、本人が気づかないうちに神経が極度に疲弊していることがあります。足首やふくらはぎ、神経系にトラブルが出やすいため、一日の終わりには入浴やマッサージで心身のテンションをしっかりと鎮めることが重要です。休日はあえて誰とも会わず、時間を気にせずにたっぷりと眠る「何もしない日」を作ることで、枯渇したエンターテイナーとしてのエネルギーが復活します。</t>
  </si>
  <si>
    <r>
      <rPr>
        <sz val="11"/>
        <color rgb="FF000000"/>
        <rFont val="ＭＳ Ｐゴシック"/>
        <family val="3"/>
        <charset val="128"/>
        <scheme val="minor"/>
      </rPr>
      <t>子丑</t>
    </r>
    <r>
      <rPr>
        <sz val="11"/>
        <color rgb="FF000000"/>
        <rFont val="ＭＳ Ｐゴシック"/>
        <family val="2"/>
        <scheme val="minor"/>
      </rPr>
      <t/>
    </r>
    <phoneticPr fontId="3"/>
  </si>
  <si>
    <t>水星人</t>
    <phoneticPr fontId="3"/>
  </si>
  <si>
    <t>水星人（－）</t>
    <phoneticPr fontId="3"/>
  </si>
  <si>
    <t>子丑－</t>
    <phoneticPr fontId="3"/>
  </si>
  <si>
    <t>裏やぎ座</t>
    <phoneticPr fontId="3"/>
  </si>
  <si>
    <t>冷静な判断力と遊び心を絶妙なバランスで兼ね備えた、非常にクレバーな創設者（ファウンダー）としての運命を持っています。独立心が極めて強く、他人の下で使われることを良しとせず、自らの知略と行動力で一代にして巨大な城を築き上げる知的な勝負師です。冷徹な計算高さだけでなく、周囲を惹きつける独特のユーモアを持つため、敵を作らずにしたたかに頂点へと登り詰めるカリスマ性を誇ります。</t>
  </si>
  <si>
    <t>「ゼロからイチを生み出す初代運」を強力に持っているため、起業や新規プロジェクトの立ち上げ、独立開業において大成功を収める暗示があります。既存の枠組みを壊し、誰も思いつかなかったような斬新なビジネスモデルを構築する天才です。リスクを恐れずに勝負に出る度胸と、最悪の事態を想定して打つ緻密な戦略を併せ持つため、どんな厳しいビジネス環境でも必ず生き残り、莫大な利益を叩き出します。</t>
  </si>
  <si>
    <t>恋愛においては非常に理想が高く、自分と同等かそれ以上の知性や野心を持つ相手に強く惹かれます。お互いの仕事や生き方を心からリスペクトし合える、洗練された大人の恋愛関係を好みます。恋愛に依存することはなく、あくまで自分の人生を豊かにするためのエッセンスと捉えています。結婚後もベタベタとした関係ではなく、最強のビジネスパートナーのような、同志としての強い結束力を持った家庭を築きます。</t>
  </si>
  <si>
    <t>非常に強力な「財を成す運気」を持っています。投資やビジネスで大きなお金を動かす胆力があり、ピンチをチャンスに変えて莫大な利益を生み出す天性の勝負強さがあります。お金を単なる紙幣ではなく「自分の理想を実現するためのツール」として効果的に使う術を熟知しているため、生涯を通じて巨万の富を築き上げる可能性が高いです。晩年はその財力を活かし、後進の育成や社会貢献に投資することでさらに名誉を得ます。</t>
  </si>
  <si>
    <t>仕事や目標達成のために睡眠や食事を犠牲にして限界まで働き続けてしまう、ワーカーホリックに陥りやすい傾向があります。骨や関節、皮膚などにストレスのサインが出やすいため、カルシウムの摂取や適度な日光浴を心がけてください。常に頭脳を酷使しているため、デジタルデバイスから離れて自然の中で過ごしたり、瞑想を取り入れるなどして、脳を強制的にシャットダウンする時間を設けることが健康の秘訣です。</t>
  </si>
  <si>
    <t>アスペクト</t>
    <phoneticPr fontId="3"/>
  </si>
  <si>
    <t>月運</t>
  </si>
  <si>
    <t>2025/6</t>
  </si>
  <si>
    <t>女</t>
  </si>
  <si>
    <t>東北</t>
  </si>
  <si>
    <t>北東</t>
  </si>
  <si>
    <t>東東北</t>
  </si>
  <si>
    <t>東北東</t>
  </si>
  <si>
    <t>東北北</t>
  </si>
  <si>
    <t>北東北</t>
  </si>
  <si>
    <t>北北東</t>
  </si>
  <si>
    <t>母</t>
  </si>
  <si>
    <t>父</t>
  </si>
  <si>
    <t>母母</t>
  </si>
  <si>
    <t>母父</t>
  </si>
  <si>
    <t>父母</t>
  </si>
  <si>
    <t>父父</t>
  </si>
  <si>
    <t>母母母</t>
  </si>
  <si>
    <t>母母父</t>
  </si>
  <si>
    <t>母父母</t>
  </si>
  <si>
    <t>母父父</t>
  </si>
  <si>
    <t>父母母</t>
  </si>
  <si>
    <t>父母父</t>
  </si>
  <si>
    <t>父父母</t>
  </si>
  <si>
    <t>父父父</t>
  </si>
  <si>
    <t>祖父</t>
  </si>
  <si>
    <t>祖母</t>
  </si>
  <si>
    <t>玉堂星</t>
  </si>
  <si>
    <t>司禄星</t>
  </si>
  <si>
    <t>禄存星</t>
  </si>
  <si>
    <t>鳳閣星</t>
  </si>
  <si>
    <t>調舒星</t>
  </si>
  <si>
    <t>龍高星</t>
  </si>
  <si>
    <t>義母</t>
  </si>
  <si>
    <t>義父</t>
  </si>
  <si>
    <t>意識・全体</t>
  </si>
  <si>
    <t>無意識・心</t>
  </si>
  <si>
    <t>本能・仕事</t>
  </si>
  <si>
    <t>天性</t>
  </si>
  <si>
    <t>自分</t>
  </si>
  <si>
    <t>配偶者</t>
  </si>
  <si>
    <t>初元</t>
  </si>
  <si>
    <t>中元</t>
  </si>
  <si>
    <t>本元</t>
  </si>
  <si>
    <t>エネルギー</t>
  </si>
  <si>
    <t>中</t>
  </si>
  <si>
    <t>止まる</t>
  </si>
  <si>
    <t>年番号</t>
  </si>
  <si>
    <t>日番号</t>
  </si>
  <si>
    <t>ID</t>
  </si>
  <si>
    <t>十二支</t>
  </si>
  <si>
    <t>点数</t>
  </si>
  <si>
    <t>子</t>
  </si>
  <si>
    <t>月番号</t>
  </si>
  <si>
    <t>丑</t>
  </si>
  <si>
    <t>寅</t>
  </si>
  <si>
    <t>石門星</t>
  </si>
  <si>
    <t>646566888988</t>
  </si>
  <si>
    <t>ＡＡ</t>
  </si>
  <si>
    <t>両方から生じられている形です。これは「待ち運」といって、運勢を掴むコツは待つことにあります。このパターンの宿命が何事も積極的に行動するようになると、危険です。待ち続ける我慢が大変そうですが、そういう構造になっているのですから、自然と待ちの生き方が身につくものです。窮地に陥った時にも自分から動かずにじっと待っていると、どこからともなく、助けがやってくることを意味しています。</t>
  </si>
  <si>
    <t>卯</t>
  </si>
  <si>
    <t>貫索星</t>
  </si>
  <si>
    <t>656667888988</t>
  </si>
  <si>
    <t>ＡＢ</t>
  </si>
  <si>
    <t xml:space="preserve">日支に生じられて、そのまま年支を生じる形です。これはひとつの自然な流れが出来上がっていて矛盾のない形です。流れがひとつのラインに乗っている感覚です。
人生全般、上り下りはつきものですが、それも含めて自分にとっては自然に上下していることになります。このパターンは「下りで学ぶ」という意味があります。自然の流れを信じて、下りを恐れることなく、むしろそこから何かを学んで上昇につなげなさい、という意味になります。
</t>
  </si>
  <si>
    <t>辰</t>
  </si>
  <si>
    <t>657677899988</t>
  </si>
  <si>
    <t>ＡＣ</t>
  </si>
  <si>
    <t>日干が日支に生じられて、年支を剋する形です。流れは合っていますが、剋が入るので自然な流れにはなりません。なにごとも、一直線にはいかないということです。②の逆パターンで、「上がってから落ちる」という意味になります。下る時でもじりじり下がることはなく、一見、上昇しているような形になって、そのあとに、どんと落とされます。上がっている時でも油断するなということです。</t>
  </si>
  <si>
    <t>石門星石門星</t>
  </si>
  <si>
    <t>石門星→貫索星　ある程度の距離を保って人間関係を作ります。自己保身の傾向も強まります。集団に和する傾向を持ちながらも、単独行動が多くなり、組織や仲間の中で、やや目立つ存在になります。周りからも距離をもたれることもあるでしょう。ただ、仲間意識は強いので、協調性やみんな仲良く精神はもっています。それほど物事を深刻に受け止めたり懐疑的にはなりません。試行錯誤のない単純さになり、それが逆に、自分の立場や行動を自覚し難いという欠点にもなります。</t>
  </si>
  <si>
    <t>巳</t>
  </si>
  <si>
    <t>756566788987</t>
  </si>
  <si>
    <t>ＡＤ</t>
  </si>
  <si>
    <t xml:space="preserve">日支に生じられて、年支からは剋されるという矛盾のある形です。
この形は「落ちて上昇する」という意味を持ちます。順調に推移していて、ここから上がろうとするときに一度ストンと凹まされます。それからまた、ぐーんと上昇に転じます。ストレートには上がらないので、落ちた時の忍耐と教訓を経て、次の上昇へと向かいます。
</t>
  </si>
  <si>
    <t>石門星貫索星</t>
  </si>
  <si>
    <t>石門星＝石門星　単独でも集団でも動ける自在性があります。人生を自分のペースでゆったりと歩みます。集団生活でも協調できますが、自己主張もするので、組織にあって、良くも悪くも目立つ人です。集団の中で個人の利を作り出す才覚があります。利己的傾向も少々あって、自分では気づかなくても、自分勝手な人と評価されることもあります。もし組織の中で上に立つことがあると、やや独裁者的傾向にもなります。例えば、芸事（茶道、華道など）の世界で大人数をまとめていくような役割も十分に果たせます。時代の移り変わりに敏感になり、時間の使い方がとてもうまくて、きちんと計算して動けます。</t>
  </si>
  <si>
    <t>午</t>
  </si>
  <si>
    <t>ＡＥ</t>
  </si>
  <si>
    <t>日干が生じられて、年支とはイコールです。この形は「不動」と呼ばれるもので、「積極性を出すな。動くな」という警鐘が含まれています。不動は待つという自然体ではなくて、追い詰められた時など、自分の意志で自分を制御して留まりなさいというものです。守りの本能が強い形です。</t>
  </si>
  <si>
    <t>石門星調舒星</t>
  </si>
  <si>
    <t>石門星→調舒星　過敏な神経をもちながらも、冷静さを保つことができます。おおらかで余裕があるようにもみられます。プライドがあって、自分を大切にする気持ちは強いのですが、地位や名誉的な自意識ではなく、集団に入りながら孤を保つことが出来るようになります。組織では補佐役や顧問的役割が向いています。ただ、繊細な感性は内側にあって、内面には孤独で不安定な情緒が潜在します。</t>
  </si>
  <si>
    <t>未</t>
  </si>
  <si>
    <t>ＢＡ</t>
  </si>
  <si>
    <t>これは年支（社会）から生じられて座下に漏らすという流れなので、日干としてはとても楽な形です。来たものを流すので「受け身の人生」となります。自分から能動的に動くのではなくて、時を待って、熟したときに前に出ます。基本的には待ちの人生ですが、主体性と自分が動ける場も与えられています。</t>
  </si>
  <si>
    <t>石門星鳳閣星</t>
  </si>
  <si>
    <t>石門星→鳳閣星　陰陽和合しながら、石門星→鳳閣星と流れるので、理想的な組み合わせと言えます。常識豊かな人となり、集団でも見事な協調性を発揮します。個人にこだわらず、全体をみてものごとを判断できる思考法や行動力を持っています。鳳閣星のほうが強調されるので、全体を大きく捉えるタイプとなり、繊細な神経を使うようなことは苦手です。細かい神経を使い続けると、病気になる（精神ではなく肉体）こともあるほどです。石門星が加わるので、鳳閣星のマイペースさは弱まり、人生の速度は速くなるでしょう。趣味などの世界では鳳閣星は活かされますが、行動自体は敏速になり、集団でも活躍できます。</t>
  </si>
  <si>
    <t>申</t>
  </si>
  <si>
    <t>牽牛星</t>
  </si>
  <si>
    <t>ＢＢ</t>
  </si>
  <si>
    <t>日干が日支も年支も生じる形です。自分の能力を東西に出すという意味になり、俗に「天下取りの型」と呼ばれるものです。「能出型」とも呼ばれ、能力を発揮しやすい形です。ただ、一方通行なので、ばくち的な要素があります。ここ一番、のるかそるかという人生になりやすく、賭け的な行動（能力の表出）が成功すれば、天下を取る（西も東も制する）ような力をだす（比喩として）という極端な形です。</t>
  </si>
  <si>
    <t>石門星司禄星</t>
  </si>
  <si>
    <t>石門星➷司禄星　主と主の剋なので葛藤がある連結です。自分の理想と現実が一致しない苛立ちも生じるでしょう。司禄星の持っている前向きな努力構造の可能性が石門星の個人主義的傾向によって狭められて行きます。生活は質素になり、毎日を積み重ねるようになり、自分の足元だけを守るような、小さな世界の動きになる可能性もあります。ただ、司禄星の家庭を大事にする気持ちは残されていて、周囲に理解されなくても黙々とその役割を果たすことは出来ます。仕事面ではあわてず急がず時間をかけてことを成すような傾向になるので、晩成型になります。</t>
  </si>
  <si>
    <t>母甲</t>
  </si>
  <si>
    <t>酉</t>
  </si>
  <si>
    <t>車騎星</t>
  </si>
  <si>
    <t>ＢＣ</t>
  </si>
  <si>
    <t>日干が日支を生じて、年支を剋します。一見、力強い前進力のように思われますが、これは「わがまま型」と呼ばれています。自分の思いを通すために、人を使うようなことが無意識に行われます。「周りに甘えろ」というのが処世の意味ですから、周りは大変ですが、本人からすると、追い詰められたら、自分の周りにいる人はだれでも利用することが突破口となります。</t>
  </si>
  <si>
    <t>石門星禄存星</t>
  </si>
  <si>
    <t>石門星➷禄存星の関係ですが、主と客の和合性があって、両方の良さがうまくブレンドされて発揮されます。もともと剋構造の禄存星が剋されるので、たくましい行動力が出て、経済の面でも力量を発揮するようになります。休むことなく同じスピードで生涯を走り続けるようなパワーが発揮されます。石門星がブレンドされるので、集団で 和を作る役割を果たします。商人や実業家の世界で相当の実力発揮でき、他人の資産を運用して自分の利にすることもできます（鳳閣星構造があれば倍化します）。自分を中心に人と人をつなぐという天性の才覚も持ち合わせています。</t>
  </si>
  <si>
    <t>母乙</t>
  </si>
  <si>
    <t>戌</t>
  </si>
  <si>
    <t>ＢＤ</t>
  </si>
  <si>
    <t>年支から剋される形は、陽占では鍛えられる、従うという意味になりますが、このパターンでは、はじかれる、外に出されるという意味が加わります。孤立型となりますが、イコール孤独とか寂しい人生ということではありません。窮地に追い込まれた時や、人に囲まれて迷いが生じた時に「孤立状態を保て」という処世教訓として使います。</t>
  </si>
  <si>
    <t>石門星牽牛星</t>
  </si>
  <si>
    <t>石門星➹牽牛星　石門星が牽牛星に剋される連結です。石門星の自我や自意識が牽牛星の自己形成作用に剋されて、一歩退く形になります。良く言えば理知的で冷静、悪くすると、事なかれ主義で長いものにはまかれろ的な弱さにもなります。また、主同士の剋の連結は時に、お互いの本性を変化させることもあります。牽牛星の目的に向かってがんばろうとする意志力は石門星の仲間意識によって抑制されて、自分の目的や名誉心、プライドを押さえて、周りに迎合するようになります。本音とは違ったところを生きるようになるので、どこかに忸怩たる思いは残るでしょう。それが社交性として評価されることもありますが、自分の良さを半減させてしまうリスクのある連結です。</t>
  </si>
  <si>
    <t>亥</t>
  </si>
  <si>
    <t>656666888988</t>
  </si>
  <si>
    <t>ＢＥ</t>
  </si>
  <si>
    <t>日干と東方が比和ということは年支も日支を生じる形になります。矛盾のない形として、これは「正道」と呼ばれています。正道、常道がどんな時にでも有効な生き方になります。あれこれ画策をせずに、正直に誠実に生きるときに、運勢も味方してくれることになります。</t>
  </si>
  <si>
    <t>石門星車騎星</t>
  </si>
  <si>
    <t>石門星➹車騎星　主客の和合性のある剋関係はお互いの良さを出すケースと、マイナス面が強まるケースがありますが、これは良さが出る和合の連結です。集団に関わる石門星に旺盛な闘争心がある車騎星がミックスされるので、集団をまとめる力が強まります。前進力も大きくなって、仕事や社会活動に力を注げます。性格面でも豪放なスケールが加わり、リーダーシップの発揮にもなります。時にはワンマンになることもあり、大義の前では個人の感情を無視するような横暴さも潜在します。時には、家庭を犠牲にしてでも仕事、役目をまっとうすることに全力を注ぐこともあるでしょう。個人主義的な石門星を車騎星が剋すことによって、スケールのある人間性へと変化できる余地が拡大します。</t>
  </si>
  <si>
    <t>母丙</t>
  </si>
  <si>
    <t>ＣＡ</t>
  </si>
  <si>
    <t>年支（社会）からは生じられていますが、座下を剋します。これは「内側での人間形成」と呼ばれる形です。具体的な現れ方としては、内と外がシーソー関係になります。家庭に問題があると仕事運が上がり、逆に仕事が落ちてくると家庭は安泰となります。家庭と仕事がほどよくは両立しない形です。</t>
  </si>
  <si>
    <t>石門星玉堂星</t>
  </si>
  <si>
    <t>石門星←玉堂星　となり、主同士の組み合わせですが、個人の利に走りそうな石門星に、程よい理性が加えられて平和で穏やかな生活が展開します。精神的にバランスがとれて、落ち着いた人生を歩める人となります。集団を自分のほうへ引き入れる石門星の本性に、玉堂星の論理性が加わるので、議論や理によって自分の意思を集団へ反映させるようになります。理屈や筋は通して行きますが感情的な自己主張はしないので、集団にもうまくなじめるでしょ。この連結は平和な状態、穏やかな環境でもっとも力を発揮するもので、動きの激しい環境や激動の時期には良さは半減します。</t>
  </si>
  <si>
    <t>母丁</t>
  </si>
  <si>
    <t>ＣＢ</t>
  </si>
  <si>
    <t xml:space="preserve">月支が身弱の場合・・これは「混迷の中で救われる」という意味を持ちます。なかなかまとまりのある形を作りにくいパターンです。職業変化や生活環境の変化が起こりやすく、混迷している感じになります。ただ、人に好かれやすい性質を持つようになり、窮地においても助けられることが多くなります。追い込まれたら、だれでもいいから人にすがれば、周りが助けてくれます。
月支が身強の場合・・運勢の波も人間性も大きくなります。人生のスケールが大きくなって、プラス面もマイナス面も大きいという、激しいものになります。「天国か地獄か」というパターンです。最上を極めたかと思えば、最下へと急降下することもあれば、地獄から天国へと舞い上がることもあります。
</t>
  </si>
  <si>
    <t>石門星龍高星</t>
  </si>
  <si>
    <t>石門星←龍高星　本来は受け側の性情が強まるのですが、この連結は例外で、生じる側の龍高星の構造が前面に出ます。主体的な自我にアウトサイダー的な知力がプラスされるので、組織の中でも才能を発揮できる異質な存在になりえます。一芸を持っていると、理論的、技術的、芸術的な方面でも活躍できるでしょう。ただ、現実をたくましく生きるというリアリティーが薄くなるのが特徴で、金銭感覚が薄れ、現実感覚が弱まります。それでも実社会を生きていくので、無自覚ゆえの金銭トラブルなどが多くなります。そんなときでも自己弁護はしません。動乱の英雄になれる素質ながら反逆児になることもある、少々波乱含みの組み合わせです。</t>
  </si>
  <si>
    <t>丙戊</t>
  </si>
  <si>
    <t>ＣＣ</t>
  </si>
  <si>
    <t>座下も年支も同じ方向で剋しています。これは「孤立する型」で和合性が薄くなります。自分だけで人生を形成していくようになります。必然的に単独行動が多くなります。やや、変人、奇人傾向があります。この形は大勢の人に囲まれると救いがなくなります。人から離れ、自分だけになったほうが救いが見えてきます。追い込まれたら孤立することが現状突破につながります。</t>
  </si>
  <si>
    <t>貫索星貫索星</t>
  </si>
  <si>
    <t>貫索星＝貫索星　貫索星の性質が倍化される組み合わせです。世界と自分との間の距離が拡大します。積極的に周囲と関ることが難しくなり、集団にいるとストレスが大きくなります。自分の内側にエネルギーがたまり、それを守るような生き方になります。人生を粘り強く積み上げて行く人です。用心深くなり、集団には組しないので利己主義に見られますが、中身は情もあり堅物ではありません。自己主張はしないほうですが、攻められたり、強要されると頑固さがでます。自分の目的や思い込んだことを貫こうとする意志力は相当なものがあります。自分なりの目的がないとうまく生きて行けないともいえます（目的意識が強い）。</t>
  </si>
  <si>
    <t>母戊</t>
  </si>
  <si>
    <t>丁己</t>
  </si>
  <si>
    <t>ＣＤ</t>
  </si>
  <si>
    <t>年支から剋されて、日支を剋すので、剋というひとつの流れができます。これは剋であっても「ストレートな人生」になります。方向に矛盾がなく、剋でも順調な流れを持ちます。ストレートとは、勢いよくではなくて、現象としてはむしろ平凡になります。ある一定線上を急激に上がることもないし下がることもありません。窮地に追い込まれることが少ない形です。</t>
  </si>
  <si>
    <t>貫索星調舒星</t>
  </si>
  <si>
    <t>貫索星→調舒星　陰陽で和合しながら流れていくので、それぞれのもっている特徴がひとつになりやすい形です。どちらも自我と自意識は強く、自主独立の気運は高まります。貫索星の距離感によって、調舒星の感情流出は制御されて、ますます周りとの距離は拡大して集団には簡単に迎合できません。集団でいると気疲れします。まわりへの不平不満が多くなり、内側では反発心が強まり、時には実際に反発を表して、単独の道を選択することもあります。人にあれこれ干渉されることが嫌いで、自分も他人にはよけいな口出しをしません。自分のエリアを囲うような生き方になります。自由な世界で活躍するほうが自分の才能を活かすことができます。一人でいることは苦にならず、一つのことを極める研究者タイプです。</t>
  </si>
  <si>
    <t>母己</t>
  </si>
  <si>
    <t>庚壬</t>
  </si>
  <si>
    <t>ＣＥ</t>
  </si>
  <si>
    <t>日支を剋し、東方との比和は「自我による狭視」といって自分の足元を気にする生き方になります。生活範囲は狭くなり、世間で何が起こっていても振り回されることなく、自分の関心がある内輪の世界を大切にします。もうひとつの特徴として、なぜか異性を理解しがたいという弱点を持ちます。何かことがあった時には、同性のほうが役立ってくれます。</t>
  </si>
  <si>
    <t>貫索星鳳閣星</t>
  </si>
  <si>
    <t>貫索星→鳳閣星　客と客なので、ミックスするというよりも、鳳閣星が表にでて、貫索星は裏に回るような形です。表面は温厚ながら裏には頑固さがあります。冷静な観察力と表現力、世界との程よい距離感を頑固な守備力が支える形です。客＋客によって、周りとの距離感は拡大します。外からは何を考えているのかわかりません。それでも明るさと適度な社交性は発揮されますが、マイペースはより堅固になります。流行や周りに影響されないで、自分が納得したことを自信を持ってやっていくタイプです。時代の流れに乗るのは下手。気持ちの中で充実感を大切にするので、無欲になり、それが人望につながります。</t>
  </si>
  <si>
    <t>辛癸</t>
  </si>
  <si>
    <t>ＤＡ</t>
  </si>
  <si>
    <t>年支（社会）からは生じられていますが、座下からは剋されるという矛盾型です。矛盾は内（家庭）と外（社会）のアンバランスという形で現れます。だいたい思い通りの人生は作れずに、本人は苦悩も孤独感も強まります。ただ、この型は「破調の美」と呼ばれていて、矛盾が多く思い通りに行かないことがあっても、運が悪いわけではなく、その中から美なるものが生まれる可能性があります。</t>
  </si>
  <si>
    <t>貫索星司禄星</t>
  </si>
  <si>
    <t>貫索星➷司禄星　主客の和合性のある剋関係なので、それぞれの良い面がブレンドされます。貫索星の守りの本能や忍耐力と司禄星の堅実な積み重ねは一致しやすく、身近な環境を根底に置いて、自分の力の範囲内で生活していくライフスタイルを作ります。無理なく、実直にという気風で、裏表のない正直な人間性が作られます。淡々と日々を積み重ねて、いつしか大きな成果を上げます。貫索星が加わるので、意志は強く、急がずあせらず、地味なマラソン人生です。司禄星の個人的欲求を貫索星の距離感が剋すので、理性的な冷静さも生じます。派手さはなく、短期でコトをなす性急さもないので、ある種の平凡さに支えられた生き方になります。</t>
  </si>
  <si>
    <t>母庚</t>
  </si>
  <si>
    <t>壬甲</t>
  </si>
  <si>
    <t>ＤＢ</t>
  </si>
  <si>
    <t>剋された日干が年支に流れる形です。これは「人生の賭けに強い」形です。賭けといってもギャンブル運があるというわけではなく、人生の賭けです。一か八か、のるかそるか、やってみようという形で成功しやすいという意味です。特に、窮地に追い込まれた時には、博徒的な賭けに出ることで思わぬ光明を得られることがあります。反対に、用心深く計画を立てたことは案外裏目に出やすいのです。</t>
  </si>
  <si>
    <t>貫索星禄存星</t>
  </si>
  <si>
    <t>貫索星➷禄存星　客同士の剋の場合は、ぶつかる要素があるので、お互いの特色が半減したり、それぞれの気質が分断されて表れたり、まとまりのない表出になることがあります。このケースでは、やや分断傾向が出ます。客と客は距離感と覚えてください。禄存星に距離のある自我が入り込むので、単純なサービス精神や奉仕性は薄くなります。距離があく分、対象に対する理解力や観察力は増します。距離を保ちながら、さまざまな環境に適応できる能力を身に付けます。禄存星の情的な部分は分断されて、出たり出なかったり。自我は状況判断（無意識の計算）によって、出したり出さなかったりという、腹芸のようなものになります。無意識の演技力となり、相手の心を読みながら気持ちを表現して行きます。交渉上手。自分とはタイプの違う人でも仲良く出来る特性を身に付けます。自己主張と好かれたい気持ちがが交互に出たり、小刻みに現れることが特徴です。</t>
  </si>
  <si>
    <t>母辛</t>
  </si>
  <si>
    <t>地支</t>
  </si>
  <si>
    <t>癸乙</t>
  </si>
  <si>
    <t>ＤＣ</t>
  </si>
  <si>
    <t>剋された日干が年支を剋します。ひとつの流れができるので、これは矛盾のない自然な形になります。この形は「働き者」と呼ばれます。壁を破るにも働くしかないという意味なので、楽な勤勉さというわけではありません。人からの助けも少なく、自努力で乗り切りなさいという形です。ただ、自然な流れには違いないので、あまり窮地に追い込まれることもありません。</t>
  </si>
  <si>
    <t>貫索星牽牛星</t>
  </si>
  <si>
    <t>貫索星➹牽牛星　自我は守りで闘争は攻撃力、相反する気質ですが、主客の和合性があるために、ほどよい力加減になります。牽牛星の目的完遂への意欲に貫索星の安定した持続力が加わり、目標をもつとそれを成し遂げるために、長時間に渡って努力できるようになります。目的に対するする執念が強過ぎるため、時には打算的な人間に見えたりもします。スイッチが入ると、とらわれる貫索星の性質は残るので、目先のことに振り回されたり、手段を考えないでコトを起こすこともあります。企画力や創造力という分野では力を発揮できません。目的達成にばかりに目が行くので、計画性には欠けますが、経験を積むほどに人間性は奥深く豊になる可能性のある組み合わせです。</t>
  </si>
  <si>
    <t>戊庚</t>
  </si>
  <si>
    <t>657667889988</t>
  </si>
  <si>
    <t>ＤＤ</t>
  </si>
  <si>
    <t>日支と年支両方から剋されます。打たれる日干は「悲劇の主人公」になります。かわいそうな形というよりは、自己愛（ナルシスト）傾向です。結果的に自分を一番かわいがるようになるので、窮地に追い込まれたら、一目散に逃げ出します。無理に進むと悲劇になるので、逃げることが活路になります。</t>
  </si>
  <si>
    <t>貫索星車騎星</t>
  </si>
  <si>
    <t>貫索星➹車騎星　守りの自我が攻撃力によって強く剋される構造です。和合性はなく、自我のもっている自己保身が砕かれるので、人間的には正直で真直ぐさが表にはでます。しかし、分断されても自我は残るので、内的葛藤は激しくなります。感情を統御しきれずに、短気になったり、大胆な行動もとりますが、小心に自分を守ることもあり、分断により、両極端の傾向がでます。また、自己には忠実になるので演技ができないため、集団では争う人になる可能性もあります。単独行動向きの性格です。行動力もあり、部分的には出処進退も心得る人になりますが、上に立つには、入力構造が必要で、理性的傾向が強まるほど、スケールを増しリーダーシップも出てきます。</t>
  </si>
  <si>
    <t>母壬</t>
  </si>
  <si>
    <t>己辛</t>
  </si>
  <si>
    <t>656566788887</t>
  </si>
  <si>
    <t>ＤＥ</t>
  </si>
  <si>
    <t>年支とイコールの日干が日支から剋されます。この形は「まとめ下手」になります。東のイコールは前進は○、西の結果が×の傾向です。物事は比較的スムーズに着手できるのですが、やったことをイメージ通りに集結させることが苦手になります。美なる結果が得られない宿業です。この形の人が追い込まれた時には、自分でまとめないことです。誰かにまとめ役をお願いします。進むことはできるので、人にまとめてもらう、それが役割ともいえます。</t>
  </si>
  <si>
    <t>貫索星玉堂星</t>
  </si>
  <si>
    <t>貫索星←玉堂星　主客なので、無理のない和合の形です。単独行動向きの貫索星に理性的コントロールを与える連結です。貫索星の頑固さは和らぎ、どんな環境にも自分を合わせることができます。自分が先頭を切ることは少なく、常に周りとの協調を意識して行動します。また、玉堂星によってインプットされた情報に、貫索星の持つリアリティーが加味されるので、机上の空論ではなく、現実味のある知恵として活用することが出来ます。遠い将来より明日のことを考えて行動する堅実さが加わります。ただ、自我が若いうちは、理屈で自分を守るという意識も出てくるので、弁解上手になったり、自己を正当化するために智恵を使うこともあります。</t>
  </si>
  <si>
    <t>母癸</t>
  </si>
  <si>
    <t>甲丙</t>
  </si>
  <si>
    <t>ＥＡ</t>
  </si>
  <si>
    <t>日干と日支がイコールの干支は強くて安定感がある干支なのですが、そこに東から生じられる気が流れると「現実に弱い」面が現れます。労働やお金儲けや名を成すなど、現実を舞台に行われることがうまくいきません。その代わりに精神世界には強くなります。世渡りは不器用でも、精神面では強く激しいものがある、というタイプです。この形の人が追い込まれた時には、精神に逃げることが救いになります。</t>
  </si>
  <si>
    <t>貫索星龍高星</t>
  </si>
  <si>
    <t>貫索星←龍高星　和合性をもたないために、表に出る貫索星はより強まり、裏側に龍高星が隠れます。客＋客の距離感は強まり、人見知りをするようになり、簡単に人と和合することは難しいでしょう。人間関係に限らず、どんなことにも時間が必要になります。龍高星も貫索星も感情的な流出を嫌うので、内に秘める思いは強まります。秘密を守れる信頼感は本性として持っています。どちらも忍耐力がある構造なので、派手さはありません。質素な生活を好み、我慢強い人となります。悟りに近い忍耐力です。ただ、ふたつとも激しさを内包しているので、それが表に出るときはすべてを無にして、行動に出て行くような姿になります。貧しい時代、混迷の時こそ活躍できる連結です。</t>
  </si>
  <si>
    <t>乙丁</t>
  </si>
  <si>
    <t>ＥＢ</t>
  </si>
  <si>
    <t>日支と同じ日干が年支へと流れます。これは「世の中の仲介者」という役割になります。一種のパイプ役で、自分の周りにはいつも人がいることになります。中間者になることによって運をつかむ形です。サラリーマンなら中間管理職的な役割になります。上だけとか、下だけとか、周囲に人がいない環境など、偏った立場に立たされた時には問題が多くなります。その時には、自分が中間に位置できるような環境に身を置くようにすることが処世術になります。</t>
  </si>
  <si>
    <t>調舒星調舒星</t>
  </si>
  <si>
    <t>調舒星＝調舒星　客客ほどの分離はありませんが、和合はしません。調舒星のもつ感受性の鋭さ、繊細さ、表現力などは倍化します。主＋主は自然さがあるので、表向きは穏やかにみえます。また、この組み合わせでは行動力は期待できません。大事なことは自分の気持ちが向かえる世界を持つことで、現実への執着は薄くなります。過敏な神経を持ちながら、現実執着が薄いゆえに、どんな現実にも合わせることは可能です（喜びはない）。世の中の常識や習慣通りに生きて行くこともできるし、それを無視してまったく違った自分だけの精神世界を生きることも可能です。サラリーマンなら前者、気持ちの充足感や能力発揮は後者の世界です。常識や見えている現実の背景にある本質を感知する能力に長けているため、哲学、芸術や宗教といった世界で才覚を発揮します。</t>
  </si>
  <si>
    <t>丙甲</t>
  </si>
  <si>
    <t>656667889988</t>
  </si>
  <si>
    <t>ＥＣ</t>
  </si>
  <si>
    <t>日支と比和の日干が年支を剋します。スケールが大きくなる形ですが、「平和時の長」と呼ばれるものなので、平和な時だけ、そのスケールの大きさを発揮できます。波乱動乱にはもろさが出ます。その時には逃げに転じるのですが、無責任に逃げるのではなく、動乱時には補佐役に回り、問題が落ち着いてきたら一躍トップに躍り出るようにします。環境によって自分の立場や役割を変えていくことが救いになります。</t>
  </si>
  <si>
    <t>調舒星鳳閣星</t>
  </si>
  <si>
    <t>調舒星＝鳳閣星　イコールの連結で主客の違いがある場合は、原則としては客構造のほうが表に出ます。表向きは鳳閣星ひとつと同じように見えます。自然な距離感と穏やかさでマイペースな進み方をします。調舒星は裏側に回って、思考力や人生観という面で影響を与えます。表裏の関係です。内側では繊細な神経を持ちながらも、おおらかさとやさしさが表面にはでます。周囲との和合性や協調性が出てきて、集団でもうまくやっていけますが、深入りはしないで、自分のスタンスは崩しません。考え方や人生観は内向的なものになって、人の入り込めない内側の精神的な自分の世界を大切にします。ただ、表現する欲求は強いので、孤立は嫌います。そのため、石門星的社交性を身に付けることが特徴となります。</t>
  </si>
  <si>
    <t>父甲</t>
  </si>
  <si>
    <t>丁乙</t>
  </si>
  <si>
    <t>ＥＤ</t>
  </si>
  <si>
    <t>日支と比和の日干が年支に打たれる形です。「動乱時の長」となります。世の中が平和で穏やかな時には補佐役に回り、乱れが生じて、争いなどが起こる時には、自分が表に出て活躍します。周囲の状況によって自分のあり方が変化することがポイントです。いつも長を目指すと自分が波乱要因になります。環境によって自分を変身させることが救いの方法です。</t>
  </si>
  <si>
    <t>調舒星司禄星</t>
  </si>
  <si>
    <t>調舒星→司禄星　司禄星の傾向が表にはでますが、和合性がないので、調舒星も消えることなく現れます。この組み合わせは司禄星のもつ現実味が増します。主観には個人的欲望が含まれやすいためです。実社会のエネルギーになるので、仕事や社会活動にファイトを燃やします。貯蓄の才、商才（個人的商い）があります。あまり大きな経済観念ではないので、どちらかというと小規模、家庭経済向きです。実社会では、調舒星は相手や環境に過敏に反応する探知機のような役割をします。競争相手があったり、難しい環境にあるほど、気持ちは前に向かって行きます。一種の負けん気のような感情が司禄星を支えるので、競争相手が強ければ強いほど頑張りが利きますが、穏やかな環境ではそれなりの力しか出せません。環境によって力の強弱が決まってしまうというむずかしさがあります。</t>
  </si>
  <si>
    <t>父乙</t>
  </si>
  <si>
    <t>庚戊</t>
  </si>
  <si>
    <t>646566888987</t>
  </si>
  <si>
    <t>ＥＥ</t>
  </si>
  <si>
    <t>日支、年支ともにイコールの形です。この形になると、自分が動いて運をつかむことが難しくなります。「他力運」という型になって、受け身の生き方でもっとも良さがでます。自分が積極的に動けば動くほどチャンスを取り逃がすことになります。困ったときには人が何かを持ってきてくれるまで待つことが救いにつながります。</t>
  </si>
  <si>
    <t>調舒星禄存星</t>
  </si>
  <si>
    <t>調舒星→禄存星　主客の和合がある流れ込みなので、禄存星の構造が調舒星を加えて大きくなります。禄存星の持つ客観性は主（個人的感情）が加わることで弱まり、実利的な思考になって、社会において実践的な力を発揮するようになります。禄存星の性質の中で経済がクローズアップされるともいえます。有限の形ある世界で大いに力を発揮します。調舒星は実社会に役立つようなユニークな発想を生み出して、禄存星の足りない部分を補って行きます。また、禄存星の持つ大衆性に調舒星の持つ情的気質が加わり、人間関係も上手になり、会社などでの組織造りにも力を出せます。調舒星の精神性や芸術性は薄れますが、舞台は経済界であったほうがこの構造を活かしやすいでしょう。</t>
  </si>
  <si>
    <t>父×</t>
  </si>
  <si>
    <t>×</t>
  </si>
  <si>
    <t>辛己</t>
  </si>
  <si>
    <t>調舒星牽牛星</t>
  </si>
  <si>
    <t>調舒星➷牽牛星　主と主の和合のない剋関係ですから、牽牛星の中身が分断されて表出します。牽牛星の自己形成作用や自尊心は内側に隠れて、闘争的な部分や調舒星の個人的感情が加わったものが表にでます。内面は品性と気品があって、それなりのプライドもありますが、表面には神経質でラフな感じが出るので、誤解されやすいでしょう。経済感覚はあまりなく、油断するとつい無駄使いをしてしまうこともこの連結の特徴です。主同士の連結では新しい時代を作るというようなスケールはでませんが、表現と闘争心の連結では、自分なりの新しい世界を作る力と才覚は発揮できます。</t>
  </si>
  <si>
    <t>父丙</t>
  </si>
  <si>
    <t>壬庚</t>
  </si>
  <si>
    <t>甲亥</t>
  </si>
  <si>
    <t>Ａ</t>
  </si>
  <si>
    <t>調舒星車騎星</t>
  </si>
  <si>
    <t>調舒星➷車騎星　主客の和合性はありますが、性質そのものが激しさを持っている同士なので和合のために火花が散るような意味が出てきます。個人的感情の流出と個人的感情を否定する犠牲的行動力とが和合しようとするため、試行錯誤が続きます。感情が闘争を抑えようとするのですが、闘争の力が強く、感情の統御が難しくなります。いつも何かに向かって攻撃精神を発揮していないとエネルギーの消化ができ難いのです。一見、無駄な行動をしているようにも見えます。精神的には純粋で、打算や欲望の入り込む余地はありません。直情径行になるので、周囲との協調性は難しく、常識的世界では理解されないことのほうが多いでしょう。内面の葛藤から新しいエネルギーが生じて、スポーツや芸術、福祉などの分野では異質な能力になる可能性があります。</t>
  </si>
  <si>
    <t>父丁</t>
  </si>
  <si>
    <t>癸辛</t>
  </si>
  <si>
    <t>甲子</t>
  </si>
  <si>
    <t>調舒星玉堂星</t>
  </si>
  <si>
    <t>調舒星➹玉堂星　知性が感情を制する形ですが、主と主の非和合性があるために、表向きでは知的性情がでるのですが、内面では個人的な非知的感情が勝っていて、程よい理性として現実を作ることは難しくなります。博学の世間知らずという形で、頭の中ではいろいろとわかっていても、気持ちを通しての行動につながりません。玉堂星に剋されることを嫌う調舒星の無意識な反発が出ます。不平不満が多くなり、ついつい愚痴がでます。行動力のともなわない中途半端さがあるので、若くして老成しやすく、社会生活（特に都会生活）には苦労がともなうでしょう。精神世界向きの連結です。気持ちの中で葛藤が多くなり、何事にも十分な満足を得にくく、不満が爆発してしまうこともあります。現実味の強い実社会には向かない連結で、学芸や趣味の世界でなら斬新な個性を発揮することができます。</t>
  </si>
  <si>
    <t>戊丙</t>
  </si>
  <si>
    <t>甲丑</t>
  </si>
  <si>
    <t>Ｃ</t>
  </si>
  <si>
    <t>調舒星龍高星</t>
  </si>
  <si>
    <t>調舒星➹龍高星　主客の和合性があるので、それほどの葛藤にはなりませんが、感受性が強い調舒星にとって、龍高星からの制御は反発心が生じ、内的葛藤は大きくなります。しかし、調舒星の個人的限界を龍高星の知性が打ち破ってくれることは能力発揮には大きなものがあり、感性発揮への向上心は非常に高まってゆきます。ある種、完全主義的なものを目指す気持ちになるので、不平不満は強まりますが、愚痴ではなく、より上を目指す行動力へと高まってゆきます。海外へ視野が広がるようなこともこの連結では起ります。相反する葛藤が向上へのエネルギーになるので、平和な日常生活では苦痛を感じることもあり良さが出ません。この連結に見合った独自の世界の構築が前提になります。</t>
  </si>
  <si>
    <t>父戊</t>
  </si>
  <si>
    <t>己丁</t>
  </si>
  <si>
    <t>甲寅</t>
  </si>
  <si>
    <t>Ｅ</t>
  </si>
  <si>
    <t>鳳閣星鳳閣星</t>
  </si>
  <si>
    <t>鳳閣星＝鳳閣星　客と客の組み合わせで同じ質のばあい、その質が倍加するケースと陽極まって陰転するケースとふたつに分かれます。この組み合わせは陰化するケースです。陰は調舒星ですから、大らかさと距離感が特徴だった鳳閣星が一転して、個人的感情の流出と繊細な感受性を持つことになります。といって、鳳閣星が消えるわけではなく、対象との距離感はあって、人生の速度も速くはなりません。付和雷同はなく、重量感のある人生観を持つようになります（軽い生き方ができなくなる）。無欲で淡々と肩を張らないで、しかし粘り強く長距離人生を歩むように生きるタイプです。表には調舒星の繊細で神経質な面が出やすくなりますが、センスの良さや表現力は十分に発揮できます。</t>
  </si>
  <si>
    <t>父己</t>
  </si>
  <si>
    <t>甲壬</t>
  </si>
  <si>
    <t>甲卯</t>
  </si>
  <si>
    <t>鳳閣星司禄星</t>
  </si>
  <si>
    <t>鳳閣星→司禄星　主客の和合で司禄星の世界に鳳閣星が吸収される形です。鳳閣星の客観性は薄らいで、司禄星の個人的な世界が展開します。自分の内側の世界を大事にするような行き方です。現実的で目の前の現象にだけに力を注ぐようになります。家庭、家族を大切にする司禄星の性質は拡大して、時には家族の犠牲になるようなこともあります。鳳閣星の距離感が司禄星の閉鎖性に加味されて、他人に対しては一線を引き、家族からは逃げられないが他人から身を引くのはうまいという傾向を持ちます。個人主義の世界になりますが、忍耐力と粘り強さはかなりなものがあります。</t>
  </si>
  <si>
    <t>乙癸</t>
  </si>
  <si>
    <t>656566788877</t>
  </si>
  <si>
    <t>甲辰</t>
  </si>
  <si>
    <t>鳳閣星禄存星</t>
  </si>
  <si>
    <t>鳳閣星→禄存星　禄存星の世界に鳳閣星が流れ込みますが、和合性は薄く、禄存星が表にでて、裏側を鳳閣星が支える形です。客観性が増すので、自分の欲求は影を見せず、相手本位の愛情奉仕とサービス精神の発揮となります。私心のないお人好しで、禄存星の人を引き付ける魅力はますます増大します。また、裏側にある鳳閣星の観察力、冷静さは説得上手となり、争い事をまとめて平和解決をするするなど、人と人との間に入ってまとめあげる力を発揮します。一種の政治力のような形になって、人間関係に強い連結です。お人好しとはいえ、客観性が強いため、情的な深入りにはなりません。</t>
  </si>
  <si>
    <t>父庚</t>
  </si>
  <si>
    <t>丙丁</t>
  </si>
  <si>
    <t>646566788987</t>
  </si>
  <si>
    <t>甲巳</t>
  </si>
  <si>
    <t>Ｂ</t>
  </si>
  <si>
    <t>鳳閣星牽牛星</t>
  </si>
  <si>
    <t>鳳閣星➷牽牛星　主客和合での剋関係で、牽牛星の自己形成に客観的な判断力が加わり、信頼感のある誠実な人間性が表出します。ただ、剋される牽牛星のほうはある程度分断されることになります。自己形成が分断という意味で、気分は少々むらっけが出てきます。鳳閣星のバランス感覚が分断するので、統一感がなくなり、周りが柔なら自分は剛質となり、周りが剛なら柔というように、周りとは逆の質を出してバランスをとるという器用な精神構造を作ります。自己主張が出ない連結ともいえます。全体をきちんと掌握して、環境に応じて自分のスタンスを作るのですが、日和見的なずるさにはならないので、集団の安定には必要な人材となります。</t>
  </si>
  <si>
    <t>父辛</t>
  </si>
  <si>
    <t>丁丙</t>
  </si>
  <si>
    <t>甲午</t>
  </si>
  <si>
    <t>鳳閣星車騎星</t>
  </si>
  <si>
    <t>鳳閣星➷車騎星　客客で激しいぶつかり合いになる形ですが、激しさを含む車騎星が、冷静な鳳閣星に剋されるので、このケースでは程よいバランスで納まり形になります。客客の連結はどの連結でも我欲は薄くなるので、そこに鳳閣星の距離感とバランス感覚が加わるので、品性のようなものが表出します。車騎星の闘争心が削られて、自己犠牲的な純粋さが連結することも魅力を増す要因です。そのため、幅広い人間関係を持つことができる。客がつく構造は他人に対して役立つ行為になるもので、自分の身内や仲間内に対しては、それほどの力を発揮しません。外柔内剛型になります。また、鳳閣星にはモノや財を引きつける引力がありますが、この連結は蓄財力ではないのですが、人生上の目的達成に必要な財を手に入れる力が大きくなります。</t>
  </si>
  <si>
    <t>庚辛</t>
  </si>
  <si>
    <t>甲未</t>
  </si>
  <si>
    <t>鳳閣星玉堂星</t>
  </si>
  <si>
    <t>鳳閣星➹玉堂星　知性が感情を統御するような形で、和合性があるので激しいぶつかりあいにはなりません。本来主体的な思考の中に客観的距離感とバランス感覚が生じます。これは、自分とは関係ないことに関しては実に正しく理論的な判断ができる冷静さと知力になります。理論派となる組み合わせなだけに、誰もかなわないような論理的正統性を主張し続けることができます。ただ、普段は穏やかながら、自分の感情を痛められると、一転して激しく自己主張します。見かけ以上に不安定な精神状態を抱える人となるでしょう。また、形は知性と感性の結合で、精神世界向きの連結なのですが、クリエイティブな創造力には至らず、むしろ現実社会に活躍の場があります。</t>
  </si>
  <si>
    <t>父壬</t>
  </si>
  <si>
    <t>辛庚</t>
  </si>
  <si>
    <t>甲申</t>
  </si>
  <si>
    <t>Ｄ</t>
  </si>
  <si>
    <t>鳳閣星龍高星</t>
  </si>
  <si>
    <t>鳳閣星➹龍高星　客客の剋関係なので、和合はなく、激しい激突になる組み合わせです。和合することのない連結なのでどちらのエネルギーも混在したり削られることがなく、ぶつかることで拡大する方向に向かいます。内面の葛藤は相当激しくなり、神経がいつも緊張状態にあり、外側の出来事に過敏に反応します。通常の社会生活ではかなりのエネルギーを消耗します。反面、勉強したり、芸術に親しんだり、旅行をしたりという環境では落ち着くことができます（現実社会からの逃避的な意味もある）。そうした逃避の結果として、新しい発想や改革心が芽生えたり、芸術的創造がうまれたりするのです。新しい世界の夜明けを作る時にはこの連結が不可欠となります。</t>
  </si>
  <si>
    <t>父癸</t>
  </si>
  <si>
    <t>壬癸</t>
  </si>
  <si>
    <t>甲酉</t>
  </si>
  <si>
    <t>司禄星司禄星</t>
  </si>
  <si>
    <t>司禄星=司禄星　内実は司禄星の質が倍化されるような形になりますが、表向きは穏やかさが増して、禄存星のような性質が顔を見せます。集団でも協調性してやっていけます。今、現在を大事にするので現実性も強いです。司禄星の倍化は自分のエリアを守る保守性が強まって、心の奥を人には悟られないような用心深さになります。堅実さと忍耐力はかなりのものになり、地味で堅実な人生観を持つに至ります。目的に向かって辛抱強く努力できる連結です。根拠は定かではないのですが、この連結は、自分はともかく子供や孫には純粋な精神所有者が多くできる、といわれています。</t>
  </si>
  <si>
    <t>癸壬</t>
  </si>
  <si>
    <t>甲戌</t>
  </si>
  <si>
    <t>司禄星禄存星</t>
  </si>
  <si>
    <t>司禄星＝禄存星　和合性のある同列結合です。本来は客のほうが強く出るところですが、この連結は両方の性質がそのまま並列的に表面化します。裏側に隠れないので、正直で実直で、現実的になります。表に出すぎて、自制心が欠落するような意味もあって、目先のことにとらわれすぎる欠点にもなります。先見の明というものがなくなるので、やってみての後悔もつきものです。思い込むと止められない。また、この連結は仲介の能力が加わり、人と人との間で利を図る才覚も生まれます（石門星の傾向が出る）。何もないところから一家を成すようなエネルギーを発揮します。</t>
  </si>
  <si>
    <t>祖母甲</t>
  </si>
  <si>
    <t>戊己</t>
  </si>
  <si>
    <t>乙亥</t>
  </si>
  <si>
    <t>司禄星牽牛星</t>
  </si>
  <si>
    <t>司禄星→牽牛星　牽牛星のほうに比重がかかりますが、主が強調されるので、牽牛星のもっている大義に従う精神や自己形成への意欲は薄れます。司禄星、牽牛星の自己保身的な部分が連結して強まることになります。自分を含めて身近なものを守ろうとする姿勢は見事なものがあります。目の前のことを素直に信じ込めるので、あまり複雑な思考にはなりません。従順に集団の動きには従えます。現実的なタイプなので、創造したり計画したりはあまり得意ではないでしょう。行動するよりも論理的に考えるタイプとなり、評論家的であったり、自己弁護的であったりします。</t>
  </si>
  <si>
    <t>祖母乙</t>
  </si>
  <si>
    <t>己戊</t>
  </si>
  <si>
    <t>乙子</t>
  </si>
  <si>
    <t>司禄星車騎星</t>
  </si>
  <si>
    <t>司禄星→車騎星　和合しながらの自然な連結で、車騎星の自己犠牲的な行動力に司禄星の現実味のある努力姿勢がプラスされ、行動力のある世界が作り出されます。与えられた役割には全力で向かって行きます。目の前の出来事から目をそらすことなく、前進のみのエネルギーが発揮されるので、そのたくましさは相当なものがあります。前後左右の状況が視界から外れるので、猪突猛進型の失敗もあり、また、利用されやすいという弱点も持っています。</t>
  </si>
  <si>
    <t>祖母丙</t>
  </si>
  <si>
    <t>甲乙</t>
  </si>
  <si>
    <t>乙丑</t>
  </si>
  <si>
    <t>司禄星玉堂星</t>
  </si>
  <si>
    <t>司禄星➷玉堂星　主主の組み合わせで自分の足元に目が行く傾向が強まります。現実的になるので、玉堂星が持っている、古典的、伝統的、学問的な資質は剋されて半減します。芸術性などの夢見る部分も育ちません。そのぶん、現実における企画力や計画性の部分において、優秀な能力を発揮します。役に立ちそうもない学校の勉強よりも、実践的な知恵を身につけて行くでしょう。常に目の前の現実をよりよくするための思考に向かいます。この剋構造のとおり、現実が無用な理性を剋することになります。そのぶん、現実の知恵を生むための努力は怠らないし、すばらしいアイデアも表出します。</t>
  </si>
  <si>
    <t>祖母丁</t>
  </si>
  <si>
    <t>乙甲</t>
  </si>
  <si>
    <t>乙寅</t>
  </si>
  <si>
    <t>司禄星龍高星</t>
  </si>
  <si>
    <t>司禄星➷龍高星　主客和合によって、バランスよく双方の気質がミックスされます。龍高星のやや激しい改革心や冒険心は剋されて裏側に隠れます。どちらかというと、玉堂星のようなおとなしいインプットラインに変化します。剋す側の司禄星の傾向は表に出て、足元の範囲内で龍高星の思考を役立てる形です。社会生活では、あまり出過ぎたことはしないで、出処進退を心得るようになります。かなり用心深い資質に変化します。内側には冒険心や新しいことに対する意欲があっても、自分の枠の範囲で行動する。司禄星は結婚・家庭という連想がありますが、この連結も結婚して家庭をもつと、より内側志向が強まって行きます（未婚のうちは龍高星の激しい性情もある程度は発揮される）。</t>
  </si>
  <si>
    <t>祖母戊</t>
  </si>
  <si>
    <t>丙庚</t>
  </si>
  <si>
    <t>乙卯</t>
  </si>
  <si>
    <t>禄存星禄存星</t>
  </si>
  <si>
    <t>禄存星＝禄存星　客客の連結で取得の部分が倍加するように見えますが、この連結に限っては貫索星の傾向が加わります。取得に関して頑固さがでます。周りとの距離感は拡大してくるので、一見は協調しているように見えますが、心底では妥協的な馴れ合いにはなれません。単独行動の傾向は強まるでしょう。世渡りという意味では不器用さがでますが、人間的な真面目さが積み重なって信用になります。視野は広まって、禄存星の愛情奉仕の精神も理解力も広範囲で成されることになり、人を引きつける引力も増加します。思い込むと頑固さが強まって、やや身勝手なスタンドプレーになることがあります。</t>
  </si>
  <si>
    <t>祖母己</t>
  </si>
  <si>
    <t>丁辛</t>
  </si>
  <si>
    <t>乙辰</t>
  </si>
  <si>
    <t>禄存星牽牛星</t>
  </si>
  <si>
    <t>禄存星→牽牛星　主客の和合性が牽牛星の持つ品性を高めて、おだやかな気質になります。特別な教育を受けなくても、社会の中には常識を持って溶け込むことができます。自分からの思いきった行動力、決断力はそれほどなく、小組織でてきぱきと実力を出すタイプではありません。この連結は器なり、役割なりに拡大していくので、大組織にあるか、大きな役割を背負うかしたほうが、十分な能力発揮ができます。一見はまじめな実務家タイプになりますが、環境によっては大成する素質があります。いずれにしろ、力を出すのには時間がかかる晩成型です。禄存星はお金に縁がありますが、牽牛星へと流れるので、商人的才能の発揮には至りません。</t>
  </si>
  <si>
    <t>祖母庚</t>
  </si>
  <si>
    <t>庚甲</t>
  </si>
  <si>
    <t>乙巳</t>
  </si>
  <si>
    <t>禄存星車騎星</t>
  </si>
  <si>
    <t>禄存星→車騎星　和合性は薄く、車騎星の意味合いが表面に出てその裏側を禄存星の気質が支えることになります。客客の連合は車騎星の人のためにという部分を拡大させて、周りの人のためにがんばる闘争心は増大されます。闘争心の中にある短気さや粗暴さは、禄存星の愛情や理解力で緩和され、庶民性をもった持続力のあるエネルギーが発揮されます。ただ、車騎星の世界が前面に出るので、礼儀礼節にうるさい堅苦しいところや規制の厳しい環境には長くいられないでしょう。私心、私欲が入り込む余地のない連結なので、ひとつの組織ではなくてはならない人になりえます。ただし、未熟な場合は、欲得ではなく、闘争心としてギャンブルに入り込む可能性があります。</t>
  </si>
  <si>
    <t>祖母辛</t>
  </si>
  <si>
    <t>辛乙</t>
  </si>
  <si>
    <t>乙午</t>
  </si>
  <si>
    <t>禄存星玉堂星</t>
  </si>
  <si>
    <t>禄存星➷玉堂星　剋関係ですが和合性があって、激しい思考や行動はなく、穏やかな気質が生まれます。玉堂星の世界に入り込むので、愛情の範囲はやや狭まりますが、親兄弟を助け家庭を大切にして、子供にも深い愛情を注ぐことになります。学ぶことや芸術的なことに興味を持ち精神の向上をはかるようになります。行動力はあまりなく環境に追随する形です。環境の影響をそのまま受けてしまい、逃げることも下手。それでも、忍耐力があるので、苦しい時期も我慢で乗り切ります。協調性もあり、集団の中でもみんなとうまくやっていけます。若くして宗教的な気持ちを持ちやすいという特性があって、無形の世界へ入り込む素質を持っています。</t>
  </si>
  <si>
    <t>祖母壬</t>
  </si>
  <si>
    <t>壬丙</t>
  </si>
  <si>
    <t>乙未</t>
  </si>
  <si>
    <t>禄存星龍高星</t>
  </si>
  <si>
    <t>禄存星➷龍高星　客客は折り合うことなく表裏の共存を計ります。愛情奉仕の精神・理解力が改革的冒険心と共存します。一見お人よしに見えますが、情的な奉仕ではなく、無条件で手段を論じない人助けの精神に変化します。古来より外科医の質と呼ばれています。冷徹な理性に支えられた人助けの精神。理性と言っても熟慮型のものではなく、分断された龍高星の思い切りの良い改革的冒険心が背景にあります。それゆえ外科医に比喩されます。時には道理を無視した蛮勇になる危険性もはらんでいます。しかし、自らの戦いで衆生を救う力を持つ世界は見事なものがあります。</t>
  </si>
  <si>
    <t>祖母癸</t>
  </si>
  <si>
    <t>癸丁</t>
  </si>
  <si>
    <t>656556788877</t>
  </si>
  <si>
    <t>乙申</t>
  </si>
  <si>
    <t>牽牛星牽牛星</t>
  </si>
  <si>
    <t>牽牛星＝牽牛星　主主の組み合わせは個人主義的傾向が出てきます。大義を必要とする構造で個人的傾向が強まると、打たれる自分が方向性を見失うことがあります。この組み合わせに関しては、車騎星の闘争心＋龍高星の放浪性や改革心が合わさった形へと変化していきます。自分で自分を追い込むようなことになり、行き場を求めて彷徨うような展開です。また、闘争心は増すのでやや短気な質も出ます。無駄だとわかっていても突進してしまう衝動的な部分もあるでしょう。それでも、自己形成する本性は残っているので、本性と現実との相剋に苦しむようなこともあります。</t>
  </si>
  <si>
    <t>戊壬</t>
  </si>
  <si>
    <t>乙酉</t>
  </si>
  <si>
    <t>牽牛星車騎星</t>
  </si>
  <si>
    <t>牽牛星＝車騎星　通常この組み合わせは客が表に出て、主が影に隠れますが、この組み合わせだけは例外で客が隠れて牽牛星が表に出ます。自分を整えていくことが命題のひとつです。陰陽和合になるので、それほど激しさもでません。プライドを持って、自分で自分をコントロールできるので、忍耐力の強い人になります。集団行動も出来ますが、根っこの旺盛な闘争心は消えることなく、簡単に集団に組することはできません。単独で動いたほうが力は発揮できます。また、特色のひとつとして孤独に強い質となり、どのような状況下でも、精神状態は安定を保つことができます。</t>
  </si>
  <si>
    <t>祖父甲</t>
  </si>
  <si>
    <t>己癸</t>
  </si>
  <si>
    <t>乙戌</t>
  </si>
  <si>
    <t>牽牛星玉堂星</t>
  </si>
  <si>
    <t>牽牛星→玉堂星　本来ならどちらも体制に従うおとなしい質ですが、主主の和合性がなく、玉堂星は龍高星に近くなり、伝統を重んじながらも常に改革の気風を持つようになります。新しい世界を作り出そうとする冒険心もありますが、現実面では、牽牛星がブレーキになり用心深く行動は慎重になります。気持ちは龍高星的改革心を持ちながら、体制に従う牽牛星の気質もあって、現実的な場面で能力を発揮して大成することは難しく、計画や企画立案での才能発揮が活躍どころとなります。</t>
  </si>
  <si>
    <t>祖父乙</t>
  </si>
  <si>
    <t>甲戊</t>
  </si>
  <si>
    <t>656566888988</t>
  </si>
  <si>
    <t>丙寅</t>
  </si>
  <si>
    <t>牽牛星龍高星</t>
  </si>
  <si>
    <t>牽牛星→龍高星　構造だけ見ると和合しながら龍高星の質が前面に出そうですが、これは龍高星が玉堂星のようなおとなしい入力ラインに変化していきます。牽牛星→玉堂星が龍高星になったのとは反対に、龍高星が玉堂星のようになります。龍高星が持つ激しい改革心や放浪性は影を潜めて、芸術的なセンスが増し、何かを創造する才能が発揮されます。また、入力に変化していくので、古典や伝統的なものに対する興味や好奇心も強まります。龍高星は濁流のような性質がありますが、それに牽牛星がブレンドされて、清らかな流れに変化して行きます。</t>
  </si>
  <si>
    <t>祖父丙</t>
  </si>
  <si>
    <t>乙己</t>
  </si>
  <si>
    <t>656556778877</t>
  </si>
  <si>
    <t>丙卯</t>
  </si>
  <si>
    <t>車騎星車騎星</t>
  </si>
  <si>
    <t>車騎星＝車騎星　客客の距離感と闘争心の倍化と両方が混在して現れます。客客の距離感は鳳閣星のような落ち着きとバランスとなり、一方では激しい行動力になり、その間を行ったり来たりする状態です。常人からは理解されない世界を作ります。距離感というのは冷静さです。蛮勇に近い車騎星に冷静な判断力が備わることは機を見て敏なる質を作ります。本能に近く、時期を見分ける能力で、感情だけでは動かなくなります。外から見ていると、進むも上手退くも上手、ずるいのではと誤解もありそうですが、客客の結合にはずるいという感情の入り込む余地はありません。繊細な神経と冷静な判断力のなせる業です。</t>
  </si>
  <si>
    <t>祖父丁</t>
  </si>
  <si>
    <t>丙壬</t>
  </si>
  <si>
    <t>646566788887</t>
  </si>
  <si>
    <t>丙辰</t>
  </si>
  <si>
    <t>車騎星玉堂星</t>
  </si>
  <si>
    <t>車騎星→玉堂星　背中を押されて行動する闘争心が、穏やかな入力ラインに流れ込みます。質の違うエネルギー同士が陰陽和合するので、知性と行動の一体化という現象が起ります。闘争心と冷静さが共存するので、頭を使うことと体を使うことと、どちらも無理なくできます。いわゆる文武両道タイプです。流れこむ玉堂星が学習意欲旺盛で文武の文をしっかりと受け持てるほど、この合体は見事な人格を形作ることになります。逆にどちらかの影響が強くてバランスが崩れると、理屈で相手を打ち負かすような、人格とは程遠い人間性になる危険もあります。</t>
  </si>
  <si>
    <t>祖父戊</t>
  </si>
  <si>
    <t>丁癸</t>
  </si>
  <si>
    <t>丙巳</t>
  </si>
  <si>
    <t>車騎星龍高星</t>
  </si>
  <si>
    <t>車騎星→龍高星　和合性はありませんが、似たような気質があって、お互いの良さが消えずに表裏をなすような組み合わせです。距離感が強まるので、日常的には穏やかに冷静に過ごすことができます。しかし、ひとたびコトが起ると、変身して大きな行動力を示します。瞬間に状況を掌握して的確な判断を下すことができます。また、客観性が倍加するので、人の好き嫌いなど私情はなくなり、来るものは拒まない精神で、受け入れていく度量があります。どちらの気質も自分を飾ることなく、淡々としているので、人の役にたつことをあたりまえのようにできる人物になりえる連結です。感情が薄れていくので、内面の充実を図るためには別の努力が必要になるでしょう。また、過保護に育つとこの連結は完成が遅れます。</t>
  </si>
  <si>
    <t>祖父己</t>
  </si>
  <si>
    <t>庚丙</t>
  </si>
  <si>
    <t>丙午</t>
  </si>
  <si>
    <t>玉堂星玉堂星</t>
  </si>
  <si>
    <t>玉堂星＝玉堂星　主が重なって、入力のもつ精神性や学問的側面はそれほど強調されなくなります。そのぶん、自分の欲求や足元のことを気にする現実味が出てきます。時にはたくましい知恵になり、チャレンジ精神や行動力も加わります。学ぶという本性は消えることなく、情報通であり、知恵袋的な役割も果たすでしょう。学んだコトを人に教える教育的側面も消えることなく発揮されます。自分の気持ちに忠実にという主観が増すので無理なく自分らしく生きる事を心がけるようになるでしょう。</t>
  </si>
  <si>
    <t>祖父庚</t>
  </si>
  <si>
    <t>辛丁</t>
  </si>
  <si>
    <t>655556778877</t>
  </si>
  <si>
    <t>丙未</t>
  </si>
  <si>
    <t>玉堂星龍高星</t>
  </si>
  <si>
    <t>玉堂星＝龍高星　ここは公式通り、主客の同質合体は龍高星が表に出ます。玉堂星は裏に隠れますが、もともと質の違うインプットラインが二つなので、入力された情報の質の違いが見えない葛藤を生じます。主客の和合があっても、自分が思っていることが混乱してうまく表に現れにくい構造です。なんとなく気持ちとは違った方向にものごとが進みやすい。周りに人が多くいるほど歩調は乱れるので、単独行動をとるようになります。しかし、この異質な入力情報の葛藤は、思わぬ創造力となって、力量以上の作品を残したり、不思議な芸術的感性として才能を発揮することができます。</t>
  </si>
  <si>
    <t>祖父辛</t>
  </si>
  <si>
    <t>壬戊</t>
  </si>
  <si>
    <t>546566788887</t>
  </si>
  <si>
    <t>丙申</t>
  </si>
  <si>
    <t>龍高星龍高星</t>
  </si>
  <si>
    <t>龍高星＝龍高星　いろいろな考えにとらわれて、まとまりのない思考になることもありますが、それがひとつにまとまって目的意識を持つと、最大限の能力発揮になります。若い時は、芸術方面に少々、外国旅行に少々、商売の企画に少々など分散してしまい、どれも洪水を起こすような状況になることがあります。混乱すると意味不明の言動が目立つようになります。能力は一生一業となったときに大きな才能となって花開きます。自分が打ち込める対象がみつかるかどうかが、才能開花の分かれ目です。</t>
  </si>
  <si>
    <t>祖父壬</t>
  </si>
  <si>
    <t>癸己</t>
  </si>
  <si>
    <t>丙酉</t>
  </si>
  <si>
    <t>石門星＝石門星　主主の関係はより主観的になるケースと、反対の客観性が出るケースにわかれますが、この連結では貫索星の意味に近くなります。人間関係では相手を取り込んで和合するはずの石門星ですが、この連結になると、客観性が出てきて、関係において距離ができます。自己保身の傾向も強まります。集団に和する傾向を持ちながらも、単独行動が多くなります。組織や仲間の中で、やや目立つ存在になります。周りからも距離をもたれることもあるでしょう。ただ、石門星の性向が消えるわけではないので、貫索星ほどの距離感や違和感ではありません。それほど物事を深刻に受け止めたり懐疑的にはなりません。試行錯誤のない単純さになり、それが逆に、自分の立場や行動を自覚し難いという欠点にもなります。</t>
  </si>
  <si>
    <t>祖父癸</t>
  </si>
  <si>
    <t>戊甲</t>
  </si>
  <si>
    <t>丙戌</t>
  </si>
  <si>
    <t>貫索星石門星</t>
  </si>
  <si>
    <t>石門星＝貫索星　陰と陽の和合性があるので、単独でも集団でも動ける自在性が出てきます。人生を自分のペースでゆったりと歩めます。集団生活でも協調できるますが、自己主張もするので、組織にあって、良くも悪くも目立つ人です。集団の中で個人の利を作り出す才覚があります。利己的傾向が増す。自分では気づかなくても、自分勝手な人と評価されることもあります。もし組織の中で上に立つことがあると、やや独裁者的傾向にもなります。例えば、芸事（茶道、華道など）の世界で大人数をまとめていくような役割も十分に果たせます。時代の移り変わりに敏感になり、時間の使い方がとてもうまくて、きちんと計算して動けます。</t>
  </si>
  <si>
    <t>祖父×</t>
  </si>
  <si>
    <t>己乙</t>
  </si>
  <si>
    <t>丙亥</t>
  </si>
  <si>
    <t>調舒星石門星</t>
  </si>
  <si>
    <t>石門星→調舒星　気の流れは石門星→調舒星となり、調舒星の過敏さや孤独感は、石門星の人引力によって薄くなります。主と主が重なると、客観性が生まれてくるため、調舒星ののめりこみ具合が弱まり、冷静さが加わります。鳳閣星に近い構造になります。精神的にもおおらかさが出てきて、余裕が生まれます。プライドもあって、自分を大切にする気持ちは強いのですが、地位や名誉的な自意識ではなく、集団に入りながら孤を保つことが出来るようになります。組織では補佐役や顧問的役割が向いています。調舒星の内容が消えるわけではないので、内面は孤独で繊細という傾向は残ります。</t>
  </si>
  <si>
    <t>支</t>
  </si>
  <si>
    <t>甲庚</t>
  </si>
  <si>
    <t>丙子</t>
  </si>
  <si>
    <t>鳳閣星石門星</t>
  </si>
  <si>
    <t>自分甲</t>
  </si>
  <si>
    <t>父祖母父</t>
  </si>
  <si>
    <t>父祖父母</t>
  </si>
  <si>
    <t>父祖父父</t>
  </si>
  <si>
    <t>初日</t>
  </si>
  <si>
    <t>中日</t>
  </si>
  <si>
    <t>日干</t>
  </si>
  <si>
    <t>正母</t>
  </si>
  <si>
    <t>正父</t>
  </si>
  <si>
    <t>正母祖母</t>
  </si>
  <si>
    <t>正母祖父</t>
  </si>
  <si>
    <t>正父祖母</t>
  </si>
  <si>
    <t>正父祖父</t>
  </si>
  <si>
    <t>配偶者母</t>
  </si>
  <si>
    <t>配偶者父</t>
  </si>
  <si>
    <t>子供</t>
  </si>
  <si>
    <t>子供配偶者</t>
  </si>
  <si>
    <t>異母</t>
  </si>
  <si>
    <t>異父</t>
  </si>
  <si>
    <t>異母祖母</t>
  </si>
  <si>
    <t>異母祖父</t>
  </si>
  <si>
    <t>異父祖母</t>
  </si>
  <si>
    <t>異父祖父</t>
  </si>
  <si>
    <t>異配偶者</t>
  </si>
  <si>
    <t>異配偶者母</t>
  </si>
  <si>
    <t>異配偶者父</t>
  </si>
  <si>
    <t>異子供</t>
  </si>
  <si>
    <t>異子供配偶者</t>
  </si>
  <si>
    <t>母祖母母</t>
  </si>
  <si>
    <t>母祖母父</t>
  </si>
  <si>
    <t>母祖父母</t>
  </si>
  <si>
    <t>母祖父父</t>
  </si>
  <si>
    <t>父祖母母</t>
  </si>
  <si>
    <t>乙辛</t>
  </si>
  <si>
    <t>丙丑</t>
  </si>
  <si>
    <t>司禄星石門星</t>
  </si>
  <si>
    <t>自分乙</t>
  </si>
  <si>
    <t>丙己</t>
  </si>
  <si>
    <t>丁寅</t>
  </si>
  <si>
    <t>禄存星石門星</t>
  </si>
  <si>
    <t>石門星➷禄存星の関係ですが、主と客の和合性があって、両方の良さがうまくブレンドされて発揮されます。もともと剋構造の禄存星が剋されるので、たくましい行動力が出て、経済の面でも力量を発揮するようになります。休むことなく同じスピードで生涯を走り続けるようなパワーが発揮されます。石門星がブレンドされるので、人と人との間で和を作る役割を果たすことも可能です。商人や実業家の世界で相当の実力発揮でき、他人の資産を運用して自分の利にすることもできます（鳳閣星構造があれば倍化します）。自分を中心に人と人をつなぐという天性の才覚も持ち合わせています。</t>
  </si>
  <si>
    <t>自分丙</t>
  </si>
  <si>
    <t>丁戊</t>
  </si>
  <si>
    <t>丁卯</t>
  </si>
  <si>
    <t>牽牛星石門星</t>
  </si>
  <si>
    <t>石門星➹牽牛星　石門星が牽牛星に剋される連結です。石門星の自我や自意識が牽牛星の自己形成作用に剋されて、一歩退く形になります。良く言えば理知的で冷静、悪くすると、事なかれ主義で長いものにはまかれろ的な弱さにもなります。主同士の連結は時に、お互いの本性を変化させることもあって、牽牛星の目的に向かってがんばろうとする意志力は石門星の仲間意識のブレンドで抑制されて、自分の目的や名誉、プライドを押さえて周りに迎合するようになります。本音とは違ったところを生きるようになるので、どこかに忸怩たる思いは残るでしょう。それが社交性として評価されることもありますが、自分の良さを半減させてしまうリスクのある連結です。</t>
  </si>
  <si>
    <t>自分丁</t>
  </si>
  <si>
    <t>庚癸</t>
  </si>
  <si>
    <t>丁辰</t>
  </si>
  <si>
    <t>車騎星石門星</t>
  </si>
  <si>
    <t>石門星➹車騎星　主客の和合性のある剋関係はお互いの良さを出すケースと、マイナス面が強まるケースがありますが、これは良さが出る和合の連結です。集団に関る石門星に旺盛な闘争心がある車騎星がミックスされるので、集団をまとめる力が強まります。前進力も大きくなって、仕事や社会活動に力を注げます。性格面でも豪放なスケールが加わり、リーダーシップの発揮にもなります。時にはワンマン的独裁的になることもあり、大義の前では個人の感情を無視するような横暴さも潜在します。時には、家庭を犠牲にしてでも仕事、役目をまっとうすることに全力を注ぐこともあるでしょう。個人主義的な石門星を車騎星が剋すことによって、スケールのある人間性へと変化できる余地が拡大します。</t>
  </si>
  <si>
    <t>自分戊</t>
  </si>
  <si>
    <t>辛壬</t>
  </si>
  <si>
    <t>丁巳</t>
  </si>
  <si>
    <t>玉堂星石門星</t>
  </si>
  <si>
    <t>自分己</t>
  </si>
  <si>
    <t>壬乙</t>
  </si>
  <si>
    <t>丁午</t>
  </si>
  <si>
    <t>龍高星石門星</t>
  </si>
  <si>
    <t>龍高星→石門星　主体的な自我にアウトサイダー的な知力がプラスされています。組織の中でも才能を発揮できる異質な存在になります。一芸を持っていると、理論的、技術的、芸術的な方面でも活躍できるでしょう。ただ、現実をたくましく活きていくリアリティーが薄くなるのが特徴で、金銭感覚が薄れ、現実感覚が弱まります。それでも実社会を生きていくので、無自覚ゆえの金銭トラブルなどが多くなります。そんなときでも自己弁護はしません。動乱の英雄になれる素質ながら反逆児になることもあります。</t>
  </si>
  <si>
    <t>自分庚</t>
  </si>
  <si>
    <t>癸甲</t>
  </si>
  <si>
    <t>655556777877</t>
  </si>
  <si>
    <t>丁未</t>
  </si>
  <si>
    <t>貫索星＝貫索星　貫索星の性質が倍化される組み合わせです。世界と自分との間の距離が拡大し、積極的に周囲と関ることが難しくなります。集団にいるとストレスが大きくなります。自分の内側にエネルギーがたまり、それを守るような生き方になります。外からみると、頑固でめったに自分の意志を曲げないで人生を粘り強く積み上げて行く人にみえます。用心深くなり、集団には組しないので利己主義に見えますが、中身は情もあり堅物ではありません。自己主張する頑固ではありませんが、自分の目的や思い込んだことを貫こうとする意志力は相当なものがあります。自分なりの目的がないとうまく生きて行けないともいえます（目的意識が強い）。</t>
  </si>
  <si>
    <t>自分辛</t>
  </si>
  <si>
    <t>戊辛</t>
  </si>
  <si>
    <t>546566788877</t>
  </si>
  <si>
    <t>丁申</t>
  </si>
  <si>
    <t>調舒星貫索星</t>
  </si>
  <si>
    <t>貫索星→調舒星　陰陽で和合しながら流れていくので、それぞれのもっている特徴がひとつになりやすい形です。どちらも自我と自意識は強く、自主独立の気運は高まります。貫索星の距離感によって、調舒星の感情流出は制御されて、ますます周りとの距離は拡大して集団には簡単に迎合できません。集団でいると気疲れします。まわりへの不平不満が多くなり、内側では反発心が強まり、時には実際に反発を表して、単独の道を選択することもあります。人にあれこれ干渉されることが嫌いで、自分も他人にはよけいな口出しをしません。自分のエリアを囲うような生き方になります。自分の才能を活かして自由な世界で活躍する方向を選びます。一人でいることは苦にならず、一つのことを極める研究者タイプです。</t>
  </si>
  <si>
    <t>自分壬</t>
  </si>
  <si>
    <t>己庚</t>
  </si>
  <si>
    <t>丁酉</t>
  </si>
  <si>
    <t>鳳閣星貫索星</t>
  </si>
  <si>
    <t>貫索星→鳳閣星　客と客なので、ミックスするというよりも、鳳閣星が表にでて、貫索星は裏に回るような形です。表面は温厚ながら裏には頑固さがある。冷静な観察力と表現力、世界との程よい距離感を頑固な守備力が支える形です。客＋客によって、周りとの距離感は拡大します。外から何を考えているかつかめないでしょう。それでも明るさと適度な社交性は発揮されますが、マイペースはより堅固になります。流行や周りに影響されないで、自分が納得したことを自信を持ってやっていくタイプ（時代の流れに乗るのは下手）です。気持ちの中で充実感というのを大切にするので、無欲の中で人望を得ることになります。</t>
  </si>
  <si>
    <t>自分癸</t>
  </si>
  <si>
    <t>甲丁</t>
  </si>
  <si>
    <t>丁戌</t>
  </si>
  <si>
    <t>司禄星貫索星</t>
  </si>
  <si>
    <t>乙丙</t>
  </si>
  <si>
    <t>655555777877</t>
  </si>
  <si>
    <t>丁亥</t>
  </si>
  <si>
    <t>禄存星貫索星</t>
  </si>
  <si>
    <t>丙乙</t>
  </si>
  <si>
    <t>丁子</t>
  </si>
  <si>
    <t>牽牛星貫索星</t>
  </si>
  <si>
    <t>丁甲</t>
  </si>
  <si>
    <t>丁丑</t>
  </si>
  <si>
    <t>車騎星貫索星</t>
  </si>
  <si>
    <t>貫索星➹車騎星　守りの自我が攻撃力によって強く剋される構造です。和合性はなく、自我のもっている自己保身が砕かれるので、人間的には正直で真直ぐさが表にはでます。しかし、分断されても自我は残るので、内的葛藤は激しくなるでしょう。感情を統御しきれずに、短気になったり、大胆な行動もとりますが、小心に自分を守ることもあり、両極端の傾向をもっています。ただ、自己には忠実になるので演技ができないため、集団では争う人になる可能性もあります。単独行動向きの性格といえるでしょう。行動力もあり、部分的には出処進退も心得る人になりますが、上に立つには、入力構造が必要で、理性的傾向が強まるほど、スケールを増し、リーダーシップも出てきます。</t>
  </si>
  <si>
    <t>庚己</t>
  </si>
  <si>
    <t>戊寅</t>
  </si>
  <si>
    <t>玉堂星貫索星</t>
  </si>
  <si>
    <t>貫索星←玉堂星　主客の和合があり、無理のない和合の形です。単独行動向きの貫索星に理性的コントロールを与えるような連結です。貫索星の頑固さは和らぎ、どんな環境にも自分を合わせることができるようになります。自分が先頭を切ることは少なく、常に周りとの協調を意識して行動します。また、玉堂星によってインプットされた情報に、貫索星の持つリアリティーが加味されるので、机上の空論ではなく、現実味のある知恵として活用することが出来ます。遠い将来より明日のことを考えて行動する堅実さが加わります。ただ、自我が若いうちは、理屈で自分を守るという意識も出てくるので、弁解上手になったり、自己を正当化するための知恵がつくこともあります。</t>
  </si>
  <si>
    <t>辛戊</t>
  </si>
  <si>
    <t>戊卯</t>
  </si>
  <si>
    <t>龍高星貫索星</t>
  </si>
  <si>
    <t>周囲と自然に距離をとるようになります。人見知りをするほうで、簡単に人と和合することは難しいでしょう。人間関係に限らず、どんなことにも時間が必要になります。感情的な流出を嫌うので、内に秘める思いは強まります。同時に秘密を守れる信頼感は本性として持っています。派手さはありませんが忍耐強く、質素な生活を好み、我慢強い人となります。ただ、激しさを内包しているので、それが表に出るときはすべてを無にして、行動に出て行くような姿になります。貧しい時代、混迷の時こそ活躍できる素質です。</t>
  </si>
  <si>
    <t>壬辛</t>
  </si>
  <si>
    <t>戊辰</t>
  </si>
  <si>
    <t>調舒星＝調舒星　客客ほどの分離はありませんが、和合して穏やかになるものでもありません。調舒星のもつ感受性の鋭さ、繊細さ、表現力などは倍化します。主＋主は自然さがあるので、表向きは穏やかにみえます。また、この組み合わせでは行動力は期待できません。大事なことは自分の気持ちが向かえる世界を持つことで、現実への執着は薄くなります。過敏な神経を持ちながら、それゆえに（現実執着が薄いゆえに）、どんな現実にも合わせることは可能です（喜びはない）。世の中の常識や習慣通りに生きて行くことも可能ですし、それを無視してまったく違った自分だけの精神世界を活きることも可能です。ただ、気持ちの充足感や能力発揮は後者の世界です。常識や見えている現実の背景にある本質を感知する能力に長けているため、哲学、芸術や宗教といった世界で才覚を発揮できます。</t>
  </si>
  <si>
    <t>記１</t>
  </si>
  <si>
    <t>1</t>
  </si>
  <si>
    <t>癸庚</t>
  </si>
  <si>
    <t>戊巳</t>
  </si>
  <si>
    <t>鳳閣星調舒星</t>
  </si>
  <si>
    <t>戊丁</t>
  </si>
  <si>
    <t>戊午</t>
  </si>
  <si>
    <t>司禄星調舒星</t>
  </si>
  <si>
    <t>調舒星→司禄星　司禄星の傾向が表にはでますが、和合性がないので、調舒星も消えることなく現れます。この組み合わせは司禄星のもつ現実味が増します。主には個人的欲望が含まれやすいためです。実社会のエネルギーになるので、仕事や社会活動にファイトを燃やします。貯蓄の才、商才（個人的商い）があります。あまり大きな経済観念ではないので、どちらかというと小規模、家庭経済向きです。この時に、調舒星は相手や環境に過敏に反応する探知機のような役割をします。競争相手があったり、難しい環境であるほど、気持ちは前に向かっていきます。一種の負けん気のような感情が司禄星を支えるので、競争相手が強ければ強いほど頑張りが利きますが、穏やかな環境ではそれなりの力しか出せません。環境によって力の強弱が決まってしまうというむずかしさがあります。</t>
  </si>
  <si>
    <t>己丙</t>
  </si>
  <si>
    <t>戊未</t>
  </si>
  <si>
    <t>禄存星調舒星</t>
  </si>
  <si>
    <t>調舒星→禄存星　主客の和合がある流れ込みなので、禄存星の構造が調舒星を加えて大きくなります。禄存星の持つ客観性は主（個人的感情）が加わることで弱まり、実利的な思考になって、社会において実践的な力を発揮するようになります。禄存星の性質の中で経済がクローズアップされるともいえます。有限の形ある世界で大いに力を発揮します。調舒星は実社会に役立つようなユニークな発想を生み出して、禄存星の足りない部分を補って行きます。</t>
  </si>
  <si>
    <t>甲癸</t>
  </si>
  <si>
    <t>546556778877</t>
  </si>
  <si>
    <t>戊申</t>
  </si>
  <si>
    <t>牽牛星調舒星</t>
  </si>
  <si>
    <t>乙壬</t>
  </si>
  <si>
    <t>戊酉</t>
  </si>
  <si>
    <t>車騎星調舒星</t>
  </si>
  <si>
    <t>丙丙</t>
  </si>
  <si>
    <t>戊戌</t>
  </si>
  <si>
    <t>玉堂星調舒星</t>
  </si>
  <si>
    <t>丁丁</t>
  </si>
  <si>
    <t>655455777877</t>
  </si>
  <si>
    <t>戊亥</t>
  </si>
  <si>
    <t>龍高星調舒星</t>
  </si>
  <si>
    <t>龍高星➷調舒星　知性と感性がぶつかって、内的葛藤は大きくなります。しかし、感情の個人的限界を打ち破る様な知性が身に付くと、すぐれた才能となるか可能性を持っています。ある種、完全主義的なものを目指す気持ちになるので、不平不満は強まりますが、愚痴ではなく、より上を目指す行動力へと高まって行きます。海外へと視野が広がることもあります。相反する葛藤が向上へのエネルギーになるので、平和な日常生活では苦痛を感じることもあり、良さが出ません。個性的な知性と感性に見合った独自の世界を見つけ出すことが能力を活かす入り口になります。</t>
  </si>
  <si>
    <t>庚庚</t>
  </si>
  <si>
    <t>戊子</t>
  </si>
  <si>
    <t>辛辛</t>
  </si>
  <si>
    <t>戊丑</t>
  </si>
  <si>
    <t>司禄星鳳閣星</t>
  </si>
  <si>
    <t>鳳閣星→司禄星　主客の和合で司禄星の世界に鳳閣星が吸収される形です。鳳閣星の客観性は薄らいで、調舒星の個人的な世界が展開します。自分の内側の世界を大事にするような行き方です。現実的で目の前の現象にだけに力を注ぐようになります。家庭、家族を大切にする司禄星の性質は拡大して、時には家族の犠牲になるようなこともあります。鳳閣星の距離感が調舒星の閉鎖性に加味されて、他人に対しては一線を引き、家族からは逃げられないが他人から身を引くのはうまいという傾向を持ちます。個人主義の世界になりますが、忍耐力と粘り強さはかなりなものがあります。</t>
  </si>
  <si>
    <t>壬壬</t>
  </si>
  <si>
    <t>己寅</t>
  </si>
  <si>
    <t>禄存星鳳閣星</t>
  </si>
  <si>
    <t>癸癸</t>
  </si>
  <si>
    <t>645455777877</t>
  </si>
  <si>
    <t>己卯</t>
  </si>
  <si>
    <t>牽牛星鳳閣星</t>
  </si>
  <si>
    <t>戊戊</t>
  </si>
  <si>
    <t>545556778877</t>
  </si>
  <si>
    <t>己辰</t>
  </si>
  <si>
    <t>車騎星鳳閣星</t>
  </si>
  <si>
    <t>己己</t>
  </si>
  <si>
    <t>己巳</t>
  </si>
  <si>
    <t>玉堂星鳳閣星</t>
  </si>
  <si>
    <t>甲甲</t>
  </si>
  <si>
    <t>己午</t>
  </si>
  <si>
    <t>龍高星鳳閣星</t>
  </si>
  <si>
    <t>龍高星➷鳳閣星　内面で、知性と感性の激しい激突があります。ぶつかることで拡大する方向に向かうので、神経がいつも緊張状態にあり、外側の出来事に過敏に反応します。通常の社会生活ではかなりのエネルギーを消耗するでしょう。反面、勉強したり、芸術に親しんだり、旅行をしたりという環境では落ち着くことができます（現実社会からの逃避的な意味もある）。そうした逃避の結果として、新しい発想や改革心が芽生えたり、芸術的創造が生まれたりもします。新しい世界の夜明けを作る時に役立つような能力をもっています。</t>
  </si>
  <si>
    <t>乙乙</t>
  </si>
  <si>
    <t>己未</t>
  </si>
  <si>
    <t>申酉</t>
  </si>
  <si>
    <t>庚辰</t>
  </si>
  <si>
    <t>丙辛</t>
  </si>
  <si>
    <t>己申</t>
  </si>
  <si>
    <t>禄存星司禄星</t>
  </si>
  <si>
    <t>辛巳</t>
  </si>
  <si>
    <t>丁庚</t>
  </si>
  <si>
    <t>己酉</t>
  </si>
  <si>
    <t>牽牛星司禄星</t>
  </si>
  <si>
    <t>午未</t>
  </si>
  <si>
    <t>壬午</t>
  </si>
  <si>
    <t>庚乙</t>
  </si>
  <si>
    <t>己戌</t>
  </si>
  <si>
    <t>車騎星司禄星</t>
  </si>
  <si>
    <t>癸未</t>
  </si>
  <si>
    <t>辛甲</t>
  </si>
  <si>
    <t>己亥</t>
  </si>
  <si>
    <t>玉堂星司禄星</t>
  </si>
  <si>
    <t>壬丁</t>
  </si>
  <si>
    <t>545556777877</t>
  </si>
  <si>
    <t>己子</t>
  </si>
  <si>
    <t>龍高星司禄星</t>
  </si>
  <si>
    <t>龍高星➹司禄星　激しい改革心や冒険心がありますが、それは抑制されて内側に潜み、社会生活では、あまり出過ぎたことはしないで、出処進退を心得るようになります。かなり用心深いタイプです。内側には新しいことに対する意欲があっても、自分の枠の範囲で行動するようになります。結婚して家庭をもつと、より内側志向が強まって行きます（未婚のうちは激しい性情もある程度は発揮される）。</t>
  </si>
  <si>
    <t>癸丙</t>
  </si>
  <si>
    <t>己丑</t>
  </si>
  <si>
    <t>戌亥</t>
  </si>
  <si>
    <t>戊癸</t>
  </si>
  <si>
    <t>庚巳</t>
  </si>
  <si>
    <t>牽牛星禄存星</t>
  </si>
  <si>
    <t>己壬</t>
  </si>
  <si>
    <t>庚午</t>
  </si>
  <si>
    <t>車騎星禄存星</t>
  </si>
  <si>
    <t>禄存星→車騎星　和合性は薄く、車騎星の意味合いが表面に出てその裏側を禄存星の気質が支えることになります。客客の連合は車騎星の人のためにという部分を拡大させて、周りの人のためにがんばる闘争心は増大されます。闘争心の中にある短気さや粗暴さは、禄存星の愛情や理解力で緩和され、庶民性をもった持続力のあるエネルギーが発揮されます。ただ、車騎星の世界が前面に出るので、礼儀礼節にうるさい堅苦しいところや規制の厳しい環境には長くいられないでしょう。私心、私欲が入り込む余地のない連結なので、ひとつの組織ではなくてはならない人になりえます。</t>
  </si>
  <si>
    <t>子丑</t>
  </si>
  <si>
    <t>甲己</t>
  </si>
  <si>
    <t>545555777877</t>
  </si>
  <si>
    <t>庚未</t>
  </si>
  <si>
    <t>玉堂星禄存星</t>
  </si>
  <si>
    <t>乙戊</t>
  </si>
  <si>
    <t>庚申</t>
  </si>
  <si>
    <t>龍高星禄存星</t>
  </si>
  <si>
    <t>龍高星➹禄存星　一見お人よしに見えますが、情的な奉仕ではなく、無条件で手段を論じない人助けの精神を持っています。冷徹な理性に支えられた、天の声に従うような責任感の強い奉仕の精神です。時には道理を無視した蛮勇になる危険性もはらんでいます。しかし、自らの戦いで衆生を救う力を持つ世界は見事なものがあります。</t>
  </si>
  <si>
    <t>寅卯</t>
  </si>
  <si>
    <t>庚寅</t>
  </si>
  <si>
    <t>丙癸</t>
  </si>
  <si>
    <t>庚酉</t>
  </si>
  <si>
    <t>辛卯</t>
  </si>
  <si>
    <t>丁壬</t>
  </si>
  <si>
    <t>庚戌</t>
  </si>
  <si>
    <t>車騎星牽牛星</t>
  </si>
  <si>
    <t>辰巳</t>
  </si>
  <si>
    <t>壬辰</t>
  </si>
  <si>
    <t>庚丁</t>
  </si>
  <si>
    <t>庚亥</t>
  </si>
  <si>
    <t>玉堂星牽牛星</t>
  </si>
  <si>
    <t>癸巳</t>
  </si>
  <si>
    <t>辛丙</t>
  </si>
  <si>
    <t>庚子</t>
  </si>
  <si>
    <t>龍高星牽牛星</t>
  </si>
  <si>
    <t>龍高星←牽牛星　激しい改革心や放浪性を持ちながら、表向きはおとなしい知性派になります。芸術的なセンスがあり、何かを創造する才能もあります。また、古典や伝統的なものに対する興味や好奇心も強まります。本来持っている濁流のような知性が、教養を積むことで清らかな流れに変化して行きます。革新と伝統が程よくミックスされた、おだやかな思考法を持ちます。</t>
  </si>
  <si>
    <t>壬己</t>
  </si>
  <si>
    <t>庚丑</t>
  </si>
  <si>
    <t>癸戊</t>
  </si>
  <si>
    <t>玉堂星車騎星</t>
  </si>
  <si>
    <t>戊乙</t>
  </si>
  <si>
    <t>庚卯</t>
  </si>
  <si>
    <t>龍高星車騎星</t>
  </si>
  <si>
    <t>龍高星←車騎星　日常的には穏やかに冷静に過ごすことができます。しかし、ひとたびコトが起ると、変身して大きな行動力を示します。瞬間に状況を掌握して的確な判断を下すことができます。人の好き嫌いなど私情はなく、来るものは拒まない精神で、受け入れていく度量があります。自分を飾ることなく、淡々としているので、人の役にたつことをあたりまえのようにできる精神を持っています。感情が薄れていくので、内面の充実を図るためには別の努力が必要になるでしょう。また、過保護に育つとこの精神の発揮は遅くなります。</t>
  </si>
  <si>
    <t>己甲</t>
  </si>
  <si>
    <t>甲辛</t>
  </si>
  <si>
    <t>龍高星玉堂星</t>
  </si>
  <si>
    <t>龍高星←玉堂星　質の違うインプットラインを二つ持っています。入力された情報の質の違いが見えない葛藤を生じて、自分が思っていることが混乱してうまく表に現れにくい頭脳構造があります。なんとなく気持ちとは違った方向にものごとが進みやすくなります。周りに人が多くいるほど歩調は乱れるので、単独行動をとるようになるでしょう。しかし、内的葛藤は、思わぬ創造力となって、力量以上の創作をしたり、不思議な芸術的感性として才能を発揮することができます。</t>
  </si>
  <si>
    <t>乙庚</t>
  </si>
  <si>
    <t>辛午</t>
  </si>
  <si>
    <t>辛未</t>
  </si>
  <si>
    <t>辛丑</t>
  </si>
  <si>
    <t>辛申</t>
  </si>
  <si>
    <t>壬寅</t>
  </si>
  <si>
    <t>辛酉</t>
  </si>
  <si>
    <t>癸卯</t>
  </si>
  <si>
    <t>辛戌</t>
  </si>
  <si>
    <t>545455777877</t>
  </si>
  <si>
    <t>辛亥</t>
  </si>
  <si>
    <t>辛子</t>
  </si>
  <si>
    <t>辛寅</t>
  </si>
  <si>
    <t>535455777877</t>
  </si>
  <si>
    <t>辛辰</t>
  </si>
  <si>
    <t>壬申</t>
  </si>
  <si>
    <t>645455677877</t>
  </si>
  <si>
    <t>壬酉</t>
  </si>
  <si>
    <t>壬子</t>
  </si>
  <si>
    <t>壬戌</t>
  </si>
  <si>
    <t>癸丑</t>
  </si>
  <si>
    <t>壬亥</t>
  </si>
  <si>
    <t>645455677876</t>
  </si>
  <si>
    <t>壬丑</t>
  </si>
  <si>
    <t>壬卯</t>
  </si>
  <si>
    <t>壬巳</t>
  </si>
  <si>
    <t>壬未</t>
  </si>
  <si>
    <t>癸申</t>
  </si>
  <si>
    <t>癸亥</t>
  </si>
  <si>
    <t>癸酉</t>
  </si>
  <si>
    <t>癸戌</t>
  </si>
  <si>
    <t>癸子</t>
  </si>
  <si>
    <t>癸寅</t>
  </si>
  <si>
    <t>癸辰</t>
  </si>
  <si>
    <t>癸午</t>
  </si>
  <si>
    <t>645455677776</t>
  </si>
  <si>
    <t>535455677877</t>
  </si>
  <si>
    <t>545455677776</t>
  </si>
  <si>
    <t>535455677876</t>
  </si>
  <si>
    <t>545455677766</t>
  </si>
  <si>
    <t>545445667766</t>
  </si>
  <si>
    <t>乙-</t>
  </si>
  <si>
    <t>-</t>
  </si>
  <si>
    <t>己-</t>
  </si>
  <si>
    <t>庚-</t>
  </si>
  <si>
    <t>535455677776</t>
  </si>
  <si>
    <t>甲-</t>
  </si>
  <si>
    <t>辛-</t>
  </si>
  <si>
    <t>壬-</t>
  </si>
  <si>
    <t>丁-</t>
  </si>
  <si>
    <t>丙-</t>
  </si>
  <si>
    <t>戊-</t>
  </si>
  <si>
    <t>癸-</t>
  </si>
  <si>
    <t>544445666766</t>
  </si>
  <si>
    <t>544444666766</t>
  </si>
  <si>
    <t>435455677776</t>
  </si>
  <si>
    <t>土星人（＋）</t>
  </si>
  <si>
    <t>種子</t>
  </si>
  <si>
    <t>裏おひつじ座</t>
  </si>
  <si>
    <t>緑生</t>
  </si>
  <si>
    <t>立花</t>
  </si>
  <si>
    <t>健弱</t>
  </si>
  <si>
    <t>達成</t>
  </si>
  <si>
    <t>乱気</t>
  </si>
  <si>
    <t>再会</t>
  </si>
  <si>
    <r>
      <t>第</t>
    </r>
    <r>
      <rPr>
        <sz val="11"/>
        <color rgb="FF000000"/>
        <rFont val="ＭＳ Ｐゴシック"/>
        <family val="2"/>
        <scheme val="minor"/>
      </rPr>
      <t>2</t>
    </r>
    <r>
      <rPr>
        <sz val="11"/>
        <color rgb="FF000000"/>
        <rFont val="ＭＳ Ｐゴシック"/>
        <family val="3"/>
        <charset val="128"/>
        <scheme val="minor"/>
      </rPr>
      <t>の絶頂期。過去の縁が繋がり、周囲を巻き込み大きな成果を出す。</t>
    </r>
  </si>
  <si>
    <t>財成</t>
  </si>
  <si>
    <t>充実</t>
  </si>
  <si>
    <t>陰影</t>
  </si>
  <si>
    <t>停止</t>
  </si>
  <si>
    <t>減退</t>
  </si>
  <si>
    <t>土星人（－）</t>
  </si>
  <si>
    <t>裏うお座</t>
  </si>
  <si>
    <t>金星人（＋）</t>
  </si>
  <si>
    <t>裏ふたご座</t>
  </si>
  <si>
    <t>金星人（－）</t>
    <phoneticPr fontId="3"/>
  </si>
  <si>
    <t>裏おうし座</t>
  </si>
  <si>
    <t>金星人（－）</t>
  </si>
  <si>
    <t>火星人（＋）</t>
  </si>
  <si>
    <t>裏しし座</t>
  </si>
  <si>
    <t>火星人（－）</t>
  </si>
  <si>
    <t>裏かに座</t>
  </si>
  <si>
    <t>天王星人（＋）</t>
  </si>
  <si>
    <t>裏てんびん座</t>
  </si>
  <si>
    <t>天王星人（－）</t>
  </si>
  <si>
    <t>裏おとめ座</t>
  </si>
  <si>
    <t>木星人（＋）</t>
  </si>
  <si>
    <t>裏いて座</t>
  </si>
  <si>
    <t>木星人（－）</t>
  </si>
  <si>
    <t>裏さそり座</t>
  </si>
  <si>
    <t>水星人（＋）</t>
  </si>
  <si>
    <t>裏みずがめ座</t>
  </si>
  <si>
    <t>水星人（－）</t>
  </si>
  <si>
    <t>裏やぎ座</t>
  </si>
  <si>
    <t>表星座</t>
  </si>
  <si>
    <t>おひつじ座</t>
  </si>
  <si>
    <t>燃え盛る炎のような情熱と、未開の地を切り拓くパイオニア精神を宿しています。直感に従って即座に行動を起こす圧倒的な瞬発力があり、誰もやったことがない新しいことへの挑戦に最も生きがいを感じます。裏表のない純粋でストレートな性格は多くの人を惹きつけますが、負けず嫌いな一面が強く出すぎると周囲と衝突することもあるため、時には一呼吸置く冷静さを持つことでさらに運気が飛躍します。</t>
  </si>
  <si>
    <t>組織の歯車として指示を待つよりも、自らがリーダーシップを取って道を切り開くポジションで真価を発揮します。起業や新規プロジェクトの立ち上げ、競争の激しい営業職などで圧倒的な成績を残すでしょう。スピード感のない職場ではフラストレーションが溜まるため、実力主義で自分の裁量が大きい環境を選ぶことが大成功の鍵となります。</t>
  </si>
  <si>
    <t>追いかけられるよりも「自分が好きになった相手を追いかけたい」という情熱的なハンター気質です。直感で恋に落ち、素直で情熱的なアプローチを仕掛けます。結婚後も所帯染みた関係を嫌い、いつまでも新鮮で刺激的な恋人同士のような関係を望みます。束縛されると逃げたくなるため、お互いの独立心と挑戦を応援し合える自立したパートナーが理想的です。</t>
  </si>
  <si>
    <t>「稼ぐ力」が非常に強く、持ち前の行動力でスピーディーに収入をアップさせていく瞬発的な金運を持っています。しかし、気前が良く衝動買いも多いため、入ってくる金額が大きい反面、出ていくお金も激しくなりがちです。長期的な資産形成をサポートしてくれる信頼できるパートナーや専門家を持つことで、稼いだお金を確実に財産へと変えていくことができます。</t>
  </si>
  <si>
    <t>頭部や脳にエネルギーが集中しやすいため、考えすぎたりストレスが溜まると、激しい頭痛や目の疲れとして表れやすい傾向があります。あふれるエネルギーを不完全燃焼させるとイライラが募るため、激しいスポーツや筋トレなど、汗を流して肉体を思い切り動かすことが最高のデトックスであり、健康運を高い水準でキープする秘訣です。</t>
  </si>
  <si>
    <t>おうし座</t>
  </si>
  <si>
    <t>大地のように揺るぎない安定感と、五感で豊かさを味わう才能に恵まれています。一度決めたことは最後までやり遂げる驚異的な忍耐力と継続力を持っており、急激な変化よりも着実な歩みを好みます。美しいものや心地よい空間を愛する審美眼があり、穏やかでマイペースな性質は周囲に安心感を与えます。頑固になりすぎず、他者の意見を柔軟に取り入れることで、より豊かな人生を築くことができます。</t>
  </si>
  <si>
    <t>金融、不動産、芸術、食に関わる仕事など、時間をかけて価値を育てる分野で才能が花開きます。ルーチンワークも苦にせず、与えられた役割を完璧にこなすため、職場での信頼度は抜群です。短期的な成果を求められる環境よりも、長期的な視野でじっくりと品質や実績を作り上げていく職人肌のポジションが天職であり、確固たる地位を築き上げます。</t>
  </si>
  <si>
    <t>一目惚れよりも、時間をかけて相手の人柄を知り、じっくりと愛を育んでいく誠実で安定した恋愛を好みます。五感が鋭いため、肌の触れ合いや心地よい声など、肉体的な感覚の相性を非常に重視します。所有欲が強いため少し嫉妬深い一面もありますが、結婚すれば家族を何よりも大切にし、物質的にも精神的にも満たされた非常に温かく平和な家庭を築きます。</t>
  </si>
  <si>
    <r>
      <t>12</t>
    </r>
    <r>
      <rPr>
        <sz val="11"/>
        <color rgb="FF000000"/>
        <rFont val="ＭＳ Ｐゴシック"/>
        <family val="3"/>
        <charset val="128"/>
        <scheme val="minor"/>
      </rPr>
      <t>星座の中でもトップクラスの「蓄財運」の持ち主です。無駄な浪費を嫌い、確実で安全な方法でコツコツと資産を増やしていく能力に長けています。ただし、安物買いの銭失いを嫌い、「本当に価値のある一流品」には惜しみなくお金を使うというこだわりがあります。不動産や実物資産との相性が良く、晩年になるほど確固たる経済的基盤を確立する大器晩成型の金運です。</t>
    </r>
  </si>
  <si>
    <t>喉、首回り、甲状腺などが弱点になりやすいため、声の使いすぎや冷えには注意が必要です。また、美味しいものを食べることが最高のストレス発散になるため、ついつい美食に走ってカロリーオーバーや体重増加に繋がりやすい傾向があります。のんびりとしたペースでのウォーキングや、自然の中で深呼吸をして五感を満たすことが健康維持に効果的です。</t>
  </si>
  <si>
    <t>ふたご座</t>
  </si>
  <si>
    <t>風のように軽やかで、知的好奇心に溢れたメッセンジャーとしての使命を持っています。頭の回転が非常に速く、同時に複数の物事を処理するマルチタスク能力の天才です。コミュニケーション能力が高く、誰とでもすぐに打ち解けて有益な情報を引き出すことができます。飽きっぽいのが玉に瑕ですが、常に最新のトレンドを追いかけ、時代の最先端を軽快に駆け抜けていく若々しい運命の持ち主です。</t>
  </si>
  <si>
    <r>
      <t>マスコミ、</t>
    </r>
    <r>
      <rPr>
        <sz val="11"/>
        <color rgb="FF000000"/>
        <rFont val="ＭＳ Ｐゴシック"/>
        <family val="2"/>
        <scheme val="minor"/>
      </rPr>
      <t>IT</t>
    </r>
    <r>
      <rPr>
        <sz val="11"/>
        <color rgb="FF000000"/>
        <rFont val="ＭＳ Ｐゴシック"/>
        <family val="3"/>
        <charset val="128"/>
        <scheme val="minor"/>
      </rPr>
      <t>、出版、営業、通訳など、常に新しい情報と言葉を扱う仕事において比類なき才能を発揮します。一つの場所にじっとしている職場は不向きで、出張や移動が多く、様々な人と交流する環境が適しています。副業やパラレルキャリアとの相性も抜群で、複数の収入源を持つことで精神的な余裕が生まれ、さらに柔軟な発想でビジネスを拡大させることができます。</t>
    </r>
  </si>
  <si>
    <t>知的な会話のキャッチボールができる相手に強く惹かれます。重苦しい感情のぶつけ合いや束縛を極端に嫌い、まるで親友同士のように軽やかで風通しの良い関係を望みます。デートも毎回違う場所に出かけるなど、変化と刺激を求めます。結婚後もパートナーとは対等な関係でありたいと願い、お互いの趣味や交友関係に干渉しない、自立した爽やかな家庭を築きます。</t>
  </si>
  <si>
    <t>「情報がお金に変わる」という特有の金運を持っています。最新のニュースや人脈から有利な投資話やビジネスチャンスを素早くキャッチし、利益を上げるのが得意です。しかし、好奇心の赴くままに新しいガジェットや趣味、交際費に次々とお金を使ってしまうため、貯蓄は苦手な傾向があります。自動積立などを利用して、無意識のうちにお金が貯まるシステムを作ることが重要です。</t>
  </si>
  <si>
    <t>肺、気管支、腕、肩などに負担がかかりやすく、呼吸器系のトラブルに注意が必要です。頭を常にフル回転させているため、神経の緊張から不眠症や自律神経の乱れを引き起こすことがあります。寝る前のスマホを控え、意識的に深い呼吸（腹式呼吸）を行うことや、腕や肩のストレッチをこまめに取り入れることで、過敏になった神経を鎮めることができます。</t>
  </si>
  <si>
    <t>かに座</t>
  </si>
  <si>
    <t>月の満ち欠けのように豊かな感情と、大切な人を守り抜く母性的な強さを秘めています。共感能力が非常に高く、他人の喜びや悲しみを自分のことのように感じ取ることができる優しい心の持ち主です。身内や仲間と認定した相手には絶対的な無償の愛を注ぎますが、警戒心が強いため、見知らぬ人や敵に対しては排他的な一面も見せます。心の拠り所となる安心できる居場所を作ることが人生のテーマです。</t>
  </si>
  <si>
    <t>保育、福祉、飲食、インテリア、人事など、人の心に寄り添い、生活を豊かにサポートする仕事が天職です。冷徹な実力主義の企業よりも、アットホームで「家族」のような温かい絆で結ばれたチーム環境において、最高のパフォーマンスを発揮します。記憶力が良く、細やかな気配りができるため、後輩の育成や組織の潤滑油として欠かせない存在として重宝されます。</t>
  </si>
  <si>
    <t>心の底から安心でき、お互いを守り合えるような深い精神的繋がりを求めます。恋愛の延長線上には常に「結婚」や「家族」を意識しており、遊びの恋には興味を持ちません。非常に愛情深く献身的に尽くしますが、相手からの愛情表現がないと不安になりやすいデリケートな面もあります。結婚後は良き妻・良き夫として、温かく愛情に溢れた揺るぎない家庭を築き上げます。</t>
  </si>
  <si>
    <t>「家族」や「家」を守るための強い防衛本能が、堅実な金運を引き寄せます。日々の生活費を上手にやり繰りし、万が一の事態に備えてしっかりと貯蓄をしていく堅実派です。特に不動産や住宅関連の運気が強いため、マイホームの購入や不動産投資によって資産を大きく増やす可能性があります。感情の起伏によるストレス買いにさえ気をつければ、安定した豊かな老後を迎えられます。</t>
  </si>
  <si>
    <t>感情の波がそのまま体調に直結しやすく、特に胃腸や胸回り（乳腺など）にストレスのサインが現れやすい体質です。不安や緊張を感じると消化不良を起こしやすいため、温かく消化の良い食事を心がけることが大切です。家族や親しい友人と家でリラックスして過ごす時間や、料理やお菓子作りなど「手作業」に没頭することで、心の乱れが整い、健康状態も良好に保たれます。</t>
  </si>
  <si>
    <t>しし座</t>
  </si>
  <si>
    <t>太陽のように周囲を照らし、圧倒的な自己表現力と華やかなカリスマ性で人々の中心に立つ宿命を持っています。誇り高く、常に堂々としており、人生という舞台の主役として劇的に生きることを望みます。面倒見が良く、困っている人を放っておけない親分肌・姉御肌な一面があり、多くの人から慕われます。他者からの賞賛が最高のエネルギーとなるため、表現することを恐れずに前に出ることが開運の鍵です。</t>
  </si>
  <si>
    <t>エンターテインメント、芸術、ファッション、経営者、イベント企画など、自分の個性やクリエイティビティを大々的にアピールできる仕事で大輪の花を咲かせます。裏方や地味な作業ではモチベーションが保てず、スポットライトを浴びることで実力以上の力を発揮します。責任あるポジションを任されるほど燃え上がり、持ち前の統率力でチームを輝かしい成功へと導きます。</t>
  </si>
  <si>
    <t>まるで映画のワンシーンのような、ドラマチックで情熱的な恋愛に憧れます。好きな相手にはゴージャスなプレゼントやサプライズを用意するなど、愛の表現が非常にストレートで情熱的です。プライドが高いため、自分を心から尊敬し、特別扱いしてくれる相手を求めます。結婚後も生活感にまみれることを嫌い、いつまでも華やかで自慢できるような理想の夫婦像を追求します。</t>
  </si>
  <si>
    <t>大きなお金を動かすことでさらに大きな富を引き寄せる、非常にスケールの大きな金運を持っています。見栄っ張りなところがあり、高級ブランド品や交際費、後輩への奢りなどで豪快にお金を使ってしまいますが、「自分への投資」と割り切ることでそれ以上のリターンを得る才能があります。ケチケチと節約するよりも、収入のパイ自体を大きく増やす方向にエネルギーを向けるべきです。</t>
  </si>
  <si>
    <t>心臓、背中、脊椎といった身体の中心部分に負担がかかりやすい傾向があります。自分の限界を認めず、無理をしてでも周囲の期待に応えようとするため、突然の過労や燃え尽き症候群（バーンアウト）に注意が必要です。プライドを捨てて素直に「疲れた」と言える場所を持つことや、太陽の光を浴びながらのびのびと体を動かすことで、生命力と健康運が劇的に回復します。</t>
  </si>
  <si>
    <t>おとめ座</t>
  </si>
  <si>
    <t>完璧を求める鋭い分析力と、他者のために献身的に尽くす卓越した実務能力に秀でています。ルーペで物事を見るように細部まで目が行き届き、誰も気づかないような小さなミスや改善点を瞬時に見抜く才能があります。秩序と清潔を愛し、カオスな状況を美しく整理整頓していくことに喜びを感じます。自分にも他人にも厳しい傾向があるため、時には「まぁいいか」と許す大らかさを持つことで生きやすくなります。</t>
  </si>
  <si>
    <t>医療、データ分析、秘書、経理、プログラミングなど、正確性と緻密なスケジュール管理が求められる分野で右に出る者はいません。組織の中でトップに立つよりも、優秀なナンバーツーや参謀役として、リーダーの弱点を完璧にフォローするポジションで絶対的な評価を得ます。あなたの整然とした仕事ぶりと有能さは、どんな職場でも「絶対に手放せない人材」として重宝されます。</t>
  </si>
  <si>
    <t>純粋で潔癖なロマンチストであり、恋愛に対しても「完璧さ」を求めるため、非常に理想が高く、相手選びに慎重です。情熱だけで突っ走ることはなく、相手の生活態度や経済観念をしっかりと観察します。一度交際が始まると、相手の世話を焼き、献身的に尽くすことに深い愛情を感じます。結婚後は家計の管理や家事を完璧にこなし、清潔で規則正しい、非常に安定した模範的な家庭を築きます。</t>
  </si>
  <si>
    <r>
      <t>無駄な支出を極端に嫌い、</t>
    </r>
    <r>
      <rPr>
        <sz val="11"/>
        <color rgb="FF000000"/>
        <rFont val="ＭＳ Ｐゴシック"/>
        <family val="2"/>
        <scheme val="minor"/>
      </rPr>
      <t>1</t>
    </r>
    <r>
      <rPr>
        <sz val="11"/>
        <color rgb="FF000000"/>
        <rFont val="ＭＳ Ｐゴシック"/>
        <family val="3"/>
        <charset val="128"/>
        <scheme val="minor"/>
      </rPr>
      <t>円単位までしっかりと家計を管理できる非常に優秀で堅実な金運の持ち主です。衝動買いはほとんどせず、コストパフォーマンスや実用性を徹底的にリサーチしてから買い物をします。リスクの高いギャンブルや投資には手を出さず、安全確実な預貯金や定額積立などで、気づけば大きな財産を形成しているという手堅さが最大の強みです。</t>
    </r>
  </si>
  <si>
    <t>大腸や小腸などの消化器官が弱点で、精神的なストレスや心配事がダイレクトにお腹の調子に影響します。完璧主義ゆえに神経をすり減らしやすいため、規則正しい生活リズムと、無農薬野菜やオーガニック食品など身体に優しい食事を摂ることが健康の基本です。休日は部屋の掃除や整理整頓をすることで心がスッキリと浄化され、自律神経のバランスを取り戻すことができます。</t>
  </si>
  <si>
    <t>てんびん座</t>
  </si>
  <si>
    <t>調和と美をこよなく愛し、洗練された社交性で人々の間に平和をもたらす天性のバランサーです。常に客観的な視点を持ち、どんな意見に対しても公平に耳を傾けることができるため、争いごとの仲裁役として頼りにされます。美的センスが非常に高く、ファッションやライフスタイルにおいてエレガントさを欠かしません。決断を下すのが少し苦手な面もありますが、その優雅な振る舞いは誰からも愛されます。</t>
  </si>
  <si>
    <t>法律、美容、ファッション、デザイン、広報など、美意識と高い対人スキルが要求される仕事が天職です。単独で黙々と作業するよりも、優秀なビジネスパートナーとタッグを組んだり、チームで協力し合う環境で最も輝きます。交渉事やプレゼンテーションにおいて、相手に不快感を与えずに自分の意見を通す天才的な手腕を持っており、強力な人脈を武器に大成功を収めます。</t>
  </si>
  <si>
    <t>恋愛をゲームのように楽しむ優雅さを持ち、スマートでロマンチックなアプローチを好みます。ドロドロとした嫉妬や執着を嫌い、お互いが美しく、洗練されたカップルであることを望みます。常に「パートナーからどう見られているか」を意識するため、交際が長くなっても身だしなみを怠りません。結婚後もオシャレなレストランでデートを楽しむような、平和で絵に描いたような美しい夫婦関係を築きます。</t>
  </si>
  <si>
    <t>交友関係の広さやパートナーシップがそのまま金脈に直結する運命です。美容代やファッション、交際費への支出が多くなりがちですが、それは「自分をより魅力的に見せ、良いご縁を引き寄せるための必要経費」として機能します。結婚相手やビジネスパートナーからの恩恵を受けやすく、玉の輿に乗ったり、共同事業で大きな利益を得たりと、他者との関わりの中で財産が拡大していきます。</t>
  </si>
  <si>
    <t>腰回り、腎臓、泌尿器系に不調が出やすい傾向があります。他人に気を遣いすぎて精神的な疲労を溜め込みやすいため、美しい音楽を聴いたり、センスの良い空間でアフタヌーンティーを楽しむなど、自分にご褒美を与える優雅な時間が必要です。また、水分代謝が滞りやすいため、質の良い水をたっぷりと飲み、老廃物をしっかりとデトックスすることが健康と美しさを保つ秘訣です。</t>
  </si>
  <si>
    <t>さそり座</t>
  </si>
  <si>
    <t>表面的な物事には決して誤魔化されず、深層心理や物事の核心、隠された真実を鋭く見抜く並外れた洞察力を持っています。普段は物静かで秘密主義な印象を与えますが、内面にはマグマのような激しい情熱と、何度挫折しても必ず蘇る「不死鳥」のような驚異的な回復力を秘めています。中途半端を嫌い、これと決めた目標に対しては命懸けで取り組む執念深さと圧倒的な集中力で、不可能を可能にします。</t>
  </si>
  <si>
    <t>研究職、心理カウンセラー、金融、調査員、葬祭業など、物事の深部や人間の生死、裏側に深く関わる仕事で特殊な才能を発揮します。浅く広く業務をこなすよりも、一つの専門分野を徹底的に掘り下げ、誰も到達できないレベルのオタク的な知識と技術を身につけることで、業界内でのカリスマ的な地位を確立します。危機的な状況に陥るほど、その凄まじい底力が覚醒します。</t>
  </si>
  <si>
    <t>「オール・オア・ナッシング」の極端な恋愛観を持ち、命を燃やすような深く運命的な魂の結びつきを求めます。一度心を開き愛した相手に対しては、自分を犠牲にしてでも尽くし抜く強烈な愛情と絶対的な忠誠心を捧げます。その分、裏切りは絶対に許さず、嫉妬心や独占欲も人一倍強くなります。結婚すれば、どんな苦難があってもパートナーと運命を共にし、強固で切り離せない絆の家庭を築きます。</t>
  </si>
  <si>
    <t>自らが額に汗して稼ぐお金だけでなく、遺産相続、配偶者の財産、保険金、不労所得など「他者から受け継ぐ財産」に強いご縁がある特殊な金運を持っています。お金の使い方も極端で、普段は全くお金を使わずに質素に暮らしていても、自分が本当に価値を感じたものには一財産をポンと投じるような大胆さがあります。秘密の貯金や投資で、人知れず莫大な資産を築き上げる隠れ富豪の素質があります。</t>
  </si>
  <si>
    <t>生殖器系、泌尿器系、ホルモンバランスなどに注意が必要です。感情を心の奥底に抑え込む癖があるため、それがマグマのように溜まって体内の毒素となり、原因不明の不調として表れることがあります。定期的に半身浴やサウナで汗を流したり、信頼できる相手にだけは本音を吐き出すなど、心と身体の「深いデトックス」を意識的に行うことが、持ち前の生命力を維持する唯一の方法です。</t>
  </si>
  <si>
    <t>いて座</t>
  </si>
  <si>
    <t>未知の世界への探求心と、どこまでも広がる自由を愛する生粋の冒険家としての魂を持っています。過去を振り返らず、常に未来の大きな目標に向かって矢のように飛んでいくポジティブで楽天的な性質です。哲学や海外文化などの高度な学問に惹かれ、束縛や小さなコミュニティのルールを極端に嫌います。時にストレートすぎる発言で周囲を驚かせますが、その裏表のないおおらかさは多くの人に愛されます。</t>
  </si>
  <si>
    <t>出版、マスコミ、旅行業、教育、海外赴任など、物理的・精神的な「移動と拡大」を伴うスケールの大きな仕事が天職です。狭いオフィスで単調な事務作業をしていると完全に運気が停滞します。常に新しい知識を吸収し、それを周囲に広めていく伝道師としての才能があり、自由な裁量を与えられることで、国境や業界の枠を越えたグローバルな大活躍を見せるでしょう。</t>
  </si>
  <si>
    <t>恋愛においても「自由」と「狩りのスリル」を愛します。束縛される関係や、重苦しい依存関係を最も苦手とし、一緒に旅行やスポーツを楽しめ、お互いを成長させ合えるポジティブなパートナーを求めます。交際相手を追いかけている間は情熱的ですが、手に入った途端に冷めてしまうハンター気質な一面も。結婚後も独立した個人としての自由な時間を確保することが、関係を長続きさせる必須条件です。</t>
  </si>
  <si>
    <t>「何とかなるさ」という圧倒的な楽天主義が、不思議と幸運を引き寄せる恵まれた金運の持ち主です。お金を「新しい体験や知識を得るためのチケット」と考えているため、海外旅行や留学、専門的な学びには惜しみなく大金を投じます。貯金は苦手でアップダウンの激しい財運ですが、ギャンブル的な投資や直感的なビジネスが当たって、一攫千金を手にするようなスケールの大きな富の引き寄せ力を秘めています。</t>
  </si>
  <si>
    <t>肝臓、太もも、股関節周辺がウィークポイントです。活動的で常に動き回っているため体力はありますが、楽しいこと（お酒や美食など）に夢中になると限界を超えてやりすぎてしまう傾向があります。肝臓に負担をかけないよう休肝日を設け、休日はアウトドアやスポーツなどで大自然のエネルギーを全身に取り込むことで、肉体的にも精神的にも最高のコンディションを維持できます。</t>
  </si>
  <si>
    <t>やぎ座</t>
  </si>
  <si>
    <t>険しい山を確実に登り詰める野心と、類まれな忍耐力を併せ持つ努力の天才です。若いうちから大人びており、社会的な責任やステータスを非常に重んじます。一攫千金を狙うような無謀な行動は一切取らず、厳格なルールと計画に基づいて、石橋を叩き割るほど慎重に、しかし確実に目標へと近づいていきます。年齢を重ねるごとに実力と権力を手中に収める、大器晩成型の頂点に立つ運命です。</t>
  </si>
  <si>
    <t>大企業、官公庁、政治、伝統産業、経営者など、確固たるピラミッド構造のある環境で最も力を発揮します。野心が非常に強いため、平社員で終わることに満足せず、血の滲むような努力でトップの座を掴み取ります。時間や規律に厳しく、与えられた任務は完璧に遂行するため、上層部からの絶対的な信頼を獲得します。無駄を省き、組織をシステム化して合理的に回す経営手腕は天才的です。</t>
  </si>
  <si>
    <t>恋愛に対しても非常に真面目で古風な価値観を持っており、一時的な感情の盛り上がりよりも「相手の社会的地位」や「将来の生活の安定」を現実的に評価してパートナーを選びます。自分からアプローチするのは苦手で奥手ですが、一度交際を始めれば浮気することなく誠実に関係を育みます。結婚後は、非常に責任感の強い良き夫・良き妻として、盤石な経済基盤を持った堅実な家庭を築き上げます。</t>
  </si>
  <si>
    <r>
      <t>12</t>
    </r>
    <r>
      <rPr>
        <sz val="11"/>
        <color rgb="FF000000"/>
        <rFont val="ＭＳ Ｐゴシック"/>
        <family val="3"/>
        <charset val="128"/>
        <scheme val="minor"/>
      </rPr>
      <t>星座の中でも随一の「手堅く富を築く金運」の持ち主です。無駄遣いや見栄のための浪費を最も嫌い、将来のリスクに備えて若いうちから確実な貯蓄や長期投資を行います。土地や不動産など、価値が消えない実物資産との相性が非常に良く、晩年には周囲が驚くような巨大な財産を形成しているでしょう。時間と共にお金の価値を増大させていく、プロの資産家のような金銭感覚を持っています。</t>
    </r>
  </si>
  <si>
    <t>骨、関節、歯、皮膚などの「身体を支え、守る部分」に不調が出やすい傾向があります。責任感が強すぎて常にプレッシャーを抱え込んでおり、全身の筋肉や関節が緊張で硬くなりがちです。整体やマッサージで定期的に身体のこわばりをほぐし、温泉などで芯から身体を温めることが大切です。また、カルシウムやコラーゲンを意識的に摂取することで、加齢によるトラブルを防ぐことができます。</t>
  </si>
  <si>
    <t>みずがめ座</t>
  </si>
  <si>
    <t>古い常識や不要なルールを打ち破り、未来のビジョンを現実の社会にもたらす革命家としての気質を持っています。国籍、性別、年齢にとらわれない完全なフラットな視点を持ち、論理的で客観的に物事を判断します。集団の中にあってもどこか超然としており、エキセントリックで独特な個性を放ちます。他者と違うことを恐れず、「自分らしさ」を何よりも大切にする天才肌の自由人です。</t>
  </si>
  <si>
    <r>
      <t>IT</t>
    </r>
    <r>
      <rPr>
        <sz val="11"/>
        <color rgb="FF000000"/>
        <rFont val="ＭＳ Ｐゴシック"/>
        <family val="3"/>
        <charset val="128"/>
        <scheme val="minor"/>
      </rPr>
      <t>エンジニア、科学者、フリーランス、</t>
    </r>
    <r>
      <rPr>
        <sz val="11"/>
        <color rgb="FF000000"/>
        <rFont val="ＭＳ Ｐゴシック"/>
        <family val="2"/>
        <scheme val="minor"/>
      </rPr>
      <t>NPO</t>
    </r>
    <r>
      <rPr>
        <sz val="11"/>
        <color rgb="FF000000"/>
        <rFont val="ＭＳ Ｐゴシック"/>
        <family val="3"/>
        <charset val="128"/>
        <scheme val="minor"/>
      </rPr>
      <t>法人、最先端テクノロジーなど、旧態依然とした年功序列のない、革新的で自由な環境が天職です。上司からの不合理な命令には従えないため、実力主義やフラットな組織、あるいは独立して仕事をする方が圧倒的に成功します。常識を覆すような画期的なアイデアでシステムを根底から作り変え、社会全体に大きな影響を与えるイノベーションを起こす才能があります。</t>
    </r>
  </si>
  <si>
    <t>男女のドロドロとした情念や所有欲を嫌い、お互いの人間性や知性をリスペクトし合える「親友のような同志」としての恋愛関係を望みます。束縛されると瞬時に息苦しさを感じて離れていくため、適度な距離感を保てる自立した相手でなければ長続きしません。結婚という制度自体に疑問を持つことも多く、事実婚や週末婚、別居婚など、従来の型にはまらない独自の新しいパートナーシップを築く傾向があります。</t>
  </si>
  <si>
    <r>
      <t>お金という物質そのものに対する執着が薄く、収入の浮き沈みが激しい傾向がありますが、最先端の技術や情報がお金に変わる運命です。仮想通貨や最先端の</t>
    </r>
    <r>
      <rPr>
        <sz val="11"/>
        <color rgb="FF000000"/>
        <rFont val="ＭＳ Ｐゴシック"/>
        <family val="2"/>
        <scheme val="minor"/>
      </rPr>
      <t>IT</t>
    </r>
    <r>
      <rPr>
        <sz val="11"/>
        <color rgb="FF000000"/>
        <rFont val="ＭＳ Ｐゴシック"/>
        <family val="3"/>
        <charset val="128"/>
        <scheme val="minor"/>
      </rPr>
      <t>ビジネス、クラウドファンディングなどで思いがけない大金を手にする可能性があります。自分の趣味や、地球環境、ボランティアなど「未来を良くするための活動」には惜しみなくお金を寄付・投資する、非常にスケールの大きな金銭感覚の持ち主です。</t>
    </r>
  </si>
  <si>
    <t>ふくらはぎ、足首、静脈など、足元の血流にトラブルが出やすい傾向があります。また、脳を常に高速回転させているため、神経のショートによる突発的な自律神経の乱れや不眠に注意が必要です。パソコンやスマホの電磁波から離れ、アーシング（裸足で土や草の上を歩く）など、自然のエネルギーと直接繋がる代替療法を取り入れることで、脳の帯電をリセットし、閃きと健康を取り戻すことができます。</t>
  </si>
  <si>
    <t>うお座</t>
  </si>
  <si>
    <t>境界線を持たない広大な海のように、すべてを包み込む深い共感力と豊かなイマジネーションの持ち主です。他人の痛みや悲しみを自分のことのように吸収してしまうため、非常に優しく、自己犠牲的な精神に溢れています。論理や計算よりも、目に見えないスピリチュアルな世界やインスピレーションを大切にします。現実社会の厳しいルールには傷つきやすい面もありますが、その芸術性と無垢な愛は周囲を深く癒します。</t>
  </si>
  <si>
    <t>音楽、アート、映像制作、占い師、ヒーラー、水商売など、直感とイマジネーション、そして人の感情に深く関わる分野で天才的な才能を発揮します。厳格なノルマや時間に追われる事務作業、冷徹な判断が求められるビジネス環境では精神が摩耗してしまいます。自らの豊かな内面世界を表現し、人々の心を浄化して癒すような、スピリチュアルかつクリエイティブなポジションがまさに天職となります。</t>
  </si>
  <si>
    <t>恋をすること自体に生きがいを感じる、究極のロマンチストです。相手にすべてを委ね、一体化したいという願望が強く、献身的に尽くすことに幸せを感じます。しかし、同情からダメな相手に引っかかってしまったり、流されて関係を持ってしまったりする危険性も秘めているため、相手選びには客観的な視点が必要です。本当に信頼できる相手と結ばれれば、まるでおとぎ話のようにロマンチックで愛に満ちた結婚生活を送ります。</t>
  </si>
  <si>
    <t>現実的なお金の管理や計算が苦手で、お金に対して無頓着なところがありますが、なぜか「お金に困るとどこかから助け船が出る」という、天性の愛され金運を持っています。芸術的なインスピレーションが莫大な富に化けることも。お金を貯め込もうとするよりも、自分を癒すためのアートや音楽、スピリチュアルな体験にお金を循環させることで、直感力がさらに研ぎ澄まされ、結果的に豊かさが引き寄せられてきます。</t>
  </si>
  <si>
    <t>足の裏、リンパ系、免疫系がウィークポイントです。他人が放つネガティブな感情や、その場の悪いエネルギーをスポンジのように吸収して体調を崩しやすい「気当たり」の体質を持っています。一日の終わりには粗塩を入れたお風呂にゆっくり浸かって邪気を祓い、足裏のマッサージでリンパの滞りを流すことが絶対に必要です。また、定期的に海や川など「水」のある場所へ行くことで、生命エネルギーが完全に浄化・充電されます。</t>
  </si>
  <si>
    <t>裏星座名</t>
  </si>
  <si>
    <t>群れることを好まない孤高の完璧主義者としての特性が、あなたの人生の根底を貫く絶対的なテーマです。他人の意見や世間の同調圧力に流されることはなく、自らの内なるルールに絶対の自信を持ち、その信念に従って力強く人生を切り開いていく本質を持っています。集団の中での妥協を嫌うため、時には周囲から孤立しているように見えることもありますが、それはご自身の持つ高い理想と美学を守り抜くための強さの証です。他者に依存することなく、自らの足でしっかりと大地を踏みしめ、自分だけの確固たる価値観と精神世界を構築していくことで、最終的に誰にも真似できないような唯一無二の存在感を放つ大器となります。</t>
  </si>
  <si>
    <t>組織の歯車として細かく管理されたり、他人のペースに合わせて動くことを強いられる環境では、本来の能力が半減してしまいます。あなたの魂が最も輝くのは、自らの判断で自由に動ける裁量権のある単独ポジションや、高度な技術と知識が求められる専門職です。この領域において、持ち前の完璧主義と妥協なき探求心をフルに発揮することで、周囲を圧倒するような成果を上げ、確実に大成する運命を持っています。自分のやり方を貫ける環境さえ整えば、どれほど困難な課題であっても一人で黙々と乗り越え、業界内で絶対的な評価と確固たる地位を築き上げることができる孤高のプロフェッショナルです。</t>
  </si>
  <si>
    <t>恋愛や結婚においても、ベタベタと甘え合うような依存的な関係や、相手のテリトリーに過度に踏み込むような交際を嫌います。あなたが最も理想とするのは、お互いがひとりの人間として自立し、相手の生き方や才能を心から尊敬し合える関係性です。言葉やスキンシップでの表面的な愛情表現よりも、深い部分で結びつく精神的な繋がりを何よりも重視します。パートナーとは人生の同志のような関係を築き、互いの「内なるルール」を侵すことなく適度な距離感を保ちながら、静かで揺るぎない愛情を生涯にわたって育んでいく、非常に成熟した大人のパートナーシップを築き上げます。</t>
  </si>
  <si>
    <t>群れることを好まない孤高の精神は、金運においても「自らの実力のみで富を築き上げる」という力強い独立独歩の財運として表れます。他人の儲け話や流行の投資に安易に乗ることは決してなく、自分自身が持つ専門的なスキルや、裁量権を持って成し遂げた仕事の成果がそのままストレートに収入へと直結します。内なるルールに絶対の自信を持つため、お金の使い方も非常に明確であり、自分が本当に価値を認めた「質の高いもの」には惜しみなく投資しますが、周囲への見栄や無駄な交際費には一切お金を使いません。生涯を通じて、自らの腕一本で磐石な経済基盤を確立する手堅い金運の持ち主です。</t>
  </si>
  <si>
    <t>孤高の完璧主義者であるゆえに、他人に弱みを見せることが苦手で、すべてのプレッシャーやストレスを自分一人で抱え込んでしまう傾向が健康面での最大のウィークポイントとなります。常に「自分の内なるルール」を守ろうと気を張っているため、無意識のうちに神経をすり減らし、頭痛や肩こり、慢性的な疲労感を引き起こしやすい体質です。心身の健康を高い水準でキープするためには、他人の目や社会のルールから完全に離れ、一人きりでリラックスできる「絶対的な孤独の時間」を日常的に確保することが不可欠です。一人の静かな空間で心身を解放し、自らの内面と対話することで驚異的な回復力を見せます。</t>
  </si>
  <si>
    <t>常に新しい刺激を求めるアグレッシブな自由人としての魂が、あなたの人生を色鮮やかに彩ります。ひとつの場所や古い価値観に縛られることを極端に嫌い、自身の好奇心と直感の赴くままに、世界中から多様な経験や情報を吸収していくエネルギッシュな特性を持っています。しかし、単なる飽きっぽい自由人ではなく、独自の視点を着実に形にする堅実さを併せ持っているのがあなたの最大の強みです。斬新なアイデアや得た知識をそのまま終わらせず、現実社会で通用する確かな形へと落とし込むバランス感覚に優れているため、変化を楽しみながらも人生の基盤をしっかりと固めていくことができる、非常に稀有で豊かな運命の持ち主です。</t>
  </si>
  <si>
    <t>抜群の情報収集力を活かし、ひとつの業務に縛られることなく複数の仕事を同時進行させるようなパラレルワークやマルチタスクの環境こそが、あなたにとっての天職となります。ルーチンワークでは本来のアグレッシブな能力が発揮できませんが、常に新しい刺激を求められるプロジェクトや、異なる分野の橋渡しをするようなポジションを与えられると、水を得た魚のように躍動します。独自の視点を着実にビジネスの成果として形にする堅実さがあるため、周囲からは「自由に見えて、絶対に結果を出してくる有能な人物」として高く評価され、変化の激しい現代社会において大成する仕事運を持っています。</t>
  </si>
  <si>
    <t>恋愛や結婚において、重苦しい束縛や旧態依然としたパートナーシップの枠組みを最も嫌います。あなたが心から求めているのは、お互いの自由とプライベートを完全に尊重し合える、風通しの良い友達感覚の楽しい交際です。共通の趣味を楽しんだり、一緒に新しい刺激を求めて未知の場所へ出かけたりできる、フットワークの軽い相手と最高の相性を発揮します。結婚後も所帯染みた関係になることを避け、いつまでも恋人同士や親友同士のように笑い合い、お互いの成長を応援し合える、非常に現代的で自立した明るい家庭を築き上げる運命を持っています。</t>
  </si>
  <si>
    <t>新しい刺激を求めるアグレッシブな行動力と情報収集力が、そのまま多様な金脈を引き寄せる強力な金運の源となります。一つの収入源に依存するのではなく、複数の仕事を同時進行させる才能を活かして、様々なルートから豊かさを手に入れる能力に長けています。新しい体験や交際費への出費は多くなりがちですが、独自の視点を着実に形にする堅実さを併せ持っているため、使ったお金を無駄にせず、必ずそれ以上のリターン（知識、人脈、新たなビジネスチャンス）として回収し、最終的には確固たる豊かな財産を築き上げることができる非常に優秀な財運です。</t>
  </si>
  <si>
    <t>アグレッシブな自由人として常に五感をフル回転させて新しい刺激を吸収し続けているため、本人が自覚している以上に神経や感覚器官に疲労が蓄積しやすい傾向があります。独自の視点を形にするための堅実な作業にもエネルギーを注ぐため、オンとオフの切り替えがうまくいかないと、ある日突然エネルギー切れを起こしてしまうことも。健康を維持するためには、意識的に「情報のインプットを完全に遮断する日」を設け、デジタルデトックスを行うことが非常に有効です。美味しい食事や美しい音楽など、自分自身の五感を優しく労わる時間を持つことで、速やかに活力を取り戻します。</t>
  </si>
  <si>
    <t>人と関わることで魂が最も強く輝く、超・社交型としての華やかな特性を生まれ持っています。常に周囲に人が集まり、あなたの放つ明るいエネルギーと言葉が人々の心を動かしていく、天性のインフルエンサーのような気質です。直感で即座に行動を起こす抜群の機動力を持っており、世の中の空気や次に来る波を誰よりも早く察知して、自らが新たなトレンドを創り出していく開拓者でもあります。停滞や孤独を嫌い、人と人、情報と情報を繋ぎ合わせながら、人生という舞台をハイスピードかつ軽やかに駆け抜け、常に時代の最先端でスポットライトを浴び続けるダイナミックな運命の持ち主です。</t>
  </si>
  <si>
    <t>デスクに縛られて黙々と作業をするような環境は全く肌に合いません。持ち前の超・社交型の特性をフルに発揮できる、営業や企画、広報、マスコミ、イベント制作など、常に変化と刺激に満ち溢れた職場が最適な天職となります。直感で即座に行動を起こす機動力を活かし、前例のない新しいプロジェクトを立ち上げたり、巨大なネットワークを構築してトレンドを創り出すことで、業界内に旋風を巻き起こします。コミュニケーション能力が最大の武器であり、人を巻き込む力によって、若くして大きな成功と名声を手にすることができる極めて強力な仕事運を持っています。</t>
  </si>
  <si>
    <t>恋愛結婚運においても、フットワークの軽さとコミュニケーションの豊かさが前面に出ます。マンネリや退屈を極端に嫌い、恋愛においても常に楽しさと新鮮さを最重視する傾向があります。言葉のキャッチボールがリズミカルにでき、一緒にいて常に新しい発見や刺激を与えてくれる知的なパートナーに強く惹かれます。超・社交型であるため交友関係が広く、パートナーにもその広い世界を理解し共有してもらうことを望みます。結婚後も夫婦の枠に収まりきらず、共通の友人たちとホームパーティーを開くなど、笑顔と会話が絶えない賑やかで風通しの良い家庭を築きます。</t>
  </si>
  <si>
    <t>直感で即座に行動を起こす機動力と、トレンドを創り出す才能が、そのまま「時代の波に乗って大きく稼ぐ」という派手な金運へと直結しています。人と関わることで輝く超・社交型であるため、交際費やファッション、最新の情報への自己投資には出し惜しみをしません。一見すると出費が多いように見えますが、その広く浅く張り巡らせた人脈と情報網から、思いがけない巨大なビジネスチャンスや有益な投資情報を引き寄せる天才です。お金を「人との繋がりと楽しい体験を拡大するためのツール」として循環させることで、さらに大きな富を呼び込む特殊な財運です。</t>
  </si>
  <si>
    <t>常にアンテナを張り巡らせ、人と関わることでエネルギーを放出している超・社交型ゆえに、脳と神経系が常に興奮状態になりやすく、不眠や自律神経の乱れに陥りやすい健康上の弱点を持っています。直感で即座に行動を起こす機動力がある反面、身体の疲れを無視して動き続けてしまうことも。心身の健康を保つためには、「何も考えず、誰とも話さない空白の時間」を意図的にスケジュールに組み込むことが絶対条件です。質の高い睡眠環境を整え、時にはスマートフォンやSNSから完全に離れることで、過熱した神経をクールダウンさせることが長寿の秘訣です。</t>
  </si>
  <si>
    <t>他人に決して無断で踏み込まれない、強固で神聖な「聖域」を心の奥底に持つ孤高の存在です。表面上は穏やかで周囲に合わせているように見えても、内面にはいかなる逆境にも屈しない底知れぬ忍耐力と、世間の理不尽に対する強い反骨精神を秘めています。自分のテリトリーや愛する人々を脅かすものに対しては、徹底的に戦い抜く防衛本能の強さを持っています。容易には人に本性を見せず、真の理解者を得るまでには時間がかかりますが、自らの聖域の中でじっくりと魂を磨き上げ、最終的には誰にも到達できないような深い精神性と実力を身につける大器晩成型の重厚な人生を歩みます。</t>
  </si>
  <si>
    <t>他人のペースや職場のノイズに巻き込まれることを嫌い、自分のペースで深く没頭できる専門分野や職人肌の仕事において、他の追随を許さない絶大な信頼を得ます。底知れぬ忍耐力と反骨精神を活かし、人が投げ出すような困難な課題や、緻密な集中力が求められる業務に黙々と取り組み、完璧な結果を出して見せます。表立って目立つポジションよりも、「この人に任せておけば絶対に間違いない」と言われるような、組織の裏大黒柱や専門家としての地位を確立することで、生涯にわたって揺るぎないキャリアと名誉を築き上げる仕事運です。</t>
  </si>
  <si>
    <t>警戒心が強く、自らの聖域を守ろうとするため、他者に心を開くのには非常に長い時間を必要とします。しかし、厳しい審査を経て一度この人と決めて愛せば、見返りを一切求めない底知れぬ深い愛情を永遠に注ぎ続けるという、究極の愛情深さを持っています。恋愛の延長線上には常に「家族」や「絶対的な味方」としての絆を求めており、遊びの恋には見向きもしません。結婚後はパートナーや子供を自分の神聖なテリトリー内に迎え入れ、どんな自己犠牲を払ってでも家族を守り抜く、非常に強固で温かい愛情に満ちた家庭を築き上げます。</t>
  </si>
  <si>
    <t>他人に踏み込まれない聖域を持つ孤高の性質は、金銭感覚においても非常に保守的で防衛本能の強い形となって表れます。ギャンブルや不確実な投資には一切手を出さず、自分のペースで没頭できる専門分野で確実に稼いだお金を、将来の安心のためにコツコツと蓄積していく能力に並外れたものがあります。底知れぬ忍耐力を持って無駄遣いを徹底的に排除し、家族や自分の城（マイホームなど）を守るための強固な経済的基盤を長年かけて築き上げます。決して派手さはありませんが、晩年になるほど圧倒的な安心感を手にする手堅い金運です。</t>
  </si>
  <si>
    <t>底知れぬ忍耐力を持つがゆえに、ストレスや疲労を限界の限界まで一人で耐え忍んでしまう傾向があり、それが健康面での最大の懸念事項です。他人に踏み込まれない聖域を侵されたり、人間関係で強いストレスを感じると、胃腸などの消化器官にダイレクトに不調が現れやすい体質を持っています。健康を維持するためには、絶対に誰にも邪魔されない自分だけのリラックス空間（自室や趣味の場所）を整え、そこに引きこもって感情を完全にリセットする時間を定期的に確保することが、心身のバランスを保つための最重要課題となります。</t>
  </si>
  <si>
    <t>あなたの魂の中には、燃えたぎるような激しい情熱と、芸術家のように繊細で傷つきやすい感性が奇跡的なバランスで同居しています。他人の評価や世間の常識よりも、「自分自身が心から納得できるかどうか」を人生のすべての判断基準において最重視する、極めて純度の高い美学を持っています。一度目標を定めれば、いかなる困難が立ちはだかろうとも、その情熱の炎で障害を焼き尽くし、我が道を堂々と切り開いていく圧倒的なカリスマ性と主役としての運命を背負っています。その劇的な生き様は、多くの人々に強烈なインスピレーションと感動を与え続けるでしょう。</t>
  </si>
  <si>
    <t>組織のルールや他人の指示に従属する環境では、あなたの燃えたぎる情熱と芸術家のような繊細さが完全に死んでしまいます。己の美学を一切の妥協なく貫ける、フリーランスやクリエイター、芸術家、あるいは企業のトップといった独立したポジションが最適にして唯一の天職です。自分が納得できるかを最重視して仕事に向き合うため、生み出される作品や成果は常人の域をはるかに超えたクオリティとなり、熱狂的なファンや支持者を獲得します。我が道を切り開くその姿勢が、最終的に業界内での絶対的な王者の地位を約束します。</t>
  </si>
  <si>
    <t>恋愛や結婚においては、まるで映画のワンシーンのようなドラマチックな展開を強く好みます。自分が納得できる相手に出会うと、燃えたぎる情熱のすべてを傾けて、非常にストレートで情熱的に愛を貫き通します。プライドが高く芸術家のような繊細さを持つため、自分の美学を心から理解し、特別扱いして称賛してくれるパートナーを必要とします。結婚後も所帯染みた退屈な日常を嫌い、記念日には豪華なサプライズを用意するなど、いつまでも恋人同士のような華やかでロマンチックな関係を維持するために全力を尽くす愛情深い気質です。</t>
  </si>
  <si>
    <t>我が道を切り開く圧倒的なエネルギーは、富を引き寄せる力も非常にダイナミックです。自分が納得できる美学を貫くためには、自己投資や作品作り、あるいは自分のステータスを高めるための華やかな支出（ファッションや交際費など）を一切惜しみません。しかし、その燃えたぎる情熱が込められた活動そのものが巨大な価値を生み出し、使った金額の何倍もの富となって還ってくるという、非常にスケールの大きな「投資回収型」の金運を持っています。自らのブランド価値を高めることで、限界のない富を築き上げる可能性を秘めています。</t>
  </si>
  <si>
    <t>燃えたぎる情熱の赴くままに、自分の限界を超えて活動し続けてしまうため、突然のエネルギー切れ（バーンアウト）に陥りやすい危険性をはらんでいます。また、芸術家のような繊細さゆえに、自分の美学が理解されない時の精神的なダメージが心臓や血流などの循環器系に負担をかけやすい傾向があります。健康運を高く保つためには、意識的に情熱の炎を休ませる「完全オフの日」を作ること。美しい自然や一流の芸術に触れて繊細な感性を優しく満たし、自尊心を回復させる時間を持つことが最大の予防線となります。</t>
  </si>
  <si>
    <t>世間の常識や古い慣習に一切囚われることのない、非常に柔軟で博愛主義的な美しい魂を持っています。まるで水が器に合わせて形を変えるように、いかなる困難な環境や複雑な人間関係の中にも見事に適応し、その場に調和をもたらす天性のサバイバル能力と優しさを備えています。あなたの人生の最大のモチベーションは「他者に尽くし、貢献すること」であり、見返りを求めない無償の愛の精神を持っています。その自己犠牲的とも言える優しさは、巡り巡ってあなた自身を強固に守る見えないバリアとなり、多くの人々から深く愛され、必要とされる非常に温かく豊かな人生を歩みます。</t>
  </si>
  <si>
    <t>自分が表舞台に立って目立つことよりも、他者を裏から支えることに至上の喜びを感じるため、医療、福祉、教育、人事など、人を直接サポートし、組織やチームを円滑に回す調整役としてのポジションがまさに天職となります。常識に囚われない柔軟な視点を持っているため、どんなに複雑なトラブルや人間関係の摩擦も、あなたの手にかかれば見事に解決へと導かれます。相手が何を求めているかを瞬時に察知して尽くす能力は天才的であり、どんな職場においても「絶対に欠かすことのできない最重要人物」として重宝され、確固たる地位を築きます。</t>
  </si>
  <si>
    <t>恋愛や結婚においても、相手に献身的に尽くし、パートナーが喜ぶ顔を見ることに至上の喜びを感じるという、究極の奉仕型の愛情を持っています。常識に囚われない柔軟で博愛主義的な特性は、相手の欠点や弱さすらもすべて受け入れ、優しく包み込む深い母性（父性）として表れます。しかし、どんな環境にも適応し尽くしてしまうがゆえに、依存心の強い相手を引き寄せてしまうリスクも秘めています。あなたの無償の愛に心から感謝し、対等な思いやりのキャッチボールができる誠実な相手を選ぶことで、この上なく穏やかで幸せな家庭を築くことができます。</t>
  </si>
  <si>
    <t>人に尽くすことを喜びとし、自分自身の欲望を満たすためにお金を稼ぐことへの執着が薄いため、一見すると派手な蓄財には縁遠いように見えます。しかし、常識に囚われない柔軟で博愛主義的な行動が多くの人の心を動かし、あなたが困った時には必ずどこかから強力な援助者やスポンサーが現れるという、非常に恵まれた「他力本願で守られる金運」を持っています。医療や福祉など人をサポートする調整役として社会に貢献することで、巡り巡って宇宙の法則のように豊かさがあなたのもとへ還元され、生涯にわたりお金に困ることのない不思議な財運です。</t>
  </si>
  <si>
    <t>どんな環境にも適応し、人に尽くすことを喜びとする共感能力の高さゆえに、他人の悩みやネガティブな感情までも自分のことのようにスポンジのように吸収してしまい、精神的・肉体的な疲労を深く溜め込んでしまう体質です。常識に囚われない柔軟さで無理をしてしまうため、胃腸や自律神経にストレスのサインが現れやすくなります。健康を維持するためには、他人と自分の感情の境界線を明確に引く意識を持つことが最重要です。定期的に自然豊かな場所へ赴き、一人きりで深呼吸をして他者のエネルギーを体内から完全にデトックスする習慣を取り入れてください。</t>
  </si>
  <si>
    <t>独自の研ぎ澄まされた論理的思考力と、周囲を温かく包み込む人情味あふれるリーダーシップを絶妙なバランスで隠し持つ、非常にスケールの大きな運命の持ち主です。一人の力で完結するのではなく、多様な価値観を持つ人々を巧みに巻き込み、連携させることで、誰も想像し得なかったような巨大な目標を達成していく並外れたカリスマ性を備えています。冷静な計算と熱い情熱の両輪を回しながら、常に全体の調和を図り、関わるすべての人に利益をもたらすことができるあなたは、社会において真の成功者としての道を力強く歩んでいく生粋のトップランナーです。</t>
  </si>
  <si>
    <t>個人の作業に没頭するよりも、プロデュース業やマネジメント業、プロジェクトリーダーといった、全体を俯瞰して人を動かすポジションにおいてその才能を爆発させます。独自の論理に基づいて完璧な戦略を組み立てる一方で、現場の人間に対しては人情味あふれるリーダーシップで接するため、部下や仲間からの絶大な信頼と協力を得ることができます。人を巻き込んで大きな目標を達成する天才的な手腕により、どんなに困難なビジネスであっても必ず成功へと導き、業界内で揺るぎない権威と名声を獲得する非常に強力な仕事運です。</t>
  </si>
  <si>
    <t>争いごとやドロドロとした感情のぶつけ合いを極端に嫌い、常に平和で穏やかな関係を好むロマンチストです。持ち前の人情味と、相手の気持ちを先回りして察する細やかな気配りを欠かさないため、異性からは非常にモテるという強力な引き寄せの運命を持っています。多くの出会いに恵まれますが、結婚後は持ち前の独自の論理によるバランス感覚を発揮し、感情的な衝突の少ない、非常に洗練されて落ち着いた夫婦関係を築き上げます。パートナーの才能を見抜き、プロデュースして共に成功していくような、相乗効果を生む最高の伴侶となります。</t>
  </si>
  <si>
    <t>人を巻き込んで大きな目標を達成するその卓越した能力が、そのまま巨大な富の源泉となります。一人で稼ぐ金額には限界がありますが、あなたは独自の人情味あふれるリーダーシップで多くの協力者やビジネスパートナーを引き寄せ、組織やチーム全体で莫大な利益を生み出す「乗数効果の金運」を持っています。交際費や人への投資にはお金がかかりますが、気配りを欠かさないその姿勢が強固な人脈という最高の資産となり、後になって何倍にもなって大きな財として還元されるため、生涯を通じてスケールの大きな豊かさを享受することができます。</t>
  </si>
  <si>
    <t>人を巻き込み、常に平和で穏やかな関係を保とうと気を配り続けるため、本人が無自覚なうちに精神的な疲労と対人ストレスを極限まで溜め込んでしまう傾向があります。人情味あふれるリーダーシップを発揮する裏で、腰や腎臓といった身体のバランスを司る器官に負担がかかりやすいのが弱点です。健康運を高い水準で維持するためには、あえて「誰にも気を遣わずに、論理も人情もすべて手放す怠惰な時間」を意図的に作ることが不可欠です。美しい芸術に触れたり、上質なマッサージを受けることで、乱れた心身のバランスを優雅にリセットしてください。</t>
  </si>
  <si>
    <t>周囲の状況や場の空気を敏感に読み取り、環境に合わせて自らをカメレオンのように変化させることのできる、驚異的な模倣能力と適応力を持った深い魂の持ち主です。決して最初から派手に目立つことはありませんが、裏で緻密な計算と準備を重ね、一歩ずつ確実に実績を積み上げていく筋金入りの大器晩成型の運命を背負っています。表向きは柔軟に見えても、内面には絶対に諦めない強烈な執念と野心を秘めており、長い時間をかけて最終的にはライバルをすべてごぼう抜きにし、したたかに頂点の座を手中に収める恐るべき底力を持っています。</t>
  </si>
  <si>
    <t>優れたロールモデルやメンターを見つけ出し、その技術や思考法を完全に吸収してしまう模倣能力を活かせる仕事が天職となります。一発逆転を狙うようなギャンブル性の高いビジネスではなく、地道な作業の積み重ねがそのまま評価に直結する専門職や研究分野において、一歩ずつ確実に実績を積み上げ、最終的に誰にも揺るがすことのできない確固たる地位を築きます。場の空気を読み取る能力が高いため、組織内の政治力学にも巧みに適応し、大器晩成型として年齢を重ねるごとに重役や絶対的な権力者としてのポジションを確立していく、非常に手堅く強力な仕事運です。</t>
  </si>
  <si>
    <t>恋愛においては、一時の感情の盛り上がりや危険な恋の駆け引きには見向きもせず、常に相手の人間性や将来の生活を見据えた誠実で安定した関係を好みます。場の空気を読み取り自らを変化させることができるため、パートナーの理想に合わせて自分を最適化する献身的な一面を見せます。一歩ずつ確実に愛を育む大器晩成型の恋愛観を持つため、結婚に対しても非常に慎重ですが、一度結ばれれば絶対に裏切ることなく、どんな困難があっても家族を守り抜き、長年にわたって揺るぎない信頼関係と強固な絆の家庭を築き上げます。</t>
  </si>
  <si>
    <t>一歩ずつ確実に実績を積み上げる大器晩成型の特性は、金運においても最も強力な「蓄財能力」として発揮されます。一攫千金を夢見ることはなく、地道な作業で確固たる地位を築く中で得た収入を、無駄遣いすることなく徹底的に管理し、コツコツと複利で増やしていく天才です。場の空気を読み取る洞察力が、経済の動向や確実な投資先を見極める力として働き、晩年になる頃には周囲が驚愕するような莫大な財産を人知れず築き上げている「隠れ富豪」となる可能性を秘めた、極めて安定感のある生涯無敵の金運です。</t>
  </si>
  <si>
    <t>場の空気を読み取り自らを変化させるという高度な適応能力を日常的に使っているため、本当の自分の感情やストレスを心の奥底に抑え込んでしまい、それが体内の毒素となって蓄積しやすい体質です。一歩ずつ確実に実績を積み上げるための過度な忍耐が、生殖器系や免疫系の不調としてある日突然表面化することがあります。健康を維持するためには、溜め込んだ感情を安全に吐き出せる場所（日記や、絶対に信頼できる少数の友人）を持つことと、サウナやデトックス効果のある食事で、心身に蓄積した見えない老廃物を定期的に排出することが生命線の要となります。</t>
  </si>
  <si>
    <t>古き良き伝統や歴史、先人たちの知恵を深く重んじる、非常に真面目で学習意欲旺盛な優等生としての気高い魂を持っています。感情論や目先の利益に振り回されることなく、物事の本質を的確に捉える高い論理的思考力と、どんな複雑な状況にも対応できる優れた適応力を武器に、人生の壁を着実かつスマートに乗り越えていきます。常に自己研鑽を怠らないその姿勢は、年齢を重ねるごとに知識と経験の重厚なオーラとなり、周囲からの尊敬を集めながら、社会的な信頼という揺るぎない城を築き上げていく高潔な運命の持ち主です。</t>
  </si>
  <si>
    <t>高い論理的思考力と適応力を最大限に活かせる、研究職や教育分野、データ分析、企業の戦略立案などの知的労働において、他の追随を許さない圧倒的な能力が輝きます。伝統や歴史を重んじる真面目で学習意欲旺盛な優等生であるため、組織のルールやコンプライアンスを厳守し、絶対にミスの許されない重要なポジションで重宝されます。物事を深く探求し、得た知識を論理的に体系化して後進に伝える能力にも長けており、最終的にはその分野の第一人者や、組織の命運を握る最高頭脳（参謀）として大成する極めてエリート気質な仕事運です。</t>
  </si>
  <si>
    <t>直感や情熱だけで突き進むような危険な恋愛は好まず、お互いの知識や世界観を深いレベルで共有できる、尊敬を伴う精神的な恋愛を強く望みます。真面目で学習意欲旺盛なため、デートでも美術館巡りや歴史的建造物の探訪など、知的好奇心を満たせる時間を好みます。高い論理的思考力を持つパートナーと議論を交わし、切磋琢磨しながら成長し合える関係が理想です。結婚に対しても非常に責任感が強く、伝統や家族の絆を重んじるため、生涯にわたって誠実で倫理観の高い、周囲の模範となるような安定した家庭を築き上げます。</t>
  </si>
  <si>
    <t>真面目で学習意欲旺盛な優等生としての緻密な計算と計画性が、そのまま手堅く確実な金運の基盤となります。高い論理的思考力を駆使して経済の動向や金融の仕組みを徹底的に学び、リスクを最小限に抑えた長期的な資産運用で確実に財を増やしていく能力に長けています。ギャンブルや衝動買いといった不合理な出費を極端に嫌いますが、自身の知識をアップデートするための教育費や資格取得といった「自己投資」には惜しみなくお金を使い、それが後により大きな収入となって確実に還ってくるという、知性が富を生み出す理想的な財運です。</t>
  </si>
  <si>
    <t>真面目で学習意欲旺盛な優等生であるがゆえに、常に頭脳をフル回転させて論理的に物事を考えており、脳疲労や首・肩の極度な緊張を引き起こしやすい傾向があります。高い適応力でどんなストレス環境にも耐えてしまいますが、肝臓や太もも周辺に疲れのサインが現れやすくなります。健康運をキープするためには、意図的に「論理的思考を完全に停止させる時間」を作ることが最大の処方箋です。自然豊かな歴史ある神社仏閣を散策したり、デジタルデバイスから離れて軽い運動で身体を動かし、頭に上った血を全身に巡らせる習慣が長寿の秘訣です。</t>
  </si>
  <si>
    <t>冷静な判断力と、決して遊び心を忘れない軽やかさを絶妙なバランスで兼ね備えた、非常にクレバーな創設者（ファウンダー）としての魂を持っています。既存の枠組みや他人のルールに縛られることを良しとせず、独立心が極めて強いため、自らの知略と行動力のみを武器に、一代にして独自の巨大な城を築き上げる知的な勝負師としての運命を背負っています。冷徹にリスクを計算する一方で、周囲を惹きつけるユーモアと愛嬌を併せ持つため、敵を作らずにしたたかに頂点へと登り詰める、圧倒的なカリスマと実力者の素質を秘めています。</t>
  </si>
  <si>
    <t>「ゼロから生み出す初代運」を非常に強力に持っており、他人の下で働くよりも、起業や新規プロジェクトの立ち上げ、独立開業において驚異的な大成功を収める天職の持ち主です。遊び心を忘れないクレバーな創設者として、誰も思いつかなかったような斬新なビジネスモデルを構築し、独立心が強く自らの手で市場を開拓していきます。最悪の事態を想定する知的な勝負師としての緻密な戦略と、勝負所で一気に攻め込む度胸を併せ持っているため、いかなる激動のビジネス環境においても必ず生き残り、業界の覇者となる力強い仕事運です。</t>
  </si>
  <si>
    <t>恋愛や結婚においては非常に理想が高く、自分と同等かそれ以上の知性、野心、そして独立心を持つ相手に強く惹かれます。ベタベタと依存し合う関係を嫌い、お互いの生き方やビジネスの才能を心からリスペクトし合える、洗練された大人の恋愛関係を好みます。遊び心を忘れないクレバーさがあるため、会話のセンスやユーモアの波長が合うことも重要な条件です。結婚後も夫婦という枠に囚われず、お互いが自立した「最強のビジネスパートナー」のような同志としての強い結束力と信頼で結ばれた、非常に現代的でスマートな家庭を築きます。</t>
  </si>
  <si>
    <t>ゼロから生み出す初代運が、そのまま「莫大な富を一代で築き上げる」という極めて強力な金運へと直結しています。知的な勝負師として投資やビジネスで大きなお金を動かす圧倒的な胆力を持っており、ピンチをチャンスに変えて巨額の利益を生み出す天性の勝負強さがあります。お金を単なる目的ではなく「自らの独立心を満たし、新しい世界を創設するための最強のツール」として効果的に使う術を熟知しているため、生涯を通じて巨万の富を動かし、経済的な自由と絶対的な権力を手中に収めることができる大富豪の財運です。</t>
  </si>
  <si>
    <t>独立心が強く自らの力で一代を築き上げる過程で、目標達成のために睡眠や食事を犠牲にして限界まで働き続けてしまう、極端なワーカーホリックに陥りやすい健康上の弱点があります。知的な勝負師として常に極度のプレッシャーと戦っているため、骨や関節、歯、皮膚といった「身体の防波堤」となる部分にストレスのサインが出やすくなります。健康を長く維持するためには、遊び心を忘れないという本来の特性をプライベートで意図的に発動させ、一切のビジネスを忘れて純粋に趣味やスポーツに没頭する「脳の強制シャットダウン」の時間を確保することが命綱となります。</t>
  </si>
  <si>
    <t>自分が楽しむだけでなく、周囲の人々を心の底から楽しませ、笑顔にすることに自らの全エネルギーを注ぎ込む、カリスマ的なエンターテイナーとしての華麗な魂を持っています。ユーモアと知性に溢れ、決して深刻ぶりすぎることなく、明るく知的に人生を謳歌するそのポジティブな姿は、性別や年齢を問わず多くの人々を強烈に惹きつける磁力を持っています。常識や古い慣習にとらわれない自由な発想力で、関わるすべての人に驚きと感動を与えながら、自分自身の人生そのものを壮大なエンターテインメントとして昇華させていく、非常に魅力的でスケールの大きな運命です。</t>
  </si>
  <si>
    <t>裏方で黙々と作業をするような環境では、あなたの才能は完全に枯渇してしまいます。サービス業やエンタメ業、マスコミ、広報など、あなたの個性とセンスが直接人々の目に触れる、目立つポジションにおいて圧倒的な輝きを放ちます。人を楽しませることに全力を注ぐカリスマ的エンターテイナーとしての天性の魅力を発揮し、周囲をワクワクさせるような斬新な企画を次々と打ち出すことで、若くして大抜擢を受けます。明るく知的に人生を謳歌するそのポジティブなエネルギーが組織全体を牽引し、業界のスターダムへと一気に駆け上がる華やかな仕事運です。</t>
  </si>
  <si>
    <t>恋愛結婚運においても「驚き」と「喜び」を提供することを至上の愛の表現とします。パートナーに喜んでもらうためにサプライズを企画し、一緒に心の底から笑い合える仲間のような、非常に風通しの良い恋愛関係が理想です。明るく知的に人生を謳歌する特性から、重苦しい束縛やドロドロとした嫉妬を極端に嫌います。お互いの自由と個性を完全に尊重し合える自立した相手と結ばれることで、結婚後も生活の垢にまみれることなく、いつまでも親友同士や遊び仲間の延長のような、笑顔の絶えないフレッシュで明るい家庭を築き上げます。</t>
  </si>
  <si>
    <t>「お金は人生を最高に楽しむためのチケットである」という哲学を持っているため、明るく知的に人生を謳歌するための旅行やイベント、交際費などにパッと大金を使ってしまう傾向があります。しかし、人を楽しませることに全力を注ぐカリスマ的エンターテイナーとしてのあなたの周りには常に人が集まり、その巨大な人脈がそのまま強力な金脈に変化するという、非常に恵まれた「お金に愛される運」を持っています。楽しいことにお金を循環させるほど、思いがけない大きなビジネスチャンスや援助が舞い込み、使った以上の豊かさが後から倍返しで還ってくる不思議な財運です。</t>
  </si>
  <si>
    <t>常に周囲の空気を読み、人を楽しませることに全力を注ぐカリスマ的エンターテイナーゆえに、本人が気づかないうちに神経のエネルギーを過剰に消費し、極度に疲弊してしまうことがあります。明るく知的に人生を謳歌する反面、ふくらはぎや足首、また自律神経系に目に見えない疲労が蓄積しやすい体質です。心身のテンションを健康な状態に保つためには、一日の終わりに必ず「誰の目も気にせず、ただ一人で静かに過ごすオフの時間」を持つことが絶対条件です。質の高い入浴やマッサージで心身を完全に鎮めることで、翌日には再び圧倒的なカリスマ性が復活します。</t>
  </si>
  <si>
    <t>境界線を持たない広大な海のようにすべてを包み込む優しさを持ちながら、同時に妥協を一切許さない極めて厳格で気高い理想主義者としての魂を併せ持っています。世俗的な汚れや不正を嫌い、純粋で美しい精神世界を追求し続けるその姿は、周囲から崇高な存在として畏敬の念を抱かれます。圧倒的な優しさの中に決して折れることのない鋭い剣を隠し持ち、自らの信じる正義や理想を現実世界で体現しようと闘い続ける、非常に精神性の高い重厚な運命の持ち主です。その高潔な生き様は、人々の魂に深い感動と影響を与え続けます。</t>
  </si>
  <si>
    <t>世間の常識や利益至上主義のビジネス環境では息苦しさを感じてしまいます。妥協を許さない極めて厳格で気高い理想主義者としての特性が最大限に評価される、独自の精神世界を表現できる芸術分野や、高度な専門性と倫理観が求められるプロフェッショナルな仕事において、他の追随を許さない孤高の地位を築き上げます。優しさの中に決して折れない鋭い剣を隠し持ち、ひとつの技術や表現をストイックに極め尽くすその姿勢は、やがて業界内で唯一無二のカリスマとして絶大な尊敬を集め、歴史に名を残すような偉業を成し遂げる仕事運です。</t>
  </si>
  <si>
    <t>表面的な条件やルックス、物質的な豊かさでのマッチングには一切興味を示しません。あなたが恋愛や結婚において最も深く探求するのは、魂レベルで深く共鳴できる、運命的で純粋な愛の形です。妥協を許さない気高い理想主義者であるため、パートナー選びには非常に厳しい基準を持ちますが、一度この人だと魂で決めた相手に対しては、自らのすべてを捧げるような究極の優しさと献身を注ぎ込みます。結婚後は、世俗の喧騒から離れた二人だけの美しく神聖な精神世界を共有し、言葉を超えた深い信頼と愛情で結ばれる、極めてロマンチックな家庭を築きます。</t>
  </si>
  <si>
    <t>物質的な豊かさやお金そのものへの執着が非常に薄く、「精神的な満足」と「高い理想の追求」を人生の至上命題としているため、一般的な蓄財の概念からは少し外れた金運を持っています。しかし、妥協を許さない極めて厳格で気高い理想主義者として、独自の精神世界を表現する芸術分野やプロフェッショナルな仕事を極め尽くした結果、それが計り知れない価値を生み出し、後から莫大な富が自然と引き寄せられてくるという「後追い型の巨大な財運」を秘めています。自らの美学に投資し続けることが、結果的に最高の金銭的リターンを生み出します。</t>
  </si>
  <si>
    <t>気高い理想と、決して思い通りにはならない現実社会とのギャップに常に直面するため、精神的な葛藤や深いストレスを抱えやすく、それが足の裏やリンパ系、免疫系の不調として表れやすい非常にデリケートな体質を持っています。優しさの中に鋭い剣を隠し持ち、常に気を張って闘っている魂を休ませるためには、音楽、アート、アロマテラピーなど、五感を癒す純粋で美しいものに触れる時間を日常の最優先事項として確保することが不可欠です。また、水辺の自然に触れることで体内に溜まったネガティブなエネルギーが浄化され、本来の生命力を取り戻すことができます。</t>
  </si>
  <si>
    <t>アスペクト</t>
    <phoneticPr fontId="3"/>
  </si>
  <si>
    <t>タイプ名</t>
  </si>
  <si>
    <r>
      <t xml:space="preserve">1-1 </t>
    </r>
    <r>
      <rPr>
        <sz val="11"/>
        <color rgb="FF000000"/>
        <rFont val="ＭＳ Ｐゴシック"/>
        <family val="3"/>
        <charset val="128"/>
        <scheme val="minor"/>
      </rPr>
      <t>全体の特性</t>
    </r>
  </si>
  <si>
    <r>
      <t xml:space="preserve">1-2 </t>
    </r>
    <r>
      <rPr>
        <sz val="11"/>
        <color rgb="FF000000"/>
        <rFont val="ＭＳ Ｐゴシック"/>
        <family val="3"/>
        <charset val="128"/>
        <scheme val="minor"/>
      </rPr>
      <t>葛藤パターン</t>
    </r>
  </si>
  <si>
    <r>
      <t xml:space="preserve">1-3 </t>
    </r>
    <r>
      <rPr>
        <sz val="11"/>
        <color rgb="FF000000"/>
        <rFont val="ＭＳ Ｐゴシック"/>
        <family val="3"/>
        <charset val="128"/>
        <scheme val="minor"/>
      </rPr>
      <t>開運パターン</t>
    </r>
  </si>
  <si>
    <r>
      <t>0°</t>
    </r>
    <r>
      <rPr>
        <sz val="11"/>
        <color rgb="FF000000"/>
        <rFont val="ＭＳ Ｐゴシック"/>
        <family val="3"/>
        <charset val="128"/>
        <scheme val="minor"/>
      </rPr>
      <t>（コンジャンクション）</t>
    </r>
    <phoneticPr fontId="3"/>
  </si>
  <si>
    <r>
      <t>【完全シンクロ型】</t>
    </r>
    <r>
      <rPr>
        <sz val="11"/>
        <color rgb="FF000000"/>
        <rFont val="ＭＳ Ｐゴシック"/>
        <family val="2"/>
        <scheme val="minor"/>
      </rPr>
      <t/>
    </r>
    <phoneticPr fontId="3"/>
  </si>
  <si>
    <r>
      <t>表と裏が完全に同じ星座に位置する、純度</t>
    </r>
    <r>
      <rPr>
        <sz val="11"/>
        <color rgb="FF000000"/>
        <rFont val="ＭＳ Ｐゴシック"/>
        <family val="2"/>
        <scheme val="minor"/>
      </rPr>
      <t>100%</t>
    </r>
    <r>
      <rPr>
        <sz val="11"/>
        <color rgb="FF000000"/>
        <rFont val="ＭＳ Ｐゴシック"/>
        <family val="3"/>
        <charset val="128"/>
        <scheme val="minor"/>
      </rPr>
      <t>の配置です。</t>
    </r>
  </si>
  <si>
    <r>
      <t>社会で見せる「表の顔」と、魂の深層にある「裏の顔」が全く同じ性質を持つ、極めて純度の高い配置です。心の中に一切の矛盾や裏表が存在せず、自分の直感や欲求に対してどこまでもストレートに生きることができます。周囲からは「何を考えているかわかりやすく、嘘をつかない誠実な人」として圧倒的な信頼を集めます。エネルギーの方向が完全に一つにまとまっているため、目標が定まった時の突破力や一点集中のパワーは全</t>
    </r>
    <r>
      <rPr>
        <sz val="11"/>
        <color rgb="FF000000"/>
        <rFont val="ＭＳ Ｐゴシック"/>
        <family val="2"/>
        <scheme val="minor"/>
      </rPr>
      <t>144</t>
    </r>
    <r>
      <rPr>
        <sz val="11"/>
        <color rgb="FF000000"/>
        <rFont val="ＭＳ Ｐゴシック"/>
        <family val="3"/>
        <charset val="128"/>
        <scheme val="minor"/>
      </rPr>
      <t>パターンの中で群を抜いて最強です。自分の信じた道を一直線に突き進むカリスマ性を秘めています。</t>
    </r>
  </si>
  <si>
    <r>
      <t>心の中に「もう一人の自分（客観視する別の視点）」が存在しないため、良くも悪くもオンオフの切り替えが非常に苦手です。一度壁にぶつかったり、深刻なダメージを受けたりすると、別の視点から物事を捉え直す「逃げ道」や「クッション」がないため、心身ともに極限まで追い詰められてポキッと折れてしまう危険性があります。また、自分の考えが</t>
    </r>
    <r>
      <rPr>
        <sz val="11"/>
        <color rgb="FF000000"/>
        <rFont val="ＭＳ Ｐゴシック"/>
        <family val="2"/>
        <scheme val="minor"/>
      </rPr>
      <t>100%</t>
    </r>
    <r>
      <rPr>
        <sz val="11"/>
        <color rgb="FF000000"/>
        <rFont val="ＭＳ Ｐゴシック"/>
        <family val="3"/>
        <charset val="128"/>
        <scheme val="minor"/>
      </rPr>
      <t>正しいと思い込みやすいため、自分と異なる意見や価値観を持つ相手に対して、無意識のうちに排他的になったり、周囲が見えなくなるほどの激しい思い込みに囚われることも少なくありません。</t>
    </r>
  </si>
  <si>
    <t>あなたにとって「バランス良く器用に生きよう」とすることは逆効果です。自分の内側から湧き上がる強烈な情熱や純粋さを、決して曲げずに貫き通すことこそが最大の開運アクションとなります。圧倒的な熱量で一つの分野を極めるスペシャリストを目指してください。ただし、自分には死角（見えていない別角度の視点）があることを自覚し、自分とは全く違うタイプの意見を冷静に教えてくれる、信頼できる相談役やパートナーを意図的に身近に置くことで、あなたの運命はより強固で折れないものへと飛躍していきます。</t>
  </si>
  <si>
    <r>
      <t>30°</t>
    </r>
    <r>
      <rPr>
        <sz val="11"/>
        <color rgb="FF000000"/>
        <rFont val="ＭＳ Ｐゴシック"/>
        <family val="3"/>
        <charset val="128"/>
        <scheme val="minor"/>
      </rPr>
      <t>（セミセクスタイル）</t>
    </r>
    <phoneticPr fontId="3"/>
  </si>
  <si>
    <r>
      <t>【マイナーアップデート型】</t>
    </r>
    <r>
      <rPr>
        <sz val="11"/>
        <color rgb="FF000000"/>
        <rFont val="ＭＳ Ｐゴシック"/>
        <family val="2"/>
        <scheme val="minor"/>
      </rPr>
      <t/>
    </r>
    <phoneticPr fontId="3"/>
  </si>
  <si>
    <r>
      <t>表と裏が「</t>
    </r>
    <r>
      <rPr>
        <sz val="11"/>
        <color rgb="FF000000"/>
        <rFont val="ＭＳ Ｐゴシック"/>
        <family val="2"/>
        <scheme val="minor"/>
      </rPr>
      <t>1</t>
    </r>
    <r>
      <rPr>
        <sz val="11"/>
        <color rgb="FF000000"/>
        <rFont val="ＭＳ Ｐゴシック"/>
        <family val="3"/>
        <charset val="128"/>
        <scheme val="minor"/>
      </rPr>
      <t>つ隣」の星座に位置し、段階的な成長を促す配置です。</t>
    </r>
  </si>
  <si>
    <r>
      <t>表の顔の「</t>
    </r>
    <r>
      <rPr>
        <sz val="11"/>
        <color rgb="FF000000"/>
        <rFont val="ＭＳ Ｐゴシック"/>
        <family val="2"/>
        <scheme val="minor"/>
      </rPr>
      <t>1</t>
    </r>
    <r>
      <rPr>
        <sz val="11"/>
        <color rgb="FF000000"/>
        <rFont val="ＭＳ Ｐゴシック"/>
        <family val="3"/>
        <charset val="128"/>
        <scheme val="minor"/>
      </rPr>
      <t>つ前の段階」または「</t>
    </r>
    <r>
      <rPr>
        <sz val="11"/>
        <color rgb="FF000000"/>
        <rFont val="ＭＳ Ｐゴシック"/>
        <family val="2"/>
        <scheme val="minor"/>
      </rPr>
      <t>1</t>
    </r>
    <r>
      <rPr>
        <sz val="11"/>
        <color rgb="FF000000"/>
        <rFont val="ＭＳ Ｐゴシック"/>
        <family val="3"/>
        <charset val="128"/>
        <scheme val="minor"/>
      </rPr>
      <t>つ次の段階」の性質を、裏の顔が持っている配置です。表と裏の間で激しい対立や矛盾は起きにくく、まるで階段を一段ずつ上るような、連続性のあるスムーズな関係性を築いています。「今の自分に満足せず、もうちょっとだけ良くしたい」という日々の小さな改善意欲が自然と湧き上がるのが特徴です。一発逆転の派手なギャンブルに出るよりも、日々の微細な調整とアップデートを繰り返しながら、気づけば誰よりも高い場所に到達している、非常に堅実で着実な大器晩成タイプと言えます。</t>
    </r>
  </si>
  <si>
    <t>致命的なアイデンティティの崩壊や激しい自己摩擦は起きにくいですが、常に「今の状態が完璧ではない」という小さな違和感や、チクチクとした焦燥感を抱えやすいのが弱点です。些細なディテールや「次の一手」にこだわりすぎるあまり、完璧主義の罠に陥り、プロジェクト全体を前進させるスピードが極端に遅くなることがあります。また、大きなトラブルがない平穏な日々が続くと、逆に「このままでいいのだろうか」という漠然とした不安に襲われ、無駄に状況をかき回してしまうこともあります。</t>
  </si>
  <si>
    <r>
      <t>「一気に世界を変えよう」とするのではなく、あなた本来の強みである「カイゼン（継続的改善）」の精神を大切にしてください。昨日よりも今日、</t>
    </r>
    <r>
      <rPr>
        <sz val="11"/>
        <color rgb="FF000000"/>
        <rFont val="ＭＳ Ｐゴシック"/>
        <family val="2"/>
        <scheme val="minor"/>
      </rPr>
      <t>1%</t>
    </r>
    <r>
      <rPr>
        <sz val="11"/>
        <color rgb="FF000000"/>
        <rFont val="ＭＳ Ｐゴシック"/>
        <family val="3"/>
        <charset val="128"/>
        <scheme val="minor"/>
      </rPr>
      <t>だけ成長できた自分をしっかりと褒め、小さな成功体験を積み重ねることが開運の鍵です。大きな壁にぶつかった時は、問題を細かく分割し、目の前の「</t>
    </r>
    <r>
      <rPr>
        <sz val="11"/>
        <color rgb="FF000000"/>
        <rFont val="ＭＳ Ｐゴシック"/>
        <family val="2"/>
        <scheme val="minor"/>
      </rPr>
      <t>1</t>
    </r>
    <r>
      <rPr>
        <sz val="11"/>
        <color rgb="FF000000"/>
        <rFont val="ＭＳ Ｐゴシック"/>
        <family val="3"/>
        <charset val="128"/>
        <scheme val="minor"/>
      </rPr>
      <t>つ隣の課題」だけをクリアすることに集中しましょう。派手さはなくても、その着実なアップデートの連続が、やがて誰にも真似できない強固な人生の土台（インフラ）を構築することに繋がります。</t>
    </r>
  </si>
  <si>
    <r>
      <t>60°</t>
    </r>
    <r>
      <rPr>
        <sz val="11"/>
        <color rgb="FF000000"/>
        <rFont val="ＭＳ Ｐゴシック"/>
        <family val="3"/>
        <charset val="128"/>
        <scheme val="minor"/>
      </rPr>
      <t>・</t>
    </r>
    <r>
      <rPr>
        <sz val="11"/>
        <color rgb="FF000000"/>
        <rFont val="ＭＳ Ｐゴシック"/>
        <family val="2"/>
        <scheme val="minor"/>
      </rPr>
      <t>120°</t>
    </r>
    <r>
      <rPr>
        <sz val="11"/>
        <color rgb="FF000000"/>
        <rFont val="ＭＳ Ｐゴシック"/>
        <family val="3"/>
        <charset val="128"/>
        <scheme val="minor"/>
      </rPr>
      <t>（セクスタイル・トライン）</t>
    </r>
    <phoneticPr fontId="3"/>
  </si>
  <si>
    <r>
      <t>【ナチュラル・ハーモニー型】</t>
    </r>
    <r>
      <rPr>
        <sz val="11"/>
        <color rgb="FF000000"/>
        <rFont val="ＭＳ Ｐゴシック"/>
        <family val="2"/>
        <scheme val="minor"/>
      </rPr>
      <t/>
    </r>
    <phoneticPr fontId="3"/>
  </si>
  <si>
    <t>表と裏が同じ、または相性の良い価値観（エレメント）で結ばれた調和の配置です。</t>
  </si>
  <si>
    <t>社会的な「表の顔」と深層の「裏の顔」が、お互いに協力し合い、自然にエネルギーを循環させる最もストレスの少ない配置です。アウターキャラのスキルを使って、インナーキャラの欲求をスムーズに満たすことができるため、人生において「無理をしている」という感覚が非常に薄いのが特徴です。生まれながらにして物事の要領を掴むのが上手く、周囲からは「天才肌」「いつも自然体で恵まれている人」として愛されます。人間関係の構築や才能の発揮において、摩擦ゼロで波に乗ることができる天性の才能と幸運の持ち主です。</t>
  </si>
  <si>
    <t>物事が比較的スムーズに運びやすいため、極限状態での「泥臭いハングリー精神」や「何がなんでも這い上がる執念」が育ちにくいのが最大の弱点です。想定外の巨大な壁や、理不尽な逆境に直面した時、戦う前に「まあ、別の楽な道に行けばいいか」と簡単に見切りをつけてしまう傾向があります。自分の中での摩擦や葛藤がない分、現状維持の「ぬるま湯（コンフォートゾーン）」に浸かりやすく、本来持っている莫大なポテンシャルの半分も発揮せずに人生を終えてしまうという、もったいないパターンの陥りやすさを持っています。</t>
  </si>
  <si>
    <r>
      <t>あなたに必要なのは、意図的に「コンフォートゾーン（安全地帯）から抜け出す」という意識です。生まれ持った才能と運の流れがすでに完璧に整っているため、あえて少しハードルの高い目標を設定し、汗をかいて努力した時の成功率は</t>
    </r>
    <r>
      <rPr>
        <sz val="11"/>
        <color rgb="FF000000"/>
        <rFont val="ＭＳ Ｐゴシック"/>
        <family val="2"/>
        <scheme val="minor"/>
      </rPr>
      <t>144</t>
    </r>
    <r>
      <rPr>
        <sz val="11"/>
        <color rgb="FF000000"/>
        <rFont val="ＭＳ Ｐゴシック"/>
        <family val="3"/>
        <charset val="128"/>
        <scheme val="minor"/>
      </rPr>
      <t>パターンの中でトップクラスです。自分を甘やかさないために、少し厳しめの指導者や、あなたとは全く違う価値観で刺激を与えてくれるライバルを意図的に持ちましょう。恵まれた環境に甘んじず、自ら「挑戦の負荷」をかけることで、あなたの運命は一気にスケールアップします。</t>
    </r>
  </si>
  <si>
    <r>
      <t>90°</t>
    </r>
    <r>
      <rPr>
        <sz val="11"/>
        <color rgb="FF000000"/>
        <rFont val="ＭＳ Ｐゴシック"/>
        <family val="3"/>
        <charset val="128"/>
        <scheme val="minor"/>
      </rPr>
      <t>（スクエア）</t>
    </r>
    <phoneticPr fontId="3"/>
  </si>
  <si>
    <r>
      <t>【自己摩擦・ブレイクスルー型】</t>
    </r>
    <r>
      <rPr>
        <sz val="11"/>
        <color rgb="FF000000"/>
        <rFont val="ＭＳ Ｐゴシック"/>
        <family val="2"/>
        <scheme val="minor"/>
      </rPr>
      <t/>
    </r>
    <phoneticPr fontId="3"/>
  </si>
  <si>
    <t>表と裏が直角でぶつかり合い、常に心の中で意見が割れる緊張と摩擦の配置です。</t>
  </si>
  <si>
    <r>
      <t>表の顔が「右に行きたい」と主張するのに対し、裏の顔が「絶対に左だ」と強く主張する、強烈な自己摩擦を抱えた配置です。一見すると相容れない</t>
    </r>
    <r>
      <rPr>
        <sz val="11"/>
        <color rgb="FF000000"/>
        <rFont val="ＭＳ Ｐゴシック"/>
        <family val="2"/>
        <scheme val="minor"/>
      </rPr>
      <t>2</t>
    </r>
    <r>
      <rPr>
        <sz val="11"/>
        <color rgb="FF000000"/>
        <rFont val="ＭＳ Ｐゴシック"/>
        <family val="3"/>
        <charset val="128"/>
        <scheme val="minor"/>
      </rPr>
      <t>つの価値観（例：自由でいたいのに、安定も欲しい）が心の中で常に火花を散らしています。しかし、この内なるエネルギーの衝突こそが、現状を打破する圧倒的な原動力となります。安易な妥協を許さず、もがき苦しみながらも</t>
    </r>
    <r>
      <rPr>
        <sz val="11"/>
        <color rgb="FF000000"/>
        <rFont val="ＭＳ Ｐゴシック"/>
        <family val="2"/>
        <scheme val="minor"/>
      </rPr>
      <t>2</t>
    </r>
    <r>
      <rPr>
        <sz val="11"/>
        <color rgb="FF000000"/>
        <rFont val="ＭＳ Ｐゴシック"/>
        <family val="3"/>
        <charset val="128"/>
        <scheme val="minor"/>
      </rPr>
      <t>つの欲求を統合させようと足掻く過程で、常人には思いもよらない革新的なアイデアや、時代を切り開く爆発的なブレイクスルーを生み出す力を秘めています。</t>
    </r>
  </si>
  <si>
    <t>常に自分自身が最大の敵（ストッパー）として立ちはだかるため、「結局、自分が本当にどうしたいのか分からない」という深い迷いと疲労感を抱えやすい人生です。表の顔で何かを達成しても、裏の顔が満足しないため、いつまで経っても心が満たされません。この内的葛藤のプレッシャーに耐えきれなくなると、築き上げたキャリアや人間関係を突然リセットしてしまったり、極端から極端へと行動を急激に振り切ってしまう「自己破壊衝動」に駆られることが多々あります。</t>
  </si>
  <si>
    <r>
      <t>「どちらか一方の自分を選び、もう一方を捨てよう」とするから苦しくなるのです。あなたの運命を切り開くのは、一見矛盾する</t>
    </r>
    <r>
      <rPr>
        <sz val="11"/>
        <color rgb="FF000000"/>
        <rFont val="ＭＳ Ｐゴシック"/>
        <family val="2"/>
        <scheme val="minor"/>
      </rPr>
      <t>2</t>
    </r>
    <r>
      <rPr>
        <sz val="11"/>
        <color rgb="FF000000"/>
        <rFont val="ＭＳ Ｐゴシック"/>
        <family val="3"/>
        <charset val="128"/>
        <scheme val="minor"/>
      </rPr>
      <t>つの欲求を「両立させる第</t>
    </r>
    <r>
      <rPr>
        <sz val="11"/>
        <color rgb="FF000000"/>
        <rFont val="ＭＳ Ｐゴシック"/>
        <family val="2"/>
        <scheme val="minor"/>
      </rPr>
      <t>3</t>
    </r>
    <r>
      <rPr>
        <sz val="11"/>
        <color rgb="FF000000"/>
        <rFont val="ＭＳ Ｐゴシック"/>
        <family val="3"/>
        <charset val="128"/>
        <scheme val="minor"/>
      </rPr>
      <t>の道（統合）」を見つけ出すことです。この摩擦による苦しみは、あなたがより高い次元へ進化するための成長痛に過ぎません。摩擦の熱から逃げず、「自分の中の矛盾」を才能として受け入れた時、あなたの心には莫大なエネルギーが発電されます。誰にも真似できない、複雑で深みのある魅力を持ったオンリーワンの天才性が覚醒するでしょう。</t>
    </r>
  </si>
  <si>
    <r>
      <t>150°</t>
    </r>
    <r>
      <rPr>
        <sz val="11"/>
        <color rgb="FF000000"/>
        <rFont val="ＭＳ Ｐゴシック"/>
        <family val="3"/>
        <charset val="128"/>
        <scheme val="minor"/>
      </rPr>
      <t>（クインカンクス）</t>
    </r>
    <phoneticPr fontId="3"/>
  </si>
  <si>
    <r>
      <t xml:space="preserve"> </t>
    </r>
    <r>
      <rPr>
        <sz val="11"/>
        <color rgb="FF000000"/>
        <rFont val="ＭＳ Ｐゴシック"/>
        <family val="3"/>
        <charset val="128"/>
        <scheme val="minor"/>
      </rPr>
      <t>【エイリアン・パラドックス型】</t>
    </r>
    <r>
      <rPr>
        <sz val="11"/>
        <color rgb="FF000000"/>
        <rFont val="ＭＳ Ｐゴシック"/>
        <family val="2"/>
        <scheme val="minor"/>
      </rPr>
      <t/>
    </r>
    <phoneticPr fontId="3"/>
  </si>
  <si>
    <t>表と裏に共通点が全くなく、交わるはずのない異質な価値観が同居する配置です。</t>
  </si>
  <si>
    <r>
      <t>価値観（エレメント）も行動パターン（モダリティ）も全くかすらない、宇宙人のような</t>
    </r>
    <r>
      <rPr>
        <sz val="11"/>
        <color rgb="FF000000"/>
        <rFont val="ＭＳ Ｐゴシック"/>
        <family val="2"/>
        <scheme val="minor"/>
      </rPr>
      <t>2</t>
    </r>
    <r>
      <rPr>
        <sz val="11"/>
        <color rgb="FF000000"/>
        <rFont val="ＭＳ Ｐゴシック"/>
        <family val="3"/>
        <charset val="128"/>
        <scheme val="minor"/>
      </rPr>
      <t>つの性質があなたの中に同居しています。公の場（表）とプライベート（裏）で完全にスイッチが切り替わるため、まるで多重人格のように「全く違う別人」として生きることができます。この水と油のような性質は決して混ざり合うことはありませんが、普通の人なら絶対に結びつけない「</t>
    </r>
    <r>
      <rPr>
        <sz val="11"/>
        <color rgb="FF000000"/>
        <rFont val="ＭＳ Ｐゴシック"/>
        <family val="2"/>
        <scheme val="minor"/>
      </rPr>
      <t>A</t>
    </r>
    <r>
      <rPr>
        <sz val="11"/>
        <color rgb="FF000000"/>
        <rFont val="ＭＳ Ｐゴシック"/>
        <family val="3"/>
        <charset val="128"/>
        <scheme val="minor"/>
      </rPr>
      <t>」と「</t>
    </r>
    <r>
      <rPr>
        <sz val="11"/>
        <color rgb="FF000000"/>
        <rFont val="ＭＳ Ｐゴシック"/>
        <family val="2"/>
        <scheme val="minor"/>
      </rPr>
      <t>B</t>
    </r>
    <r>
      <rPr>
        <sz val="11"/>
        <color rgb="FF000000"/>
        <rFont val="ＭＳ Ｐゴシック"/>
        <family val="3"/>
        <charset val="128"/>
        <scheme val="minor"/>
      </rPr>
      <t>」という要素を繋ぎ合わせることができるため、常識の枠組みを根底から覆す「異端のクリエイター・発明家」としての類まれな資質を持っています。</t>
    </r>
  </si>
  <si>
    <t>周囲からは「あの人は掴みどころがない」「言っていることとやっていることのキャラがブレている」と誤解されやすく、人間関係で深い理解を得るのが難しい傾向があります。また、自分自身でも「なぜこんな場面でこんな感情が湧くのか？」と、自分の中のエイリアン（裏星座）の行動原理が理解できず、自己コントロールを失う恐怖を感じることがあります。社会に合わせようと過剰に「常識人」を演じすぎると、強烈な違和感が蓄積し、原因不明の虚無感やアイデンティティの喪失感（インポスター症候群）に襲われます。</t>
  </si>
  <si>
    <t>自分の中にある「理解不能で変な部分（エイリアン）」を矯正しようとするのを今すぐやめてください。一貫性を持たせる必要はありません。「社会のルールに従う優秀なアウターキャラ」と、「自分のためだけに存在するマニアックなインナーキャラ」の住み分けを徹底することが最大の開運アクションです。表の顔で社会的な信頼を勝ち取りつつ、裏の顔には誰にも邪魔されない奇妙で自由なサンクチュアリ（聖域）を与えてあげましょう。その予測不能なギャップこそが、あなたを底知れぬ魅力を持つ存在へと引き上げます。</t>
  </si>
  <si>
    <r>
      <t>180°</t>
    </r>
    <r>
      <rPr>
        <sz val="11"/>
        <color rgb="FF000000"/>
        <rFont val="ＭＳ Ｐゴシック"/>
        <family val="3"/>
        <charset val="128"/>
        <scheme val="minor"/>
      </rPr>
      <t>（オポジション）</t>
    </r>
    <phoneticPr fontId="3"/>
  </si>
  <si>
    <r>
      <t xml:space="preserve"> </t>
    </r>
    <r>
      <rPr>
        <sz val="11"/>
        <color rgb="FF000000"/>
        <rFont val="ＭＳ Ｐゴシック"/>
        <family val="3"/>
        <charset val="128"/>
        <scheme val="minor"/>
      </rPr>
      <t>【完全リバーシブル・ミラー型】</t>
    </r>
    <r>
      <rPr>
        <sz val="11"/>
        <color rgb="FF000000"/>
        <rFont val="ＭＳ Ｐゴシック"/>
        <family val="2"/>
        <scheme val="minor"/>
      </rPr>
      <t/>
    </r>
    <phoneticPr fontId="3"/>
  </si>
  <si>
    <r>
      <t>表と裏が</t>
    </r>
    <r>
      <rPr>
        <sz val="11"/>
        <color rgb="FF000000"/>
        <rFont val="ＭＳ Ｐゴシック"/>
        <family val="2"/>
        <scheme val="minor"/>
      </rPr>
      <t>12</t>
    </r>
    <r>
      <rPr>
        <sz val="11"/>
        <color rgb="FF000000"/>
        <rFont val="ＭＳ Ｐゴシック"/>
        <family val="3"/>
        <charset val="128"/>
        <scheme val="minor"/>
      </rPr>
      <t>星座の真逆に位置し、常に真正面から向き合っている究極の鏡の配置です。</t>
    </r>
  </si>
  <si>
    <t>「自分（表）」と「他者（裏）」、「内側（表）」と「外側（裏）」のように、全く正反対のアプローチを取りながらも、実は同じテーマ（人生の十字軸）を共有している配置です。合わせ鏡のように、お互いが常に見張り合っている状態とも言えます。このタイプは「自分を知るために、あえて真逆の他者を見る」「外側で起きている現象から、自分の内側の欲求を分析する」という、リバーシブルな認知能力において右に出る者はいません。究極の客観性と俯瞰力を持っており、プロデューサーやカウンセラーとして他者の人生を劇的に導く才能を持っています。</t>
  </si>
  <si>
    <t>「自分はこうしたい」という表の欲求と、「相手（社会）からはこう見られたい、こう求められている」という裏の欲求が常に真正面から衝突します。そのため、人間関係において「相手への過剰な期待」と「激しい拒絶」の間を振り子のように極端に行き来しやすいのが特徴です。自分の中に隠された欲求を、無意識のうちに他者に投影してしまうため、自分の隠れたコンプレックスを刺激するような厄介な相手（またはダメンズ）ばかりを引き寄せてしまい、対人関係で常に心が激しく揺さぶられ、消耗してしまいます。</t>
  </si>
  <si>
    <t>あなたの人生のテーマは「投影の回収」と「究極のバランス」です。あなたが他人に強烈に惹かれたり、逆に激しい嫌悪感を抱いたりする時、それは相手の問題ではなく「自分の中に眠っているもう半分の性質（裏星座）」を鏡として見ているだけだと気づいてください。自分と他者の境界線を正しく引き、極端な振り子の揺れを真ん中で止めることができた時、あなたの視界は一気に開けます。表裏一体の真理を理解したあなたは、どんな複雑な対立も愛と論理でまとめ上げる、最高峰の調停者・リーダーとして君臨することができます。</t>
  </si>
  <si>
    <t>裏星座</t>
  </si>
  <si>
    <t>アスペクト（角度）</t>
  </si>
  <si>
    <t>裏おひつじ座</t>
    <phoneticPr fontId="3"/>
  </si>
  <si>
    <r>
      <t>0°</t>
    </r>
    <r>
      <rPr>
        <sz val="11"/>
        <color rgb="FF000000"/>
        <rFont val="ＭＳ Ｐゴシック"/>
        <family val="3"/>
        <charset val="128"/>
        <scheme val="minor"/>
      </rPr>
      <t>（コンジャンクション）</t>
    </r>
  </si>
  <si>
    <r>
      <t>30°</t>
    </r>
    <r>
      <rPr>
        <sz val="11"/>
        <color rgb="FF000000"/>
        <rFont val="ＭＳ Ｐゴシック"/>
        <family val="3"/>
        <charset val="128"/>
        <scheme val="minor"/>
      </rPr>
      <t>（セミセクスタイル）</t>
    </r>
  </si>
  <si>
    <r>
      <t>60°</t>
    </r>
    <r>
      <rPr>
        <sz val="11"/>
        <color rgb="FF000000"/>
        <rFont val="ＭＳ Ｐゴシック"/>
        <family val="3"/>
        <charset val="128"/>
        <scheme val="minor"/>
      </rPr>
      <t>・</t>
    </r>
    <r>
      <rPr>
        <sz val="11"/>
        <color rgb="FF000000"/>
        <rFont val="ＭＳ Ｐゴシック"/>
        <family val="2"/>
        <scheme val="minor"/>
      </rPr>
      <t>120°</t>
    </r>
    <r>
      <rPr>
        <sz val="11"/>
        <color rgb="FF000000"/>
        <rFont val="ＭＳ Ｐゴシック"/>
        <family val="3"/>
        <charset val="128"/>
        <scheme val="minor"/>
      </rPr>
      <t>（セクスタイル・トライン）</t>
    </r>
  </si>
  <si>
    <r>
      <t>90°</t>
    </r>
    <r>
      <rPr>
        <sz val="11"/>
        <color rgb="FF000000"/>
        <rFont val="ＭＳ Ｐゴシック"/>
        <family val="3"/>
        <charset val="128"/>
        <scheme val="minor"/>
      </rPr>
      <t>（スクエア）</t>
    </r>
  </si>
  <si>
    <r>
      <t>150°</t>
    </r>
    <r>
      <rPr>
        <sz val="11"/>
        <color rgb="FF000000"/>
        <rFont val="ＭＳ Ｐゴシック"/>
        <family val="3"/>
        <charset val="128"/>
        <scheme val="minor"/>
      </rPr>
      <t>（クインカンクス）</t>
    </r>
  </si>
  <si>
    <r>
      <t>180°</t>
    </r>
    <r>
      <rPr>
        <sz val="11"/>
        <color rgb="FF000000"/>
        <rFont val="ＭＳ Ｐゴシック"/>
        <family val="3"/>
        <charset val="128"/>
        <scheme val="minor"/>
      </rPr>
      <t>（オポジション）</t>
    </r>
  </si>
  <si>
    <t>見えないストレス</t>
  </si>
  <si>
    <t>合</t>
  </si>
  <si>
    <t>同刑</t>
  </si>
  <si>
    <t>エネルギーの強調や倍増</t>
    <phoneticPr fontId="3"/>
  </si>
  <si>
    <t>冲</t>
  </si>
  <si>
    <t>準方位</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</si>
</sst>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_);[Red]\(0\)"/>
    <numFmt numFmtId="177" formatCode="yyyy/m/d;@"/>
    <numFmt numFmtId="178" formatCode="0_ "/>
    <numFmt numFmtId="179" formatCode="0.0_);[Red]\(0.0\)"/>
    <numFmt numFmtId="180" formatCode="#,##0.0"/>
  </numFmts>
  <fonts count="41">
    <font>
      <sz val="11"/>
      <color rgb="FF000000"/>
      <name val="ＭＳ Ｐゴシック"/>
      <family val="3"/>
      <charset val="128"/>
      <scheme val="minor"/>
    </font>
    <font>
      <sz val="11"/>
      <color rgb="FF000000"/>
      <name val="ＭＳ Ｐゴシック"/>
      <family val="3"/>
      <charset val="128"/>
      <scheme val="minor"/>
    </font>
    <font>
      <sz val="20"/>
      <color rgb="FF000000"/>
      <name val="ＭＳ Ｐゴシック"/>
      <family val="3"/>
      <charset val="128"/>
      <scheme val="minor"/>
    </font>
    <font>
      <sz val="6"/>
      <name val="ＭＳ Ｐゴシック"/>
      <family val="3"/>
      <charset val="128"/>
      <scheme val="minor"/>
    </font>
    <font>
      <sz val="12"/>
      <color rgb="FF000000"/>
      <name val="ＭＳ Ｐゴシック"/>
      <family val="3"/>
      <charset val="128"/>
      <scheme val="minor"/>
    </font>
    <font>
      <sz val="12"/>
      <color rgb="FF000000"/>
      <name val="ＭＳ Ｐゴシック"/>
      <family val="2"/>
      <scheme val="minor"/>
    </font>
    <font>
      <sz val="20"/>
      <color rgb="FF000000"/>
      <name val="ＭＳ Ｐゴシック"/>
      <family val="2"/>
      <scheme val="minor"/>
    </font>
    <font>
      <sz val="14"/>
      <color rgb="FF000000"/>
      <name val="ＭＳ Ｐゴシック"/>
      <family val="3"/>
      <charset val="128"/>
      <scheme val="minor"/>
    </font>
    <font>
      <sz val="14"/>
      <color rgb="FF000000"/>
      <name val="ＭＳ Ｐゴシック"/>
      <family val="2"/>
      <scheme val="minor"/>
    </font>
    <font>
      <sz val="11"/>
      <color theme="0"/>
      <name val="ＭＳ Ｐゴシック"/>
      <family val="3"/>
      <charset val="128"/>
      <scheme val="minor"/>
    </font>
    <font>
      <sz val="11"/>
      <color theme="0"/>
      <name val="ＭＳ Ｐゴシック"/>
      <family val="2"/>
      <scheme val="minor"/>
    </font>
    <font>
      <sz val="11"/>
      <color rgb="FF000000"/>
      <name val="ＭＳ Ｐゴシック"/>
      <family val="2"/>
      <scheme val="minor"/>
    </font>
    <font>
      <sz val="16"/>
      <color rgb="FF000000"/>
      <name val="ＭＳ Ｐゴシック"/>
      <family val="2"/>
      <scheme val="minor"/>
    </font>
    <font>
      <b/>
      <sz val="14"/>
      <color rgb="FF000000"/>
      <name val="Arial Unicode MS"/>
      <family val="3"/>
      <charset val="128"/>
    </font>
    <font>
      <sz val="18"/>
      <color rgb="FF000000"/>
      <name val="ＭＳ Ｐゴシック"/>
      <family val="2"/>
      <scheme val="minor"/>
    </font>
    <font>
      <b/>
      <sz val="11"/>
      <color rgb="FF000000"/>
      <name val="ＭＳ Ｐゴシック"/>
      <family val="2"/>
      <scheme val="minor"/>
    </font>
    <font>
      <sz val="10"/>
      <color theme="1"/>
      <name val="Meiryo"/>
      <family val="3"/>
      <charset val="128"/>
    </font>
    <font>
      <sz val="10"/>
      <color theme="0"/>
      <name val="Meiryo"/>
      <family val="3"/>
      <charset val="128"/>
    </font>
    <font>
      <sz val="11"/>
      <name val="Calibri"/>
      <family val="2"/>
    </font>
    <font>
      <i/>
      <sz val="10"/>
      <color rgb="FF800080"/>
      <name val="Meiryo"/>
      <family val="3"/>
      <charset val="128"/>
    </font>
    <font>
      <sz val="9"/>
      <color theme="1"/>
      <name val="Meiryo"/>
      <family val="3"/>
      <charset val="128"/>
    </font>
    <font>
      <sz val="10"/>
      <color rgb="FF000000"/>
      <name val="Meiryo"/>
      <family val="3"/>
      <charset val="128"/>
    </font>
    <font>
      <sz val="10"/>
      <color theme="1"/>
      <name val="ＪＳＰゴシック"/>
      <family val="3"/>
      <charset val="128"/>
    </font>
    <font>
      <sz val="8"/>
      <color theme="1"/>
      <name val="ＪＳＰゴシック"/>
      <family val="3"/>
      <charset val="128"/>
    </font>
    <font>
      <sz val="9"/>
      <color theme="1"/>
      <name val="ＪＳＰゴシック"/>
      <family val="3"/>
      <charset val="128"/>
    </font>
    <font>
      <sz val="9"/>
      <color theme="1"/>
      <name val="MS PGothic"/>
      <family val="3"/>
      <charset val="128"/>
    </font>
    <font>
      <sz val="6"/>
      <color theme="1"/>
      <name val="Meiryo"/>
      <family val="3"/>
      <charset val="128"/>
    </font>
    <font>
      <b/>
      <sz val="10"/>
      <color rgb="FF000000"/>
      <name val="Meiryo"/>
      <family val="3"/>
      <charset val="128"/>
    </font>
    <font>
      <sz val="11"/>
      <color theme="1"/>
      <name val="Meiryo"/>
      <family val="3"/>
      <charset val="128"/>
    </font>
    <font>
      <b/>
      <sz val="11"/>
      <color theme="1"/>
      <name val="Meiryo"/>
      <family val="3"/>
      <charset val="128"/>
    </font>
    <font>
      <sz val="8"/>
      <color theme="1"/>
      <name val="Meiryo"/>
      <family val="3"/>
      <charset val="128"/>
    </font>
    <font>
      <sz val="10"/>
      <color rgb="FFFF0000"/>
      <name val="Meiryo"/>
      <family val="3"/>
      <charset val="128"/>
    </font>
    <font>
      <sz val="11"/>
      <name val="Meiryo"/>
      <family val="3"/>
      <charset val="128"/>
    </font>
    <font>
      <sz val="7"/>
      <color theme="1"/>
      <name val="ＪＳＰゴシック"/>
      <family val="3"/>
      <charset val="128"/>
    </font>
    <font>
      <sz val="7"/>
      <color theme="1"/>
      <name val="MS UI Gothic"/>
      <family val="3"/>
      <charset val="128"/>
    </font>
    <font>
      <sz val="10"/>
      <name val="Meiryo"/>
      <family val="3"/>
      <charset val="128"/>
    </font>
    <font>
      <sz val="11"/>
      <color theme="1"/>
      <name val="ＭＳ Ｐゴシック"/>
      <family val="2"/>
      <scheme val="minor"/>
    </font>
    <font>
      <b/>
      <sz val="11"/>
      <color theme="1"/>
      <name val="ＭＳ Ｐゴシック"/>
      <family val="2"/>
      <scheme val="minor"/>
    </font>
    <font>
      <sz val="12"/>
      <color theme="1"/>
      <name val="ＭＳ Ｐゴシック"/>
      <family val="2"/>
      <scheme val="minor"/>
    </font>
    <font>
      <sz val="11"/>
      <color rgb="FFC4C7C5"/>
      <name val="&quot;Google Sans Code&quot;"/>
    </font>
    <font>
      <b/>
      <sz val="10"/>
      <color theme="1"/>
      <name val="Meiryo"/>
      <family val="3"/>
      <charset val="128"/>
    </font>
  </fonts>
  <fills count="1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rgb="FFFFC000"/>
        <bgColor indexed="64"/>
      </patternFill>
    </fill>
    <fill>
      <patternFill patternType="solid">
        <fgColor theme="4" tint="0.79998168889431442"/>
        <bgColor rgb="FFFFFFCC"/>
      </patternFill>
    </fill>
    <fill>
      <patternFill patternType="solid">
        <fgColor rgb="FFE2EFD9"/>
        <bgColor rgb="FFE2EFD9"/>
      </patternFill>
    </fill>
    <fill>
      <patternFill patternType="solid">
        <fgColor rgb="FFFFFF99"/>
        <bgColor indexed="64"/>
      </patternFill>
    </fill>
    <fill>
      <patternFill patternType="solid">
        <fgColor rgb="FF1E1F20"/>
        <bgColor rgb="FF1E1F20"/>
      </patternFill>
    </fill>
  </fills>
  <borders count="6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bottom style="hair">
        <color rgb="FF000000"/>
      </bottom>
      <diagonal/>
    </border>
    <border>
      <left/>
      <right style="hair">
        <color rgb="FF000000"/>
      </right>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bottom style="thin">
        <color rgb="FF000000"/>
      </bottom>
      <diagonal/>
    </border>
    <border>
      <left/>
      <right/>
      <top style="hair">
        <color rgb="FF000000"/>
      </top>
      <bottom style="hair">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thin">
        <color rgb="FF000000"/>
      </bottom>
      <diagonal/>
    </border>
    <border>
      <left style="thin">
        <color rgb="FF000000"/>
      </left>
      <right style="hair">
        <color rgb="FF000000"/>
      </right>
      <top/>
      <bottom style="hair">
        <color rgb="FF000000"/>
      </bottom>
      <diagonal/>
    </border>
    <border>
      <left style="hair">
        <color rgb="FF000000"/>
      </left>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right style="hair">
        <color rgb="FF000000"/>
      </right>
      <top style="hair">
        <color rgb="FF000000"/>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bottom/>
      <diagonal/>
    </border>
    <border>
      <left/>
      <right style="hair">
        <color rgb="FF000000"/>
      </right>
      <top/>
      <bottom/>
      <diagonal/>
    </border>
    <border>
      <left style="thin">
        <color indexed="64"/>
      </left>
      <right/>
      <top/>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style="medium">
        <color rgb="FF000000"/>
      </right>
      <top/>
      <bottom style="double">
        <color rgb="FF000000"/>
      </bottom>
      <diagonal/>
    </border>
    <border>
      <left/>
      <right style="medium">
        <color rgb="FF000000"/>
      </right>
      <top/>
      <bottom style="double">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medium">
        <color rgb="FFFF0000"/>
      </left>
      <right style="medium">
        <color rgb="FFFF0000"/>
      </right>
      <top style="medium">
        <color rgb="FFFF0000"/>
      </top>
      <bottom style="medium">
        <color rgb="FFFF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s>
  <cellStyleXfs count="1">
    <xf numFmtId="0" fontId="0" fillId="0" borderId="0"/>
  </cellStyleXfs>
  <cellXfs count="291">
    <xf numFmtId="0" fontId="0" fillId="0" borderId="0" xfId="0"/>
    <xf numFmtId="0" fontId="2" fillId="0" borderId="0" xfId="0" applyFont="1" applyAlignment="1">
      <alignment vertical="center"/>
    </xf>
    <xf numFmtId="0" fontId="0" fillId="0" borderId="0" xfId="0" applyFont="1" applyAlignment="1">
      <alignment vertical="center"/>
    </xf>
    <xf numFmtId="0" fontId="0" fillId="0" borderId="0" xfId="0" applyFont="1" applyAlignment="1">
      <alignment horizontal="center" vertical="center"/>
    </xf>
    <xf numFmtId="0" fontId="4"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6" fillId="0" borderId="2" xfId="0" applyFont="1" applyBorder="1" applyAlignment="1">
      <alignment vertical="center"/>
    </xf>
    <xf numFmtId="0" fontId="7" fillId="3" borderId="0" xfId="0" applyFont="1" applyFill="1" applyAlignment="1">
      <alignment horizontal="center" vertical="center"/>
    </xf>
    <xf numFmtId="0" fontId="7" fillId="0" borderId="0" xfId="0" applyFont="1" applyAlignment="1">
      <alignment vertical="center"/>
    </xf>
    <xf numFmtId="0" fontId="8" fillId="4" borderId="0" xfId="0" applyFont="1" applyFill="1" applyAlignment="1">
      <alignment horizontal="center" vertical="center"/>
    </xf>
    <xf numFmtId="0" fontId="1"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4" fillId="3" borderId="2" xfId="0" applyFont="1" applyFill="1" applyBorder="1" applyAlignment="1">
      <alignment horizontal="center" vertical="center"/>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6" xfId="0" applyFont="1" applyBorder="1" applyAlignment="1">
      <alignment vertical="center" wrapText="1"/>
    </xf>
    <xf numFmtId="0" fontId="1" fillId="0" borderId="2" xfId="0" applyFont="1" applyBorder="1" applyAlignment="1">
      <alignment horizontal="center" vertical="center" wrapText="1"/>
    </xf>
    <xf numFmtId="0" fontId="5" fillId="3" borderId="2" xfId="0" applyFont="1" applyFill="1" applyBorder="1" applyAlignment="1">
      <alignment horizontal="center" vertical="center"/>
    </xf>
    <xf numFmtId="0" fontId="5" fillId="0" borderId="2" xfId="0" applyFont="1" applyBorder="1" applyAlignment="1">
      <alignment vertical="center" wrapText="1"/>
    </xf>
    <xf numFmtId="0" fontId="4" fillId="3" borderId="0" xfId="0" applyFont="1" applyFill="1" applyAlignment="1">
      <alignment horizontal="center" vertical="center"/>
    </xf>
    <xf numFmtId="0" fontId="4" fillId="0" borderId="0" xfId="0" applyFont="1" applyAlignment="1">
      <alignment vertical="center"/>
    </xf>
    <xf numFmtId="0" fontId="12" fillId="4" borderId="0" xfId="0" applyFont="1" applyFill="1" applyAlignment="1">
      <alignment horizontal="center" vertical="center"/>
    </xf>
    <xf numFmtId="0" fontId="13" fillId="0" borderId="0" xfId="0" applyFont="1" applyAlignment="1">
      <alignment vertical="center"/>
    </xf>
    <xf numFmtId="0" fontId="13" fillId="0" borderId="0" xfId="0" applyFont="1" applyAlignment="1">
      <alignment vertical="center" wrapText="1"/>
    </xf>
    <xf numFmtId="0" fontId="4" fillId="0" borderId="0" xfId="0" applyFont="1" applyAlignment="1">
      <alignment horizontal="center" vertical="center" wrapText="1"/>
    </xf>
    <xf numFmtId="0" fontId="8" fillId="4" borderId="0" xfId="0" applyFont="1" applyFill="1" applyAlignment="1">
      <alignment horizontal="center" vertical="center"/>
    </xf>
    <xf numFmtId="0" fontId="8" fillId="4" borderId="7" xfId="0" applyFont="1" applyFill="1" applyBorder="1" applyAlignment="1">
      <alignment horizontal="center" vertical="center"/>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9" fillId="0" borderId="0" xfId="0" applyFont="1" applyFill="1" applyAlignment="1">
      <alignment vertical="center"/>
    </xf>
    <xf numFmtId="0" fontId="10" fillId="0" borderId="0" xfId="0" applyFont="1" applyFill="1" applyAlignment="1">
      <alignment vertical="center"/>
    </xf>
    <xf numFmtId="0" fontId="0" fillId="0" borderId="2" xfId="0" applyFont="1" applyBorder="1" applyAlignment="1">
      <alignment horizontal="center" vertical="center"/>
    </xf>
    <xf numFmtId="0" fontId="0" fillId="0" borderId="0" xfId="0" applyFont="1" applyAlignment="1">
      <alignment horizontal="center" vertical="center"/>
    </xf>
    <xf numFmtId="0" fontId="1" fillId="5" borderId="2" xfId="0" applyFont="1" applyFill="1" applyBorder="1" applyAlignment="1">
      <alignment horizontal="center" vertical="center"/>
    </xf>
    <xf numFmtId="0" fontId="14" fillId="0" borderId="2" xfId="0" applyFont="1" applyBorder="1" applyAlignment="1">
      <alignment vertical="center"/>
    </xf>
    <xf numFmtId="0" fontId="8" fillId="0" borderId="2" xfId="0" applyFont="1" applyBorder="1" applyAlignment="1">
      <alignment horizontal="center" vertical="center"/>
    </xf>
    <xf numFmtId="0" fontId="8" fillId="0" borderId="2" xfId="0" applyFont="1" applyBorder="1" applyAlignment="1">
      <alignment horizontal="left" vertical="center"/>
    </xf>
    <xf numFmtId="0" fontId="0" fillId="0" borderId="0" xfId="0" applyNumberFormat="1" applyFont="1" applyAlignment="1">
      <alignment vertical="center"/>
    </xf>
    <xf numFmtId="0" fontId="14" fillId="0" borderId="2" xfId="0" applyNumberFormat="1" applyFont="1" applyBorder="1" applyAlignment="1">
      <alignment horizontal="right" vertical="center"/>
    </xf>
    <xf numFmtId="176" fontId="14" fillId="0" borderId="2" xfId="0" applyNumberFormat="1" applyFont="1" applyBorder="1" applyAlignment="1">
      <alignment horizontal="right" vertical="center"/>
    </xf>
    <xf numFmtId="177" fontId="14" fillId="0" borderId="2" xfId="0" applyNumberFormat="1" applyFont="1" applyBorder="1" applyAlignment="1">
      <alignment vertical="center"/>
    </xf>
    <xf numFmtId="0" fontId="0" fillId="0" borderId="2" xfId="0" applyFont="1" applyBorder="1" applyAlignment="1">
      <alignment vertical="center"/>
    </xf>
    <xf numFmtId="0" fontId="15" fillId="0" borderId="0" xfId="0" applyFont="1" applyAlignment="1">
      <alignment horizontal="center" vertical="center" wrapText="1"/>
    </xf>
    <xf numFmtId="0" fontId="11" fillId="0" borderId="0" xfId="0" applyFont="1" applyAlignment="1">
      <alignment vertical="center" wrapText="1"/>
    </xf>
    <xf numFmtId="0" fontId="16" fillId="0" borderId="0" xfId="0" applyFont="1" applyAlignment="1">
      <alignment vertical="center"/>
    </xf>
    <xf numFmtId="0" fontId="17" fillId="0" borderId="0" xfId="0" applyFont="1" applyAlignment="1">
      <alignment vertical="center"/>
    </xf>
    <xf numFmtId="0" fontId="16" fillId="0" borderId="0" xfId="0" applyFont="1" applyAlignment="1"/>
    <xf numFmtId="176" fontId="16" fillId="0" borderId="0" xfId="0" applyNumberFormat="1" applyFont="1" applyAlignment="1">
      <alignment vertical="center"/>
    </xf>
    <xf numFmtId="0" fontId="16" fillId="0" borderId="0" xfId="0" applyFont="1" applyAlignment="1">
      <alignment horizontal="left" vertical="center"/>
    </xf>
    <xf numFmtId="0" fontId="16" fillId="6" borderId="8" xfId="0" quotePrefix="1" applyFont="1" applyFill="1" applyBorder="1" applyAlignment="1">
      <alignment horizontal="center"/>
    </xf>
    <xf numFmtId="0" fontId="18" fillId="2" borderId="8" xfId="0" applyFont="1" applyFill="1" applyBorder="1" applyAlignment="1">
      <alignment vertical="center"/>
    </xf>
    <xf numFmtId="0" fontId="18" fillId="2" borderId="9" xfId="0" applyFont="1" applyFill="1" applyBorder="1" applyAlignment="1">
      <alignment vertical="center"/>
    </xf>
    <xf numFmtId="0" fontId="16" fillId="6" borderId="10" xfId="0" applyFont="1" applyFill="1" applyBorder="1" applyAlignment="1">
      <alignment horizontal="center" vertical="center"/>
    </xf>
    <xf numFmtId="0" fontId="18" fillId="2" borderId="11" xfId="0" applyFont="1" applyFill="1" applyBorder="1" applyAlignment="1">
      <alignment vertical="center"/>
    </xf>
    <xf numFmtId="0" fontId="16" fillId="6" borderId="12" xfId="0" applyFont="1" applyFill="1" applyBorder="1" applyAlignment="1">
      <alignment horizontal="center" vertical="center"/>
    </xf>
    <xf numFmtId="31" fontId="17" fillId="0" borderId="0" xfId="0" applyNumberFormat="1" applyFont="1" applyAlignment="1">
      <alignment horizontal="center" vertical="top" wrapText="1"/>
    </xf>
    <xf numFmtId="0" fontId="19" fillId="0" borderId="0" xfId="0" applyFont="1" applyAlignment="1">
      <alignment horizontal="left" vertical="center"/>
    </xf>
    <xf numFmtId="176" fontId="19" fillId="0" borderId="0" xfId="0" applyNumberFormat="1" applyFont="1" applyAlignment="1">
      <alignment horizontal="left" vertical="center"/>
    </xf>
    <xf numFmtId="0" fontId="16" fillId="0" borderId="0" xfId="0" applyFont="1" applyAlignment="1">
      <alignment horizontal="center" vertical="center"/>
    </xf>
    <xf numFmtId="0" fontId="17" fillId="0" borderId="0" xfId="0" applyFont="1" applyAlignment="1">
      <alignment vertical="top"/>
    </xf>
    <xf numFmtId="0" fontId="16" fillId="0" borderId="13" xfId="0" applyFont="1" applyBorder="1" applyAlignment="1">
      <alignment horizontal="center" vertical="top"/>
    </xf>
    <xf numFmtId="0" fontId="18" fillId="0" borderId="13" xfId="0" applyFont="1" applyBorder="1" applyAlignment="1">
      <alignment vertical="center"/>
    </xf>
    <xf numFmtId="0" fontId="16" fillId="0" borderId="0" xfId="0" applyFont="1" applyAlignment="1">
      <alignment horizontal="center" vertical="center"/>
    </xf>
    <xf numFmtId="0" fontId="0" fillId="0" borderId="0" xfId="0" applyFont="1" applyAlignment="1">
      <alignment vertical="center"/>
    </xf>
    <xf numFmtId="0" fontId="20" fillId="0" borderId="0" xfId="0" applyFont="1" applyAlignment="1">
      <alignment horizontal="center" vertical="top"/>
    </xf>
    <xf numFmtId="0" fontId="20" fillId="0" borderId="0" xfId="0" applyFont="1" applyAlignment="1">
      <alignment horizontal="center" vertical="top"/>
    </xf>
    <xf numFmtId="31" fontId="16" fillId="0" borderId="10" xfId="0" applyNumberFormat="1" applyFont="1" applyBorder="1" applyAlignment="1">
      <alignment horizontal="center" vertical="center" wrapText="1"/>
    </xf>
    <xf numFmtId="0" fontId="18" fillId="0" borderId="14" xfId="0" applyFont="1" applyBorder="1" applyAlignment="1">
      <alignment vertical="center"/>
    </xf>
    <xf numFmtId="0" fontId="18" fillId="0" borderId="11" xfId="0" applyFont="1" applyBorder="1" applyAlignment="1">
      <alignment vertical="center"/>
    </xf>
    <xf numFmtId="178" fontId="16" fillId="4" borderId="10" xfId="0" applyNumberFormat="1" applyFont="1" applyFill="1" applyBorder="1" applyAlignment="1">
      <alignment horizontal="center" vertical="center"/>
    </xf>
    <xf numFmtId="0" fontId="18" fillId="4" borderId="11" xfId="0" applyFont="1" applyFill="1" applyBorder="1" applyAlignment="1">
      <alignment vertical="center"/>
    </xf>
    <xf numFmtId="178" fontId="16" fillId="4" borderId="12" xfId="0" applyNumberFormat="1" applyFont="1" applyFill="1" applyBorder="1" applyAlignment="1">
      <alignment horizontal="center" vertical="center"/>
    </xf>
    <xf numFmtId="0" fontId="21" fillId="4" borderId="12" xfId="0" applyFont="1" applyFill="1" applyBorder="1" applyAlignment="1">
      <alignment horizontal="center" vertical="center"/>
    </xf>
    <xf numFmtId="0" fontId="16" fillId="0" borderId="15" xfId="0" applyFont="1" applyBorder="1" applyAlignment="1">
      <alignment horizontal="center" vertical="center"/>
    </xf>
    <xf numFmtId="0" fontId="22" fillId="0" borderId="16" xfId="0" applyFont="1" applyBorder="1" applyAlignment="1">
      <alignment horizontal="center" vertical="center" wrapText="1"/>
    </xf>
    <xf numFmtId="0" fontId="22" fillId="0" borderId="17" xfId="0" applyFont="1" applyBorder="1" applyAlignment="1">
      <alignment horizontal="center" vertical="center"/>
    </xf>
    <xf numFmtId="0" fontId="18" fillId="0" borderId="18" xfId="0" applyFont="1" applyBorder="1" applyAlignment="1">
      <alignment vertical="center"/>
    </xf>
    <xf numFmtId="0" fontId="23" fillId="0" borderId="16" xfId="0" applyFont="1" applyBorder="1" applyAlignment="1">
      <alignment horizontal="center" vertical="center" wrapText="1"/>
    </xf>
    <xf numFmtId="0" fontId="24" fillId="0" borderId="16" xfId="0" applyFont="1" applyBorder="1" applyAlignment="1">
      <alignment horizontal="center" vertical="center" wrapText="1"/>
    </xf>
    <xf numFmtId="0" fontId="25" fillId="0" borderId="19" xfId="0" applyFont="1" applyBorder="1" applyAlignment="1">
      <alignment horizontal="center" vertical="center" wrapText="1"/>
    </xf>
    <xf numFmtId="0" fontId="16" fillId="0" borderId="0" xfId="0" applyFont="1" applyAlignment="1">
      <alignment horizontal="center"/>
    </xf>
    <xf numFmtId="0" fontId="16" fillId="0" borderId="0" xfId="0" applyFont="1" applyAlignment="1">
      <alignment horizontal="center" wrapText="1"/>
    </xf>
    <xf numFmtId="0" fontId="18" fillId="0" borderId="20" xfId="0" applyFont="1" applyBorder="1" applyAlignment="1">
      <alignment vertical="center"/>
    </xf>
    <xf numFmtId="0" fontId="18" fillId="0" borderId="21" xfId="0" applyFont="1" applyBorder="1" applyAlignment="1">
      <alignment vertical="center"/>
    </xf>
    <xf numFmtId="0" fontId="18" fillId="0" borderId="22" xfId="0" applyFont="1" applyBorder="1" applyAlignment="1">
      <alignment vertical="center"/>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26"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textRotation="255"/>
    </xf>
    <xf numFmtId="3" fontId="29" fillId="0" borderId="12" xfId="0" applyNumberFormat="1" applyFont="1" applyBorder="1" applyAlignment="1">
      <alignment horizontal="center" vertical="top"/>
    </xf>
    <xf numFmtId="3" fontId="16" fillId="0" borderId="0" xfId="0" applyNumberFormat="1" applyFont="1" applyAlignment="1">
      <alignment vertical="center"/>
    </xf>
    <xf numFmtId="0" fontId="16" fillId="0" borderId="10" xfId="0" applyFont="1" applyBorder="1" applyAlignment="1">
      <alignment horizontal="center" vertical="center"/>
    </xf>
    <xf numFmtId="0" fontId="16" fillId="0" borderId="12" xfId="0" applyFont="1" applyBorder="1" applyAlignment="1">
      <alignment horizontal="center" vertical="center"/>
    </xf>
    <xf numFmtId="178" fontId="21" fillId="0" borderId="10" xfId="0" applyNumberFormat="1" applyFont="1" applyBorder="1" applyAlignment="1">
      <alignment horizontal="center" vertical="center"/>
    </xf>
    <xf numFmtId="0" fontId="16" fillId="0" borderId="26" xfId="0" applyFont="1" applyBorder="1" applyAlignment="1">
      <alignment horizontal="right" vertical="center"/>
    </xf>
    <xf numFmtId="0" fontId="21" fillId="0" borderId="24" xfId="0" applyFont="1" applyBorder="1" applyAlignment="1">
      <alignment horizontal="center" vertical="center"/>
    </xf>
    <xf numFmtId="0" fontId="20" fillId="0" borderId="27" xfId="0" applyFont="1" applyBorder="1" applyAlignment="1">
      <alignment horizontal="center" vertical="center"/>
    </xf>
    <xf numFmtId="0" fontId="18" fillId="0" borderId="9" xfId="0" applyFont="1" applyBorder="1" applyAlignment="1">
      <alignment vertical="center"/>
    </xf>
    <xf numFmtId="0" fontId="16" fillId="0" borderId="24" xfId="0" applyFont="1" applyBorder="1" applyAlignment="1">
      <alignment horizontal="center" vertical="center"/>
    </xf>
    <xf numFmtId="0" fontId="16" fillId="0" borderId="28" xfId="0" applyFont="1" applyBorder="1" applyAlignment="1">
      <alignment horizontal="center" vertical="center"/>
    </xf>
    <xf numFmtId="14" fontId="16" fillId="0" borderId="0" xfId="0" applyNumberFormat="1" applyFont="1" applyAlignment="1">
      <alignment horizontal="center" vertical="center"/>
    </xf>
    <xf numFmtId="0" fontId="16" fillId="0" borderId="0" xfId="0" applyFont="1" applyAlignment="1">
      <alignment horizontal="center" vertical="center" wrapText="1"/>
    </xf>
    <xf numFmtId="0" fontId="20" fillId="0" borderId="0" xfId="0" applyFont="1" applyAlignment="1">
      <alignment horizontal="center"/>
    </xf>
    <xf numFmtId="0" fontId="28" fillId="0" borderId="12" xfId="0" applyFont="1" applyBorder="1" applyAlignment="1">
      <alignment horizontal="center" vertical="top"/>
    </xf>
    <xf numFmtId="178" fontId="21" fillId="0" borderId="12" xfId="0" applyNumberFormat="1" applyFont="1" applyBorder="1" applyAlignment="1">
      <alignment horizontal="center" vertical="center"/>
    </xf>
    <xf numFmtId="178" fontId="21" fillId="0" borderId="0" xfId="0" applyNumberFormat="1" applyFont="1" applyAlignment="1">
      <alignment horizontal="center" vertical="center"/>
    </xf>
    <xf numFmtId="0" fontId="16" fillId="0" borderId="29" xfId="0" applyFont="1" applyBorder="1" applyAlignment="1">
      <alignment horizontal="right" vertical="center"/>
    </xf>
    <xf numFmtId="0" fontId="21" fillId="0" borderId="30" xfId="0" applyFont="1" applyBorder="1" applyAlignment="1">
      <alignment horizontal="center" vertical="center"/>
    </xf>
    <xf numFmtId="0" fontId="20" fillId="0" borderId="31" xfId="0" applyFont="1" applyBorder="1" applyAlignment="1">
      <alignment horizontal="center" vertical="center"/>
    </xf>
    <xf numFmtId="0" fontId="18" fillId="0" borderId="32" xfId="0" applyFont="1" applyBorder="1" applyAlignment="1">
      <alignment vertical="center"/>
    </xf>
    <xf numFmtId="0" fontId="16" fillId="0" borderId="21" xfId="0" applyFont="1" applyBorder="1" applyAlignment="1">
      <alignment horizontal="center" vertical="center"/>
    </xf>
    <xf numFmtId="0" fontId="16" fillId="0" borderId="30" xfId="0" applyFont="1" applyBorder="1" applyAlignment="1">
      <alignment horizontal="center" vertical="center"/>
    </xf>
    <xf numFmtId="0" fontId="16" fillId="0" borderId="33" xfId="0" applyFont="1" applyBorder="1" applyAlignment="1">
      <alignment horizontal="center" vertical="center"/>
    </xf>
    <xf numFmtId="14" fontId="16" fillId="7" borderId="12" xfId="0" applyNumberFormat="1" applyFont="1" applyFill="1" applyBorder="1" applyAlignment="1">
      <alignment horizontal="center" vertical="center" wrapText="1"/>
    </xf>
    <xf numFmtId="0" fontId="21" fillId="0" borderId="34" xfId="0" applyFont="1" applyBorder="1" applyAlignment="1">
      <alignment horizontal="center" vertical="center" wrapText="1"/>
    </xf>
    <xf numFmtId="0" fontId="30" fillId="0" borderId="0" xfId="0" applyFont="1" applyAlignment="1">
      <alignment horizontal="center" vertical="center"/>
    </xf>
    <xf numFmtId="0" fontId="31" fillId="0" borderId="0" xfId="0" applyFont="1" applyAlignment="1">
      <alignment vertical="center"/>
    </xf>
    <xf numFmtId="0" fontId="32" fillId="0" borderId="0" xfId="0" applyFont="1" applyAlignment="1">
      <alignment vertical="center"/>
    </xf>
    <xf numFmtId="0" fontId="16" fillId="0" borderId="35" xfId="0" applyFont="1" applyBorder="1" applyAlignment="1">
      <alignment horizontal="right" vertical="center"/>
    </xf>
    <xf numFmtId="0" fontId="18" fillId="0" borderId="35" xfId="0" applyFont="1" applyBorder="1" applyAlignment="1">
      <alignment vertical="center"/>
    </xf>
    <xf numFmtId="0" fontId="16" fillId="0" borderId="36" xfId="0" applyFont="1" applyBorder="1" applyAlignment="1">
      <alignment horizontal="right" vertical="center"/>
    </xf>
    <xf numFmtId="0" fontId="21" fillId="0" borderId="37" xfId="0" applyFont="1" applyBorder="1" applyAlignment="1">
      <alignment horizontal="center" vertical="center"/>
    </xf>
    <xf numFmtId="0" fontId="20" fillId="0" borderId="38" xfId="0" applyFont="1" applyBorder="1" applyAlignment="1">
      <alignment horizontal="center" vertical="center"/>
    </xf>
    <xf numFmtId="0" fontId="18" fillId="0" borderId="39" xfId="0" applyFont="1" applyBorder="1" applyAlignment="1">
      <alignment vertical="center"/>
    </xf>
    <xf numFmtId="0" fontId="17" fillId="0" borderId="0" xfId="0" applyFont="1" applyAlignment="1">
      <alignment horizontal="center"/>
    </xf>
    <xf numFmtId="0" fontId="28" fillId="0" borderId="0" xfId="0" applyFont="1" applyAlignment="1">
      <alignment vertical="center"/>
    </xf>
    <xf numFmtId="0" fontId="21" fillId="0" borderId="12" xfId="0" applyFont="1" applyBorder="1" applyAlignment="1">
      <alignment horizontal="center" vertical="center"/>
    </xf>
    <xf numFmtId="0" fontId="16" fillId="0" borderId="0" xfId="0" applyFont="1" applyBorder="1" applyAlignment="1">
      <alignment horizontal="center" vertical="center"/>
    </xf>
    <xf numFmtId="0" fontId="16" fillId="0" borderId="40" xfId="0" applyFont="1" applyBorder="1" applyAlignment="1">
      <alignment horizontal="right" vertical="center"/>
    </xf>
    <xf numFmtId="0" fontId="21" fillId="0" borderId="41" xfId="0" applyFont="1" applyBorder="1" applyAlignment="1">
      <alignment horizontal="center" vertical="center"/>
    </xf>
    <xf numFmtId="0" fontId="20" fillId="0" borderId="42" xfId="0" applyFont="1" applyBorder="1" applyAlignment="1">
      <alignment horizontal="center" vertical="center"/>
    </xf>
    <xf numFmtId="0" fontId="18" fillId="0" borderId="43" xfId="0" applyFont="1" applyBorder="1" applyAlignment="1">
      <alignment vertical="center"/>
    </xf>
    <xf numFmtId="0" fontId="16" fillId="0" borderId="0" xfId="0" applyFont="1" applyAlignment="1">
      <alignment horizontal="right" vertical="center"/>
    </xf>
    <xf numFmtId="0" fontId="17" fillId="0" borderId="0" xfId="0" applyFont="1" applyAlignment="1">
      <alignment horizontal="center" vertical="center"/>
    </xf>
    <xf numFmtId="31" fontId="16" fillId="0" borderId="0" xfId="0" applyNumberFormat="1" applyFont="1" applyAlignment="1">
      <alignment horizontal="center" vertical="center"/>
    </xf>
    <xf numFmtId="0" fontId="21" fillId="0" borderId="0" xfId="0" applyFont="1" applyAlignment="1">
      <alignment horizontal="center" vertical="center"/>
    </xf>
    <xf numFmtId="179" fontId="21" fillId="0" borderId="0" xfId="0" applyNumberFormat="1" applyFont="1" applyAlignment="1">
      <alignment horizontal="center" vertical="center"/>
    </xf>
    <xf numFmtId="0" fontId="33" fillId="0" borderId="0" xfId="0" applyFont="1" applyAlignment="1">
      <alignment horizontal="center" vertical="center" textRotation="255"/>
    </xf>
    <xf numFmtId="0" fontId="34" fillId="0" borderId="0" xfId="0" applyFont="1" applyAlignment="1">
      <alignment horizontal="center" vertical="center" textRotation="255"/>
    </xf>
    <xf numFmtId="0" fontId="21" fillId="0" borderId="0" xfId="0" applyFont="1" applyAlignment="1">
      <alignment horizontal="center" vertical="center" shrinkToFit="1"/>
    </xf>
    <xf numFmtId="14" fontId="21" fillId="0" borderId="0" xfId="0" applyNumberFormat="1" applyFont="1" applyAlignment="1">
      <alignment horizontal="center" vertical="center" wrapText="1"/>
    </xf>
    <xf numFmtId="0" fontId="21" fillId="0" borderId="0" xfId="0" applyFont="1" applyAlignment="1">
      <alignment horizontal="center" vertical="center" wrapText="1"/>
    </xf>
    <xf numFmtId="178" fontId="17" fillId="0" borderId="0" xfId="0" applyNumberFormat="1" applyFont="1" applyAlignment="1">
      <alignment horizontal="center" vertical="center"/>
    </xf>
    <xf numFmtId="0" fontId="21" fillId="0" borderId="10" xfId="0" applyFont="1" applyBorder="1" applyAlignment="1">
      <alignment horizontal="center" vertical="center" shrinkToFit="1"/>
    </xf>
    <xf numFmtId="0" fontId="21" fillId="0" borderId="12" xfId="0" applyFont="1" applyBorder="1" applyAlignment="1">
      <alignment horizontal="center" vertical="center" shrinkToFit="1"/>
    </xf>
    <xf numFmtId="0" fontId="31" fillId="0" borderId="44" xfId="0" applyFont="1" applyBorder="1" applyAlignment="1">
      <alignment horizontal="center" vertical="center"/>
    </xf>
    <xf numFmtId="176" fontId="16" fillId="0" borderId="0" xfId="0" applyNumberFormat="1" applyFont="1" applyAlignment="1">
      <alignment horizontal="center" vertical="center"/>
    </xf>
    <xf numFmtId="0" fontId="21" fillId="0" borderId="0" xfId="0" applyFont="1" applyAlignment="1">
      <alignment vertical="center"/>
    </xf>
    <xf numFmtId="0" fontId="16" fillId="0" borderId="0" xfId="0" applyFont="1" applyAlignment="1">
      <alignment vertical="center" textRotation="255"/>
    </xf>
    <xf numFmtId="179" fontId="21" fillId="0" borderId="0" xfId="0" applyNumberFormat="1" applyFont="1" applyAlignment="1">
      <alignment vertical="center"/>
    </xf>
    <xf numFmtId="176" fontId="21" fillId="0" borderId="0" xfId="0" applyNumberFormat="1" applyFont="1" applyAlignment="1">
      <alignment vertical="center"/>
    </xf>
    <xf numFmtId="179" fontId="21" fillId="0" borderId="0" xfId="0" applyNumberFormat="1" applyFont="1" applyAlignment="1">
      <alignment horizontal="left" vertical="center"/>
    </xf>
    <xf numFmtId="1" fontId="16" fillId="0" borderId="0" xfId="0" applyNumberFormat="1" applyFont="1" applyAlignment="1">
      <alignment horizontal="center" vertical="center"/>
    </xf>
    <xf numFmtId="0" fontId="16" fillId="0" borderId="0" xfId="0" applyFont="1" applyAlignment="1">
      <alignment horizontal="center" vertical="center" shrinkToFit="1"/>
    </xf>
    <xf numFmtId="49" fontId="20" fillId="0" borderId="12" xfId="0" applyNumberFormat="1" applyFont="1" applyBorder="1" applyAlignment="1">
      <alignment horizontal="center" vertical="center"/>
    </xf>
    <xf numFmtId="49" fontId="16" fillId="0" borderId="12" xfId="0" applyNumberFormat="1" applyFont="1" applyBorder="1" applyAlignment="1">
      <alignment horizontal="center" vertical="center"/>
    </xf>
    <xf numFmtId="0" fontId="16" fillId="0" borderId="12" xfId="0" applyFont="1" applyBorder="1" applyAlignment="1">
      <alignment horizontal="center" vertical="center" shrinkToFit="1"/>
    </xf>
    <xf numFmtId="0" fontId="16" fillId="0" borderId="0" xfId="0" applyFont="1" applyBorder="1" applyAlignment="1">
      <alignment horizontal="center" vertical="center" shrinkToFit="1"/>
    </xf>
    <xf numFmtId="0" fontId="16" fillId="0" borderId="0" xfId="0" applyNumberFormat="1" applyFont="1" applyAlignment="1">
      <alignment vertical="center"/>
    </xf>
    <xf numFmtId="178" fontId="16" fillId="0" borderId="0" xfId="0" applyNumberFormat="1" applyFont="1" applyAlignment="1">
      <alignment horizontal="right" vertical="center"/>
    </xf>
    <xf numFmtId="178" fontId="16" fillId="0" borderId="12" xfId="0" applyNumberFormat="1" applyFont="1" applyBorder="1" applyAlignment="1">
      <alignment horizontal="center" vertical="center"/>
    </xf>
    <xf numFmtId="4" fontId="16" fillId="0" borderId="12" xfId="0" applyNumberFormat="1" applyFont="1" applyBorder="1" applyAlignment="1">
      <alignment horizontal="center" vertical="center"/>
    </xf>
    <xf numFmtId="4" fontId="16" fillId="0" borderId="10" xfId="0" applyNumberFormat="1" applyFont="1" applyBorder="1" applyAlignment="1">
      <alignment horizontal="center" vertical="center"/>
    </xf>
    <xf numFmtId="178" fontId="17" fillId="0" borderId="12" xfId="0" applyNumberFormat="1" applyFont="1" applyBorder="1" applyAlignment="1">
      <alignment horizontal="center" vertical="center"/>
    </xf>
    <xf numFmtId="0" fontId="35" fillId="0" borderId="0" xfId="0" applyFont="1" applyBorder="1" applyAlignment="1">
      <alignment horizontal="center" vertical="center"/>
    </xf>
    <xf numFmtId="14" fontId="16" fillId="0" borderId="9" xfId="0" applyNumberFormat="1" applyFont="1" applyBorder="1" applyAlignment="1">
      <alignment horizontal="right" vertical="center"/>
    </xf>
    <xf numFmtId="0" fontId="16" fillId="0" borderId="9" xfId="0" applyFont="1" applyBorder="1" applyAlignment="1">
      <alignment horizontal="right" vertical="center"/>
    </xf>
    <xf numFmtId="3" fontId="21" fillId="0" borderId="0" xfId="0" applyNumberFormat="1" applyFont="1" applyAlignment="1">
      <alignment horizontal="center" vertical="center" wrapText="1"/>
    </xf>
    <xf numFmtId="3" fontId="16" fillId="0" borderId="0" xfId="0" applyNumberFormat="1" applyFont="1" applyAlignment="1">
      <alignment horizontal="right" vertical="center"/>
    </xf>
    <xf numFmtId="180" fontId="36" fillId="0" borderId="0" xfId="0" applyNumberFormat="1" applyFont="1" applyAlignment="1">
      <alignment vertical="center"/>
    </xf>
    <xf numFmtId="0" fontId="36" fillId="0" borderId="0" xfId="0" applyFont="1" applyAlignment="1">
      <alignment vertical="center"/>
    </xf>
    <xf numFmtId="0" fontId="37" fillId="0" borderId="0" xfId="0" applyFont="1" applyAlignment="1">
      <alignment vertical="center"/>
    </xf>
    <xf numFmtId="0" fontId="16" fillId="0" borderId="0" xfId="0" applyFont="1" applyAlignment="1">
      <alignment vertical="center" wrapText="1"/>
    </xf>
    <xf numFmtId="0" fontId="17" fillId="0" borderId="12" xfId="0" applyFont="1" applyBorder="1" applyAlignment="1">
      <alignment horizontal="center" vertical="center"/>
    </xf>
    <xf numFmtId="0" fontId="16" fillId="0" borderId="39" xfId="0" applyFont="1" applyBorder="1" applyAlignment="1">
      <alignment horizontal="right" vertical="center"/>
    </xf>
    <xf numFmtId="38" fontId="16" fillId="0" borderId="0" xfId="0" applyNumberFormat="1" applyFont="1" applyAlignment="1">
      <alignment vertical="center"/>
    </xf>
    <xf numFmtId="176" fontId="16" fillId="0" borderId="0" xfId="0" applyNumberFormat="1" applyFont="1" applyBorder="1" applyAlignment="1">
      <alignment horizontal="center" vertical="center" shrinkToFit="1"/>
    </xf>
    <xf numFmtId="0" fontId="16" fillId="0" borderId="0" xfId="0" applyFont="1" applyBorder="1" applyAlignment="1">
      <alignment horizontal="left" vertical="center" shrinkToFit="1"/>
    </xf>
    <xf numFmtId="178" fontId="16" fillId="0" borderId="0" xfId="0" applyNumberFormat="1" applyFont="1" applyAlignment="1">
      <alignment vertical="center"/>
    </xf>
    <xf numFmtId="176" fontId="16" fillId="0" borderId="0" xfId="0" applyNumberFormat="1" applyFont="1" applyBorder="1" applyAlignment="1">
      <alignment horizontal="center" vertical="center"/>
    </xf>
    <xf numFmtId="0" fontId="16" fillId="0" borderId="0" xfId="0" applyFont="1" applyBorder="1" applyAlignment="1">
      <alignment horizontal="left" vertical="center"/>
    </xf>
    <xf numFmtId="0" fontId="28" fillId="0" borderId="0" xfId="0" applyFont="1" applyAlignment="1">
      <alignment vertical="center" wrapText="1"/>
    </xf>
    <xf numFmtId="176" fontId="16" fillId="0" borderId="0" xfId="0" applyNumberFormat="1" applyFont="1" applyAlignment="1">
      <alignment vertical="center" wrapText="1"/>
    </xf>
    <xf numFmtId="0" fontId="16" fillId="0" borderId="0" xfId="0" applyFont="1" applyAlignment="1">
      <alignment horizontal="left" vertical="center" wrapText="1"/>
    </xf>
    <xf numFmtId="0" fontId="16" fillId="0" borderId="0" xfId="0" applyFont="1" applyAlignment="1">
      <alignment vertical="center" wrapText="1"/>
    </xf>
    <xf numFmtId="14" fontId="20" fillId="0" borderId="12" xfId="0" applyNumberFormat="1" applyFont="1" applyBorder="1" applyAlignment="1">
      <alignment horizontal="center" vertical="center"/>
    </xf>
    <xf numFmtId="14" fontId="20" fillId="0" borderId="0" xfId="0" applyNumberFormat="1" applyFont="1" applyBorder="1" applyAlignment="1">
      <alignment horizontal="center" vertical="center"/>
    </xf>
    <xf numFmtId="0" fontId="16" fillId="0" borderId="12" xfId="0" applyFont="1" applyBorder="1" applyAlignment="1">
      <alignment vertical="center" shrinkToFit="1"/>
    </xf>
    <xf numFmtId="14" fontId="16" fillId="0" borderId="12" xfId="0" applyNumberFormat="1" applyFont="1" applyBorder="1" applyAlignment="1">
      <alignment horizontal="center" vertical="center"/>
    </xf>
    <xf numFmtId="14" fontId="16" fillId="0" borderId="0" xfId="0" applyNumberFormat="1" applyFont="1" applyBorder="1" applyAlignment="1">
      <alignment horizontal="center" vertical="center"/>
    </xf>
    <xf numFmtId="0" fontId="20" fillId="0" borderId="12" xfId="0" applyFont="1" applyBorder="1" applyAlignment="1">
      <alignment horizontal="center" vertical="center"/>
    </xf>
    <xf numFmtId="0" fontId="20" fillId="0" borderId="0" xfId="0" applyFont="1" applyBorder="1" applyAlignment="1">
      <alignment horizontal="center" vertical="center"/>
    </xf>
    <xf numFmtId="0" fontId="20" fillId="0" borderId="38" xfId="0" applyFont="1" applyBorder="1" applyAlignment="1">
      <alignment vertical="top" wrapText="1"/>
    </xf>
    <xf numFmtId="0" fontId="18" fillId="0" borderId="0" xfId="0" applyFont="1" applyBorder="1" applyAlignment="1">
      <alignment vertical="center"/>
    </xf>
    <xf numFmtId="0" fontId="18" fillId="0" borderId="44" xfId="0" applyFont="1" applyBorder="1" applyAlignment="1">
      <alignment vertical="center"/>
    </xf>
    <xf numFmtId="0" fontId="18" fillId="0" borderId="45" xfId="0" applyFont="1" applyBorder="1" applyAlignment="1">
      <alignment vertical="center"/>
    </xf>
    <xf numFmtId="176" fontId="28" fillId="0" borderId="0" xfId="0" applyNumberFormat="1" applyFont="1" applyAlignment="1">
      <alignment vertical="center" wrapText="1"/>
    </xf>
    <xf numFmtId="0" fontId="18" fillId="0" borderId="27" xfId="0" applyFont="1" applyBorder="1" applyAlignment="1">
      <alignment vertical="center"/>
    </xf>
    <xf numFmtId="0" fontId="18" fillId="0" borderId="8" xfId="0" applyFont="1" applyBorder="1" applyAlignment="1">
      <alignment vertical="center"/>
    </xf>
    <xf numFmtId="176" fontId="28" fillId="0" borderId="2" xfId="0" applyNumberFormat="1" applyFont="1" applyBorder="1" applyAlignment="1">
      <alignment vertical="center"/>
    </xf>
    <xf numFmtId="176" fontId="16" fillId="0" borderId="2" xfId="0" applyNumberFormat="1" applyFont="1" applyBorder="1" applyAlignment="1">
      <alignment vertical="center"/>
    </xf>
    <xf numFmtId="176" fontId="16" fillId="8" borderId="2" xfId="0" applyNumberFormat="1" applyFont="1" applyFill="1" applyBorder="1" applyAlignment="1">
      <alignment vertical="center"/>
    </xf>
    <xf numFmtId="0" fontId="16" fillId="0" borderId="0" xfId="0" applyFont="1" applyAlignment="1">
      <alignment vertical="center" shrinkToFit="1"/>
    </xf>
    <xf numFmtId="14" fontId="16" fillId="0" borderId="0" xfId="0" applyNumberFormat="1" applyFont="1" applyAlignment="1">
      <alignment vertical="center" wrapText="1"/>
    </xf>
    <xf numFmtId="176" fontId="16" fillId="8" borderId="0" xfId="0" applyNumberFormat="1" applyFont="1" applyFill="1" applyAlignment="1">
      <alignment vertical="center" wrapText="1"/>
    </xf>
    <xf numFmtId="176" fontId="16" fillId="4" borderId="0" xfId="0" applyNumberFormat="1" applyFont="1" applyFill="1" applyAlignment="1">
      <alignment vertical="center" wrapText="1"/>
    </xf>
    <xf numFmtId="0" fontId="16" fillId="8" borderId="46" xfId="0" applyNumberFormat="1" applyFont="1" applyFill="1" applyBorder="1" applyAlignment="1">
      <alignment horizontal="center" vertical="center"/>
    </xf>
    <xf numFmtId="0" fontId="16" fillId="8" borderId="0" xfId="0" applyNumberFormat="1" applyFont="1" applyFill="1" applyBorder="1" applyAlignment="1">
      <alignment horizontal="center" vertical="center"/>
    </xf>
    <xf numFmtId="0" fontId="16" fillId="0" borderId="0" xfId="0" applyFont="1" applyAlignment="1">
      <alignment vertical="top" wrapText="1"/>
    </xf>
    <xf numFmtId="0" fontId="16" fillId="0" borderId="0" xfId="0" applyFont="1" applyAlignment="1">
      <alignment horizontal="right" vertical="top" wrapText="1"/>
    </xf>
    <xf numFmtId="176" fontId="16" fillId="0" borderId="0" xfId="0" applyNumberFormat="1" applyFont="1" applyAlignment="1">
      <alignment vertical="top" wrapText="1"/>
    </xf>
    <xf numFmtId="0" fontId="16" fillId="0" borderId="0" xfId="0" applyFont="1" applyAlignment="1">
      <alignment horizontal="left" vertical="top" wrapText="1"/>
    </xf>
    <xf numFmtId="176" fontId="38" fillId="0" borderId="0" xfId="0" applyNumberFormat="1" applyFont="1" applyAlignment="1">
      <alignment vertical="center"/>
    </xf>
    <xf numFmtId="0" fontId="16" fillId="0" borderId="11" xfId="0" applyFont="1" applyBorder="1" applyAlignment="1">
      <alignment horizontal="center" vertical="center"/>
    </xf>
    <xf numFmtId="0" fontId="39" fillId="9" borderId="0" xfId="0" applyFont="1" applyFill="1" applyAlignment="1">
      <alignment horizontal="left" vertical="center"/>
    </xf>
    <xf numFmtId="176" fontId="36" fillId="0" borderId="0" xfId="0" applyNumberFormat="1" applyFont="1" applyAlignment="1">
      <alignment vertical="center"/>
    </xf>
    <xf numFmtId="176" fontId="11" fillId="0" borderId="0" xfId="0" applyNumberFormat="1" applyFont="1" applyAlignment="1">
      <alignment vertical="center"/>
    </xf>
    <xf numFmtId="0" fontId="11" fillId="0" borderId="0" xfId="0" applyFont="1" applyAlignment="1">
      <alignment vertical="center"/>
    </xf>
    <xf numFmtId="49" fontId="38" fillId="0" borderId="0" xfId="0" applyNumberFormat="1" applyFont="1" applyAlignment="1">
      <alignment vertical="center"/>
    </xf>
    <xf numFmtId="31" fontId="16" fillId="0" borderId="0" xfId="0" applyNumberFormat="1" applyFont="1" applyAlignment="1">
      <alignment vertical="center"/>
    </xf>
    <xf numFmtId="14" fontId="16" fillId="0" borderId="0" xfId="0" applyNumberFormat="1" applyFont="1" applyAlignment="1">
      <alignment vertical="center"/>
    </xf>
    <xf numFmtId="0" fontId="16" fillId="0" borderId="12" xfId="0" applyFont="1" applyBorder="1" applyAlignment="1">
      <alignment vertical="center"/>
    </xf>
    <xf numFmtId="0" fontId="16" fillId="0" borderId="0" xfId="0" applyFont="1" applyBorder="1" applyAlignment="1">
      <alignment vertical="center"/>
    </xf>
    <xf numFmtId="0" fontId="21" fillId="0" borderId="47" xfId="0" applyFont="1" applyBorder="1" applyAlignment="1">
      <alignment horizontal="center" vertical="center"/>
    </xf>
    <xf numFmtId="0" fontId="21" fillId="0" borderId="0" xfId="0" applyFont="1" applyBorder="1" applyAlignment="1">
      <alignment horizontal="center" vertical="center"/>
    </xf>
    <xf numFmtId="4" fontId="16" fillId="0" borderId="0" xfId="0" applyNumberFormat="1" applyFont="1" applyAlignment="1">
      <alignment vertical="center"/>
    </xf>
    <xf numFmtId="0" fontId="21" fillId="0" borderId="0" xfId="0" applyFont="1" applyAlignment="1">
      <alignment horizontal="right"/>
    </xf>
    <xf numFmtId="0" fontId="21" fillId="0" borderId="48" xfId="0" applyFont="1" applyBorder="1" applyAlignment="1">
      <alignment horizontal="center" vertical="center"/>
    </xf>
    <xf numFmtId="0" fontId="16" fillId="0" borderId="0" xfId="0" applyFont="1" applyAlignment="1">
      <alignment horizontal="right"/>
    </xf>
    <xf numFmtId="176" fontId="31" fillId="0" borderId="0" xfId="0" applyNumberFormat="1" applyFont="1" applyAlignment="1">
      <alignment vertical="center"/>
    </xf>
    <xf numFmtId="0" fontId="31" fillId="0" borderId="0" xfId="0" applyFont="1" applyAlignment="1">
      <alignment horizontal="left" vertical="center"/>
    </xf>
    <xf numFmtId="0" fontId="21" fillId="0" borderId="0" xfId="0" applyFont="1" applyAlignment="1">
      <alignment horizontal="center"/>
    </xf>
    <xf numFmtId="0" fontId="16" fillId="0" borderId="49" xfId="0" applyFont="1" applyBorder="1" applyAlignment="1">
      <alignment horizontal="center" vertical="center"/>
    </xf>
    <xf numFmtId="0" fontId="40" fillId="0" borderId="49" xfId="0" applyFont="1" applyBorder="1" applyAlignment="1">
      <alignment horizontal="center" vertical="center"/>
    </xf>
    <xf numFmtId="0" fontId="40" fillId="0" borderId="50" xfId="0" applyFont="1" applyBorder="1" applyAlignment="1">
      <alignment horizontal="center" vertical="center"/>
    </xf>
    <xf numFmtId="0" fontId="16" fillId="0" borderId="51" xfId="0" applyFont="1" applyBorder="1" applyAlignment="1">
      <alignment horizontal="center" vertical="center"/>
    </xf>
    <xf numFmtId="0" fontId="40" fillId="0" borderId="51" xfId="0" applyFont="1" applyBorder="1" applyAlignment="1">
      <alignment horizontal="center" vertical="center"/>
    </xf>
    <xf numFmtId="0" fontId="16" fillId="0" borderId="52" xfId="0" applyFont="1" applyBorder="1" applyAlignment="1">
      <alignment horizontal="center" vertical="center"/>
    </xf>
    <xf numFmtId="0" fontId="27" fillId="0" borderId="0" xfId="0" applyFont="1" applyAlignment="1">
      <alignment horizontal="right"/>
    </xf>
    <xf numFmtId="0" fontId="16" fillId="0" borderId="53" xfId="0" applyFont="1" applyBorder="1" applyAlignment="1">
      <alignment horizontal="center" vertical="center"/>
    </xf>
    <xf numFmtId="0" fontId="16" fillId="0" borderId="54" xfId="0" applyFont="1" applyBorder="1" applyAlignment="1">
      <alignment horizontal="center" vertical="center"/>
    </xf>
    <xf numFmtId="0" fontId="16" fillId="0" borderId="34" xfId="0" applyFont="1" applyBorder="1" applyAlignment="1">
      <alignment vertical="center"/>
    </xf>
    <xf numFmtId="0" fontId="21" fillId="0" borderId="55" xfId="0" applyFont="1" applyBorder="1" applyAlignment="1">
      <alignment horizontal="center" vertical="center"/>
    </xf>
    <xf numFmtId="0" fontId="16" fillId="0" borderId="56" xfId="0" applyFont="1" applyBorder="1" applyAlignment="1">
      <alignment horizontal="center" vertical="center"/>
    </xf>
    <xf numFmtId="0" fontId="16" fillId="0" borderId="57" xfId="0" applyFont="1" applyBorder="1" applyAlignment="1">
      <alignment horizontal="center" vertical="center"/>
    </xf>
    <xf numFmtId="0" fontId="21" fillId="0" borderId="34" xfId="0" applyFont="1" applyBorder="1" applyAlignment="1">
      <alignment vertical="center"/>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31" fillId="0" borderId="34" xfId="0" applyFont="1" applyBorder="1" applyAlignment="1">
      <alignment vertical="center"/>
    </xf>
    <xf numFmtId="0" fontId="16" fillId="0" borderId="60" xfId="0" applyFont="1" applyBorder="1" applyAlignment="1">
      <alignment horizontal="center" vertical="center"/>
    </xf>
    <xf numFmtId="0" fontId="16" fillId="0" borderId="48" xfId="0" applyFont="1" applyBorder="1" applyAlignment="1">
      <alignment horizontal="center" vertical="center"/>
    </xf>
    <xf numFmtId="0" fontId="40" fillId="0" borderId="0" xfId="0" applyFont="1" applyAlignment="1">
      <alignment horizontal="center" vertical="center"/>
    </xf>
    <xf numFmtId="0" fontId="16" fillId="0" borderId="61" xfId="0" applyFont="1" applyBorder="1" applyAlignment="1">
      <alignment horizontal="center" vertical="center"/>
    </xf>
    <xf numFmtId="0" fontId="40" fillId="0" borderId="61" xfId="0" applyFont="1" applyBorder="1" applyAlignment="1">
      <alignment horizontal="center" vertical="center"/>
    </xf>
    <xf numFmtId="0" fontId="40" fillId="0" borderId="62" xfId="0" applyFont="1" applyBorder="1" applyAlignment="1">
      <alignment horizontal="center" vertical="center"/>
    </xf>
    <xf numFmtId="0" fontId="21" fillId="0" borderId="0" xfId="0" applyFont="1" applyAlignment="1">
      <alignment horizontal="left" vertical="center"/>
    </xf>
    <xf numFmtId="0" fontId="21" fillId="0" borderId="0" xfId="0" applyFont="1" applyAlignment="1">
      <alignment vertical="center" wrapText="1"/>
    </xf>
    <xf numFmtId="178" fontId="21" fillId="0" borderId="0" xfId="0" applyNumberFormat="1" applyFont="1" applyAlignment="1">
      <alignment vertical="center"/>
    </xf>
    <xf numFmtId="0" fontId="21" fillId="0" borderId="37" xfId="0" applyFont="1" applyBorder="1" applyAlignment="1">
      <alignment vertical="center"/>
    </xf>
    <xf numFmtId="0" fontId="16" fillId="0" borderId="37" xfId="0" applyFont="1" applyBorder="1" applyAlignment="1">
      <alignment vertical="center"/>
    </xf>
    <xf numFmtId="0" fontId="21" fillId="0" borderId="34" xfId="0" applyFont="1" applyBorder="1" applyAlignment="1">
      <alignment horizontal="center"/>
    </xf>
    <xf numFmtId="0" fontId="16" fillId="0" borderId="34" xfId="0" applyFont="1" applyBorder="1" applyAlignment="1">
      <alignment horizontal="center"/>
    </xf>
    <xf numFmtId="0" fontId="21" fillId="0" borderId="0" xfId="0" applyFont="1" applyAlignment="1">
      <alignment horizontal="right" wrapText="1"/>
    </xf>
    <xf numFmtId="0" fontId="21" fillId="0" borderId="0" xfId="0" applyFont="1" applyAlignment="1">
      <alignment wrapText="1"/>
    </xf>
    <xf numFmtId="0" fontId="21" fillId="0" borderId="63" xfId="0" applyFont="1" applyBorder="1" applyAlignment="1">
      <alignment horizontal="left" wrapText="1"/>
    </xf>
    <xf numFmtId="0" fontId="16" fillId="0" borderId="63" xfId="0" applyFont="1" applyBorder="1" applyAlignment="1">
      <alignment horizontal="left" wrapText="1"/>
    </xf>
    <xf numFmtId="0" fontId="16" fillId="0" borderId="0" xfId="0" applyFont="1" applyAlignment="1">
      <alignment horizontal="right" wrapText="1"/>
    </xf>
    <xf numFmtId="0" fontId="16" fillId="0" borderId="0" xfId="0" applyFont="1" applyAlignment="1">
      <alignment wrapText="1"/>
    </xf>
    <xf numFmtId="49" fontId="21" fillId="0" borderId="0" xfId="0" quotePrefix="1" applyNumberFormat="1" applyFont="1" applyAlignment="1">
      <alignment vertical="center"/>
    </xf>
    <xf numFmtId="49" fontId="21" fillId="0" borderId="0" xfId="0" applyNumberFormat="1" applyFont="1" applyAlignment="1">
      <alignment vertical="center"/>
    </xf>
    <xf numFmtId="0" fontId="21" fillId="0" borderId="0" xfId="0" quotePrefix="1" applyFont="1" applyAlignment="1">
      <alignment vertical="center"/>
    </xf>
    <xf numFmtId="178" fontId="21" fillId="0" borderId="0" xfId="0" quotePrefix="1" applyNumberFormat="1" applyFont="1" applyAlignment="1">
      <alignment vertical="center"/>
    </xf>
    <xf numFmtId="0" fontId="21" fillId="0" borderId="64" xfId="0" applyFont="1" applyBorder="1" applyAlignment="1">
      <alignment wrapText="1"/>
    </xf>
    <xf numFmtId="0" fontId="21" fillId="0" borderId="63" xfId="0" applyFont="1" applyBorder="1" applyAlignment="1">
      <alignment vertical="center" wrapText="1"/>
    </xf>
    <xf numFmtId="0" fontId="21" fillId="0" borderId="63" xfId="0" applyFont="1" applyBorder="1" applyAlignment="1">
      <alignment horizontal="right" wrapText="1"/>
    </xf>
    <xf numFmtId="0" fontId="21" fillId="0" borderId="63" xfId="0" applyFont="1" applyBorder="1" applyAlignment="1">
      <alignment wrapText="1"/>
    </xf>
    <xf numFmtId="0" fontId="16" fillId="0" borderId="63" xfId="0" applyFont="1" applyBorder="1" applyAlignment="1">
      <alignment wrapText="1"/>
    </xf>
    <xf numFmtId="0" fontId="16" fillId="0" borderId="63" xfId="0" applyFont="1" applyBorder="1" applyAlignment="1">
      <alignment horizontal="right" wrapText="1"/>
    </xf>
    <xf numFmtId="178" fontId="16" fillId="0" borderId="0" xfId="0" applyNumberFormat="1" applyFont="1" applyAlignment="1">
      <alignment horizontal="left" vertical="center"/>
    </xf>
    <xf numFmtId="0" fontId="21" fillId="0" borderId="0" xfId="0" applyFont="1" applyAlignment="1"/>
    <xf numFmtId="176" fontId="0" fillId="0" borderId="0" xfId="0" applyNumberFormat="1" applyFont="1" applyAlignment="1">
      <alignment vertical="center"/>
    </xf>
    <xf numFmtId="0" fontId="0" fillId="0" borderId="0" xfId="0" applyFont="1" applyAlignment="1">
      <alignment horizontal="left" vertical="center"/>
    </xf>
    <xf numFmtId="176" fontId="1" fillId="0" borderId="0" xfId="0" applyNumberFormat="1" applyFont="1" applyAlignment="1">
      <alignment vertical="center"/>
    </xf>
  </cellXfs>
  <cellStyles count="1">
    <cellStyle name="標準" xfId="0" builtinId="0"/>
  </cellStyles>
  <dxfs count="9">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4</xdr:col>
      <xdr:colOff>0</xdr:colOff>
      <xdr:row>1</xdr:row>
      <xdr:rowOff>209550</xdr:rowOff>
    </xdr:from>
    <xdr:ext cx="981075" cy="200025"/>
    <xdr:sp macro="" textlink="">
      <xdr:nvSpPr>
        <xdr:cNvPr id="2" name="Shape 3"/>
        <xdr:cNvSpPr/>
      </xdr:nvSpPr>
      <xdr:spPr>
        <a:xfrm>
          <a:off x="495300" y="295275"/>
          <a:ext cx="981075" cy="200025"/>
        </a:xfrm>
        <a:prstGeom prst="roundRect">
          <a:avLst>
            <a:gd name="adj" fmla="val 16667"/>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114300</xdr:colOff>
      <xdr:row>2</xdr:row>
      <xdr:rowOff>0</xdr:rowOff>
    </xdr:from>
    <xdr:ext cx="1085850" cy="200025"/>
    <xdr:sp macro="" textlink="">
      <xdr:nvSpPr>
        <xdr:cNvPr id="3" name="Shape 4"/>
        <xdr:cNvSpPr/>
      </xdr:nvSpPr>
      <xdr:spPr>
        <a:xfrm>
          <a:off x="2952750" y="295275"/>
          <a:ext cx="1085850" cy="200025"/>
        </a:xfrm>
        <a:prstGeom prst="roundRect">
          <a:avLst>
            <a:gd name="adj" fmla="val 16667"/>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0</xdr:colOff>
      <xdr:row>1</xdr:row>
      <xdr:rowOff>209550</xdr:rowOff>
    </xdr:from>
    <xdr:ext cx="981075" cy="200025"/>
    <xdr:sp macro="" textlink="">
      <xdr:nvSpPr>
        <xdr:cNvPr id="4" name="Shape 3"/>
        <xdr:cNvSpPr/>
      </xdr:nvSpPr>
      <xdr:spPr>
        <a:xfrm>
          <a:off x="495300" y="295275"/>
          <a:ext cx="981075" cy="200025"/>
        </a:xfrm>
        <a:prstGeom prst="roundRect">
          <a:avLst>
            <a:gd name="adj" fmla="val 16667"/>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0</xdr:colOff>
      <xdr:row>1</xdr:row>
      <xdr:rowOff>209550</xdr:rowOff>
    </xdr:from>
    <xdr:ext cx="981075" cy="200025"/>
    <xdr:sp macro="" textlink="">
      <xdr:nvSpPr>
        <xdr:cNvPr id="5" name="Shape 3"/>
        <xdr:cNvSpPr/>
      </xdr:nvSpPr>
      <xdr:spPr>
        <a:xfrm>
          <a:off x="495300" y="295275"/>
          <a:ext cx="981075" cy="200025"/>
        </a:xfrm>
        <a:prstGeom prst="roundRect">
          <a:avLst>
            <a:gd name="adj" fmla="val 16667"/>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0</xdr:colOff>
      <xdr:row>2</xdr:row>
      <xdr:rowOff>0</xdr:rowOff>
    </xdr:from>
    <xdr:ext cx="1143000" cy="247650"/>
    <xdr:sp macro="" textlink="">
      <xdr:nvSpPr>
        <xdr:cNvPr id="6" name="Shape 5"/>
        <xdr:cNvSpPr/>
      </xdr:nvSpPr>
      <xdr:spPr>
        <a:xfrm>
          <a:off x="495300" y="295275"/>
          <a:ext cx="1143000" cy="247650"/>
        </a:xfrm>
        <a:prstGeom prst="roundRect">
          <a:avLst>
            <a:gd name="adj" fmla="val 16667"/>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19050</xdr:colOff>
      <xdr:row>2</xdr:row>
      <xdr:rowOff>0</xdr:rowOff>
    </xdr:from>
    <xdr:ext cx="1143000" cy="247650"/>
    <xdr:sp macro="" textlink="">
      <xdr:nvSpPr>
        <xdr:cNvPr id="7" name="Shape 5"/>
        <xdr:cNvSpPr/>
      </xdr:nvSpPr>
      <xdr:spPr>
        <a:xfrm>
          <a:off x="514350" y="295275"/>
          <a:ext cx="1143000" cy="247650"/>
        </a:xfrm>
        <a:prstGeom prst="roundRect">
          <a:avLst>
            <a:gd name="adj" fmla="val 16667"/>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0</xdr:colOff>
      <xdr:row>1</xdr:row>
      <xdr:rowOff>209550</xdr:rowOff>
    </xdr:from>
    <xdr:ext cx="981075" cy="200025"/>
    <xdr:sp macro="" textlink="">
      <xdr:nvSpPr>
        <xdr:cNvPr id="8" name="Shape 3"/>
        <xdr:cNvSpPr/>
      </xdr:nvSpPr>
      <xdr:spPr>
        <a:xfrm>
          <a:off x="495300" y="295275"/>
          <a:ext cx="981075" cy="200025"/>
        </a:xfrm>
        <a:prstGeom prst="roundRect">
          <a:avLst>
            <a:gd name="adj" fmla="val 16667"/>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0</xdr:colOff>
      <xdr:row>1</xdr:row>
      <xdr:rowOff>209550</xdr:rowOff>
    </xdr:from>
    <xdr:ext cx="981075" cy="200025"/>
    <xdr:sp macro="" textlink="">
      <xdr:nvSpPr>
        <xdr:cNvPr id="9" name="Shape 3"/>
        <xdr:cNvSpPr/>
      </xdr:nvSpPr>
      <xdr:spPr>
        <a:xfrm>
          <a:off x="495300" y="295275"/>
          <a:ext cx="981075" cy="200025"/>
        </a:xfrm>
        <a:prstGeom prst="roundRect">
          <a:avLst>
            <a:gd name="adj" fmla="val 16667"/>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2522;&#12496;&#12540;&#12473;&#26143;&#24231;&#21344;&#123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データ4"/>
      <sheetName val="データ3"/>
      <sheetName val="大運data"/>
      <sheetName val="止まる"/>
      <sheetName val="大運"/>
      <sheetName val="領域図＆共有領域判別"/>
      <sheetName val="運勢リズム"/>
      <sheetName val="シート1"/>
      <sheetName val="運勢 (星)"/>
      <sheetName val="運勢"/>
      <sheetName val="人物"/>
      <sheetName val="人間関係"/>
      <sheetName val="エネルギー2"/>
      <sheetName val="エネルギー"/>
      <sheetName val="行動様式"/>
      <sheetName val="行動領域"/>
      <sheetName val="宇宙盤（PDF印刷対策）"/>
      <sheetName val="行動領域（2）"/>
      <sheetName val="現実現象"/>
      <sheetName val="現実力"/>
      <sheetName val="本質"/>
      <sheetName val="傾向2"/>
      <sheetName val="傾向"/>
      <sheetName val="意識と無意識"/>
      <sheetName val="適職"/>
      <sheetName val="役割"/>
      <sheetName val="特徴"/>
      <sheetName val="データ"/>
      <sheetName val="気の構成"/>
      <sheetName val="宿命2"/>
      <sheetName val="前世"/>
      <sheetName val="古典意味"/>
      <sheetName val="性格"/>
      <sheetName val="日干支"/>
      <sheetName val="宿命"/>
      <sheetName val="リバース占い鑑定結果"/>
      <sheetName val="リバース占い"/>
      <sheetName val="12運シート"/>
      <sheetName val="表裏星座一覧"/>
      <sheetName val="宿命 のコピー"/>
      <sheetName val="Sheet1"/>
      <sheetName val="ワード変換"/>
      <sheetName val="天中殺"/>
      <sheetName val="五指裏干支占い"/>
      <sheetName val="点数表"/>
      <sheetName val="Sheet2 (2)"/>
      <sheetName val="六親法"/>
    </sheetNames>
    <sheetDataSet>
      <sheetData sheetId="0"/>
      <sheetData sheetId="1"/>
      <sheetData sheetId="2"/>
      <sheetData sheetId="3"/>
      <sheetData sheetId="4">
        <row r="6">
          <cell r="F6" t="str">
            <v>大１</v>
          </cell>
          <cell r="G6" t="str">
            <v>乙未</v>
          </cell>
          <cell r="H6">
            <v>1991</v>
          </cell>
          <cell r="I6">
            <v>10</v>
          </cell>
          <cell r="J6" t="str">
            <v>牽牛星</v>
          </cell>
          <cell r="K6" t="str">
            <v>天堂星</v>
          </cell>
          <cell r="L6" t="str">
            <v>害</v>
          </cell>
          <cell r="M6" t="str">
            <v>－</v>
          </cell>
          <cell r="N6" t="str">
            <v>－</v>
          </cell>
          <cell r="O6" t="str">
            <v>－殺</v>
          </cell>
          <cell r="P6" t="str">
            <v/>
          </cell>
          <cell r="Q6" t="str">
            <v>幸山運</v>
          </cell>
        </row>
        <row r="7">
          <cell r="F7" t="str">
            <v>大２</v>
          </cell>
          <cell r="G7" t="str">
            <v>甲午</v>
          </cell>
          <cell r="H7">
            <v>2001</v>
          </cell>
          <cell r="I7">
            <v>20</v>
          </cell>
          <cell r="J7" t="str">
            <v>車騎星</v>
          </cell>
          <cell r="K7" t="str">
            <v>天将星</v>
          </cell>
          <cell r="L7" t="str">
            <v>天剋地冲</v>
          </cell>
          <cell r="M7" t="str">
            <v>－</v>
          </cell>
          <cell r="N7" t="str">
            <v>－</v>
          </cell>
          <cell r="O7" t="str">
            <v>－殺</v>
          </cell>
          <cell r="P7" t="str">
            <v/>
          </cell>
          <cell r="Q7" t="str">
            <v>他山運</v>
          </cell>
        </row>
        <row r="8">
          <cell r="F8" t="str">
            <v>大３</v>
          </cell>
          <cell r="G8" t="str">
            <v>癸巳</v>
          </cell>
          <cell r="H8">
            <v>2011</v>
          </cell>
          <cell r="I8">
            <v>30</v>
          </cell>
          <cell r="J8" t="str">
            <v>司禄星</v>
          </cell>
          <cell r="K8" t="str">
            <v>天禄星</v>
          </cell>
          <cell r="L8" t="str">
            <v>－</v>
          </cell>
          <cell r="M8" t="str">
            <v>支合</v>
          </cell>
          <cell r="N8" t="str">
            <v>半会</v>
          </cell>
          <cell r="O8" t="str">
            <v>異</v>
          </cell>
          <cell r="P8" t="str">
            <v>日干</v>
          </cell>
          <cell r="Q8" t="str">
            <v>幸山運</v>
          </cell>
        </row>
        <row r="9">
          <cell r="F9" t="str">
            <v>大４</v>
          </cell>
          <cell r="G9" t="str">
            <v>壬辰</v>
          </cell>
          <cell r="H9">
            <v>2021</v>
          </cell>
          <cell r="I9">
            <v>40</v>
          </cell>
          <cell r="J9" t="str">
            <v>禄存星</v>
          </cell>
          <cell r="K9" t="str">
            <v>天南星</v>
          </cell>
          <cell r="L9" t="str">
            <v>半会</v>
          </cell>
          <cell r="M9" t="str">
            <v>半会</v>
          </cell>
          <cell r="N9" t="str">
            <v>支合</v>
          </cell>
          <cell r="O9" t="str">
            <v>－</v>
          </cell>
          <cell r="P9" t="str">
            <v/>
          </cell>
          <cell r="Q9" t="str">
            <v>幸山運</v>
          </cell>
        </row>
        <row r="10">
          <cell r="F10" t="str">
            <v>大５</v>
          </cell>
          <cell r="G10" t="str">
            <v>辛卯</v>
          </cell>
          <cell r="H10">
            <v>2031</v>
          </cell>
          <cell r="I10">
            <v>50</v>
          </cell>
          <cell r="J10" t="str">
            <v>調舒星</v>
          </cell>
          <cell r="K10" t="str">
            <v>天恍星</v>
          </cell>
          <cell r="L10" t="str">
            <v>刑</v>
          </cell>
          <cell r="M10" t="str">
            <v>－</v>
          </cell>
          <cell r="N10" t="str">
            <v>納音</v>
          </cell>
          <cell r="O10" t="str">
            <v>－</v>
          </cell>
          <cell r="P10" t="str">
            <v>月干</v>
          </cell>
          <cell r="Q10" t="str">
            <v>幸山運</v>
          </cell>
        </row>
        <row r="11">
          <cell r="F11" t="str">
            <v>大６</v>
          </cell>
          <cell r="G11" t="str">
            <v>庚寅</v>
          </cell>
          <cell r="H11">
            <v>2041</v>
          </cell>
          <cell r="I11">
            <v>60</v>
          </cell>
          <cell r="J11" t="str">
            <v>鳳閣星</v>
          </cell>
          <cell r="K11" t="str">
            <v>天貴星</v>
          </cell>
          <cell r="L11" t="str">
            <v>－</v>
          </cell>
          <cell r="M11" t="str">
            <v>天剋地冲</v>
          </cell>
          <cell r="N11" t="str">
            <v>－</v>
          </cell>
          <cell r="O11" t="str">
            <v>－</v>
          </cell>
          <cell r="P11" t="str">
            <v/>
          </cell>
          <cell r="Q11" t="str">
            <v>幸山運</v>
          </cell>
        </row>
        <row r="12">
          <cell r="F12" t="str">
            <v>大７</v>
          </cell>
          <cell r="G12" t="str">
            <v>己丑</v>
          </cell>
          <cell r="H12">
            <v>2051</v>
          </cell>
          <cell r="I12">
            <v>70</v>
          </cell>
          <cell r="J12" t="str">
            <v>石門星</v>
          </cell>
          <cell r="K12" t="str">
            <v>天印星</v>
          </cell>
          <cell r="L12" t="str">
            <v>支合</v>
          </cell>
          <cell r="M12" t="str">
            <v>－</v>
          </cell>
          <cell r="N12" t="str">
            <v>半会</v>
          </cell>
          <cell r="O12" t="str">
            <v>－</v>
          </cell>
          <cell r="P12" t="str">
            <v/>
          </cell>
          <cell r="Q12" t="str">
            <v>空転運</v>
          </cell>
        </row>
        <row r="13">
          <cell r="F13" t="str">
            <v>大８</v>
          </cell>
          <cell r="G13" t="str">
            <v>戊子</v>
          </cell>
          <cell r="H13">
            <v>2061</v>
          </cell>
          <cell r="I13">
            <v>80</v>
          </cell>
          <cell r="J13" t="str">
            <v>貫索星</v>
          </cell>
          <cell r="K13" t="str">
            <v>天報星</v>
          </cell>
          <cell r="L13" t="str">
            <v>律音</v>
          </cell>
          <cell r="M13" t="str">
            <v>半会</v>
          </cell>
          <cell r="N13" t="str">
            <v>破</v>
          </cell>
          <cell r="O13" t="str">
            <v>異</v>
          </cell>
          <cell r="P13" t="str">
            <v/>
          </cell>
          <cell r="Q13" t="str">
            <v>幸山運</v>
          </cell>
        </row>
        <row r="14">
          <cell r="F14" t="str">
            <v>大９</v>
          </cell>
          <cell r="G14" t="str">
            <v>丁亥</v>
          </cell>
          <cell r="H14">
            <v>2071</v>
          </cell>
          <cell r="I14">
            <v>90</v>
          </cell>
          <cell r="J14" t="str">
            <v>玉堂星</v>
          </cell>
          <cell r="K14" t="str">
            <v>天馳星</v>
          </cell>
          <cell r="L14" t="str">
            <v>準方位</v>
          </cell>
          <cell r="M14" t="str">
            <v>害</v>
          </cell>
          <cell r="N14" t="str">
            <v>－</v>
          </cell>
          <cell r="O14" t="str">
            <v>異</v>
          </cell>
          <cell r="P14" t="str">
            <v/>
          </cell>
          <cell r="Q14" t="str">
            <v>幸山運</v>
          </cell>
        </row>
        <row r="18">
          <cell r="H18" t="str">
            <v>○非</v>
          </cell>
          <cell r="I18" t="str">
            <v>○和</v>
          </cell>
          <cell r="J18" t="str">
            <v>⦿非</v>
          </cell>
          <cell r="K18" t="str">
            <v>○和</v>
          </cell>
          <cell r="L18" t="str">
            <v>◎非</v>
          </cell>
          <cell r="M18" t="str">
            <v>◎和</v>
          </cell>
          <cell r="N18" t="str">
            <v>△非</v>
          </cell>
          <cell r="O18" t="str">
            <v>△和</v>
          </cell>
          <cell r="P18" t="str">
            <v>×非</v>
          </cell>
        </row>
        <row r="19">
          <cell r="H19" t="str">
            <v>×和</v>
          </cell>
          <cell r="I19" t="str">
            <v>×非</v>
          </cell>
          <cell r="J19" t="str">
            <v>○和</v>
          </cell>
          <cell r="K19" t="str">
            <v>○非</v>
          </cell>
          <cell r="L19" t="str">
            <v>◎和</v>
          </cell>
          <cell r="M19" t="str">
            <v>⦿非</v>
          </cell>
          <cell r="N19" t="str">
            <v>◎和</v>
          </cell>
          <cell r="O19" t="str">
            <v>◎非</v>
          </cell>
          <cell r="P19" t="str">
            <v>△和</v>
          </cell>
        </row>
        <row r="20">
          <cell r="H20" t="str">
            <v>×非</v>
          </cell>
          <cell r="I20" t="str">
            <v>×和</v>
          </cell>
          <cell r="J20" t="str">
            <v>○非</v>
          </cell>
          <cell r="K20" t="str">
            <v>○和</v>
          </cell>
          <cell r="L20" t="str">
            <v>⦿非</v>
          </cell>
          <cell r="M20" t="str">
            <v>○和</v>
          </cell>
          <cell r="N20" t="str">
            <v>◎非</v>
          </cell>
          <cell r="O20" t="str">
            <v>◎和</v>
          </cell>
          <cell r="P20" t="str">
            <v>△非</v>
          </cell>
        </row>
        <row r="21">
          <cell r="H21" t="str">
            <v>◎和</v>
          </cell>
          <cell r="I21" t="str">
            <v>◎非</v>
          </cell>
          <cell r="J21" t="str">
            <v>△和</v>
          </cell>
          <cell r="K21" t="str">
            <v>△非</v>
          </cell>
          <cell r="L21" t="str">
            <v>×和</v>
          </cell>
          <cell r="M21" t="str">
            <v>×非</v>
          </cell>
          <cell r="N21" t="str">
            <v>○和</v>
          </cell>
          <cell r="O21" t="str">
            <v>○非</v>
          </cell>
          <cell r="P21" t="str">
            <v>◎和</v>
          </cell>
        </row>
        <row r="22">
          <cell r="H22" t="str">
            <v>×非</v>
          </cell>
          <cell r="I22" t="str">
            <v>×和</v>
          </cell>
          <cell r="J22" t="str">
            <v>○非</v>
          </cell>
          <cell r="K22" t="str">
            <v>○和</v>
          </cell>
          <cell r="L22" t="str">
            <v>⦿非</v>
          </cell>
          <cell r="M22" t="str">
            <v>○和</v>
          </cell>
          <cell r="N22" t="str">
            <v>◎非</v>
          </cell>
          <cell r="O22" t="str">
            <v>◎和</v>
          </cell>
          <cell r="P22" t="str">
            <v>△非</v>
          </cell>
        </row>
        <row r="31">
          <cell r="B31">
            <v>1</v>
          </cell>
          <cell r="C31" t="str">
            <v>甲子</v>
          </cell>
        </row>
        <row r="32">
          <cell r="B32">
            <v>2</v>
          </cell>
          <cell r="C32" t="str">
            <v>乙丑</v>
          </cell>
        </row>
        <row r="33">
          <cell r="B33">
            <v>3</v>
          </cell>
          <cell r="C33" t="str">
            <v>丙寅</v>
          </cell>
        </row>
        <row r="34">
          <cell r="B34">
            <v>4</v>
          </cell>
          <cell r="C34" t="str">
            <v>丁卯</v>
          </cell>
        </row>
        <row r="35">
          <cell r="B35">
            <v>5</v>
          </cell>
          <cell r="C35" t="str">
            <v>戊辰</v>
          </cell>
        </row>
        <row r="36">
          <cell r="B36">
            <v>6</v>
          </cell>
          <cell r="C36" t="str">
            <v>己巳</v>
          </cell>
        </row>
        <row r="37">
          <cell r="B37">
            <v>7</v>
          </cell>
          <cell r="C37" t="str">
            <v>庚午</v>
          </cell>
        </row>
        <row r="38">
          <cell r="B38">
            <v>8</v>
          </cell>
          <cell r="C38" t="str">
            <v>辛未</v>
          </cell>
        </row>
        <row r="39">
          <cell r="B39">
            <v>9</v>
          </cell>
          <cell r="C39" t="str">
            <v>壬申</v>
          </cell>
        </row>
        <row r="40">
          <cell r="B40">
            <v>10</v>
          </cell>
          <cell r="C40" t="str">
            <v>癸酉</v>
          </cell>
        </row>
        <row r="41">
          <cell r="B41">
            <v>11</v>
          </cell>
          <cell r="C41" t="str">
            <v>甲戌</v>
          </cell>
        </row>
        <row r="42">
          <cell r="B42">
            <v>12</v>
          </cell>
          <cell r="C42" t="str">
            <v>乙亥</v>
          </cell>
        </row>
        <row r="43">
          <cell r="B43">
            <v>13</v>
          </cell>
          <cell r="C43" t="str">
            <v>丙子</v>
          </cell>
        </row>
        <row r="44">
          <cell r="B44">
            <v>14</v>
          </cell>
          <cell r="C44" t="str">
            <v>丁丑</v>
          </cell>
        </row>
        <row r="45">
          <cell r="B45">
            <v>15</v>
          </cell>
          <cell r="C45" t="str">
            <v>戊寅</v>
          </cell>
          <cell r="H45" t="str">
            <v>1+1</v>
          </cell>
          <cell r="I45" t="str">
            <v>律音</v>
          </cell>
          <cell r="J45" t="str">
            <v>貫索星</v>
          </cell>
          <cell r="K45" t="str">
            <v>天恍星</v>
          </cell>
        </row>
        <row r="46">
          <cell r="B46">
            <v>16</v>
          </cell>
          <cell r="C46" t="str">
            <v>己卯</v>
          </cell>
          <cell r="H46" t="str">
            <v>1+2</v>
          </cell>
          <cell r="I46" t="str">
            <v>支合</v>
          </cell>
          <cell r="J46" t="str">
            <v>石門星</v>
          </cell>
          <cell r="K46" t="str">
            <v>天南星</v>
          </cell>
        </row>
        <row r="47">
          <cell r="B47">
            <v>17</v>
          </cell>
          <cell r="C47" t="str">
            <v>庚辰</v>
          </cell>
          <cell r="H47" t="str">
            <v>1+3</v>
          </cell>
          <cell r="I47" t="str">
            <v>－</v>
          </cell>
          <cell r="J47" t="str">
            <v>鳳閣星</v>
          </cell>
          <cell r="K47" t="str">
            <v>天禄星</v>
          </cell>
        </row>
        <row r="48">
          <cell r="B48">
            <v>18</v>
          </cell>
          <cell r="C48" t="str">
            <v>辛巳</v>
          </cell>
          <cell r="H48" t="str">
            <v>1+4</v>
          </cell>
          <cell r="I48" t="str">
            <v>刑</v>
          </cell>
          <cell r="J48" t="str">
            <v>調舒星</v>
          </cell>
          <cell r="K48" t="str">
            <v>天将星</v>
          </cell>
        </row>
        <row r="49">
          <cell r="B49">
            <v>19</v>
          </cell>
          <cell r="C49" t="str">
            <v>壬午</v>
          </cell>
          <cell r="H49" t="str">
            <v>1+5</v>
          </cell>
          <cell r="I49" t="str">
            <v>半会</v>
          </cell>
          <cell r="J49" t="str">
            <v>禄存星</v>
          </cell>
          <cell r="K49" t="str">
            <v>天堂星</v>
          </cell>
        </row>
        <row r="50">
          <cell r="B50">
            <v>20</v>
          </cell>
          <cell r="C50" t="str">
            <v>癸未</v>
          </cell>
          <cell r="H50" t="str">
            <v>1+6</v>
          </cell>
          <cell r="I50" t="str">
            <v>－</v>
          </cell>
          <cell r="J50" t="str">
            <v>司禄星</v>
          </cell>
          <cell r="K50" t="str">
            <v>天胡星</v>
          </cell>
        </row>
        <row r="51">
          <cell r="B51">
            <v>21</v>
          </cell>
          <cell r="C51" t="str">
            <v>甲申</v>
          </cell>
          <cell r="H51" t="str">
            <v>1+7</v>
          </cell>
          <cell r="I51" t="str">
            <v>天剋地冲</v>
          </cell>
          <cell r="J51" t="str">
            <v>車騎星</v>
          </cell>
          <cell r="K51" t="str">
            <v>天極星</v>
          </cell>
        </row>
        <row r="52">
          <cell r="B52">
            <v>22</v>
          </cell>
          <cell r="C52" t="str">
            <v>乙酉</v>
          </cell>
          <cell r="H52" t="str">
            <v>1+8</v>
          </cell>
          <cell r="I52" t="str">
            <v>害</v>
          </cell>
          <cell r="J52" t="str">
            <v>牽牛星</v>
          </cell>
          <cell r="K52" t="str">
            <v>天庫星</v>
          </cell>
        </row>
        <row r="53">
          <cell r="B53">
            <v>23</v>
          </cell>
          <cell r="C53" t="str">
            <v>丙戌</v>
          </cell>
          <cell r="H53" t="str">
            <v>1+9</v>
          </cell>
          <cell r="I53" t="str">
            <v>半会</v>
          </cell>
          <cell r="J53" t="str">
            <v>龍高星</v>
          </cell>
          <cell r="K53" t="str">
            <v>天馳星</v>
          </cell>
        </row>
        <row r="54">
          <cell r="B54">
            <v>24</v>
          </cell>
          <cell r="C54" t="str">
            <v>丁亥</v>
          </cell>
          <cell r="H54" t="str">
            <v>1+10</v>
          </cell>
          <cell r="I54" t="str">
            <v>破</v>
          </cell>
          <cell r="J54" t="str">
            <v>玉堂星</v>
          </cell>
          <cell r="K54" t="str">
            <v>天報星</v>
          </cell>
        </row>
        <row r="55">
          <cell r="B55">
            <v>25</v>
          </cell>
          <cell r="C55" t="str">
            <v>戊子</v>
          </cell>
          <cell r="H55" t="str">
            <v>1+11</v>
          </cell>
          <cell r="I55" t="str">
            <v>－</v>
          </cell>
          <cell r="J55" t="str">
            <v>貫索星</v>
          </cell>
          <cell r="K55" t="str">
            <v>天印星</v>
          </cell>
        </row>
        <row r="56">
          <cell r="B56">
            <v>26</v>
          </cell>
          <cell r="C56" t="str">
            <v>己丑</v>
          </cell>
          <cell r="H56" t="str">
            <v>1+12</v>
          </cell>
          <cell r="I56" t="str">
            <v>準方位</v>
          </cell>
          <cell r="J56" t="str">
            <v>石門星</v>
          </cell>
          <cell r="K56" t="str">
            <v>天貴星</v>
          </cell>
        </row>
        <row r="57">
          <cell r="B57">
            <v>27</v>
          </cell>
          <cell r="C57" t="str">
            <v>庚寅</v>
          </cell>
          <cell r="H57" t="str">
            <v>1+13</v>
          </cell>
          <cell r="I57" t="str">
            <v>同</v>
          </cell>
          <cell r="J57" t="str">
            <v>鳳閣星</v>
          </cell>
          <cell r="K57" t="str">
            <v>天恍星</v>
          </cell>
        </row>
        <row r="58">
          <cell r="B58">
            <v>28</v>
          </cell>
          <cell r="C58" t="str">
            <v>辛卯</v>
          </cell>
          <cell r="H58" t="str">
            <v>1+14</v>
          </cell>
          <cell r="I58" t="str">
            <v>支合</v>
          </cell>
          <cell r="J58" t="str">
            <v>調舒星</v>
          </cell>
          <cell r="K58" t="str">
            <v>天南星</v>
          </cell>
        </row>
        <row r="59">
          <cell r="B59">
            <v>29</v>
          </cell>
          <cell r="C59" t="str">
            <v>壬辰</v>
          </cell>
          <cell r="H59" t="str">
            <v>1+15</v>
          </cell>
          <cell r="I59" t="str">
            <v>－</v>
          </cell>
          <cell r="J59" t="str">
            <v>禄存星</v>
          </cell>
          <cell r="K59" t="str">
            <v>天禄星</v>
          </cell>
        </row>
        <row r="60">
          <cell r="B60">
            <v>30</v>
          </cell>
          <cell r="C60" t="str">
            <v>癸巳</v>
          </cell>
          <cell r="H60" t="str">
            <v>1+16</v>
          </cell>
          <cell r="I60" t="str">
            <v>刑</v>
          </cell>
          <cell r="J60" t="str">
            <v>司禄星</v>
          </cell>
          <cell r="K60" t="str">
            <v>天将星</v>
          </cell>
        </row>
        <row r="61">
          <cell r="B61">
            <v>31</v>
          </cell>
          <cell r="C61" t="str">
            <v>甲午</v>
          </cell>
          <cell r="H61" t="str">
            <v>1+17</v>
          </cell>
          <cell r="I61" t="str">
            <v>半会</v>
          </cell>
          <cell r="J61" t="str">
            <v>車騎星</v>
          </cell>
          <cell r="K61" t="str">
            <v>天堂星</v>
          </cell>
        </row>
        <row r="62">
          <cell r="B62">
            <v>32</v>
          </cell>
          <cell r="C62" t="str">
            <v>乙未</v>
          </cell>
          <cell r="H62" t="str">
            <v>1+18</v>
          </cell>
          <cell r="I62" t="str">
            <v>－</v>
          </cell>
          <cell r="J62" t="str">
            <v>牽牛星</v>
          </cell>
          <cell r="K62" t="str">
            <v>天胡星</v>
          </cell>
        </row>
        <row r="63">
          <cell r="B63">
            <v>33</v>
          </cell>
          <cell r="C63" t="str">
            <v>丙申</v>
          </cell>
          <cell r="H63" t="str">
            <v>1+19</v>
          </cell>
          <cell r="I63" t="str">
            <v>対冲</v>
          </cell>
          <cell r="J63" t="str">
            <v>龍高星</v>
          </cell>
          <cell r="K63" t="str">
            <v>天極星</v>
          </cell>
        </row>
        <row r="64">
          <cell r="B64">
            <v>34</v>
          </cell>
          <cell r="C64" t="str">
            <v>丁酉</v>
          </cell>
          <cell r="H64" t="str">
            <v>1+20</v>
          </cell>
          <cell r="I64" t="str">
            <v>害</v>
          </cell>
          <cell r="J64" t="str">
            <v>玉堂星</v>
          </cell>
          <cell r="K64" t="str">
            <v>天庫星</v>
          </cell>
        </row>
        <row r="65">
          <cell r="B65">
            <v>35</v>
          </cell>
          <cell r="C65" t="str">
            <v>戊戌</v>
          </cell>
          <cell r="H65" t="str">
            <v>1+21</v>
          </cell>
          <cell r="I65" t="str">
            <v>大半会</v>
          </cell>
          <cell r="J65" t="str">
            <v>貫索星</v>
          </cell>
          <cell r="K65" t="str">
            <v>天馳星</v>
          </cell>
        </row>
        <row r="66">
          <cell r="B66">
            <v>36</v>
          </cell>
          <cell r="C66" t="str">
            <v>己亥</v>
          </cell>
          <cell r="H66" t="str">
            <v>1+22</v>
          </cell>
          <cell r="I66" t="str">
            <v>破</v>
          </cell>
          <cell r="J66" t="str">
            <v>石門星</v>
          </cell>
          <cell r="K66" t="str">
            <v>天報星</v>
          </cell>
        </row>
        <row r="67">
          <cell r="B67">
            <v>37</v>
          </cell>
          <cell r="C67" t="str">
            <v>庚子</v>
          </cell>
          <cell r="H67" t="str">
            <v>1+23</v>
          </cell>
          <cell r="I67" t="str">
            <v>－</v>
          </cell>
          <cell r="J67" t="str">
            <v>鳳閣星</v>
          </cell>
          <cell r="K67" t="str">
            <v>天印星</v>
          </cell>
        </row>
        <row r="68">
          <cell r="B68">
            <v>38</v>
          </cell>
          <cell r="C68" t="str">
            <v>辛丑</v>
          </cell>
          <cell r="H68" t="str">
            <v>1+24</v>
          </cell>
          <cell r="I68" t="str">
            <v>準方位</v>
          </cell>
          <cell r="J68" t="str">
            <v>調舒星</v>
          </cell>
          <cell r="K68" t="str">
            <v>天貴星</v>
          </cell>
        </row>
        <row r="69">
          <cell r="B69">
            <v>39</v>
          </cell>
          <cell r="C69" t="str">
            <v>壬寅</v>
          </cell>
          <cell r="H69" t="str">
            <v>1+25</v>
          </cell>
          <cell r="I69" t="str">
            <v>同</v>
          </cell>
          <cell r="J69" t="str">
            <v>禄存星</v>
          </cell>
          <cell r="K69" t="str">
            <v>天恍星</v>
          </cell>
        </row>
        <row r="70">
          <cell r="B70">
            <v>40</v>
          </cell>
          <cell r="C70" t="str">
            <v>癸卯</v>
          </cell>
          <cell r="H70" t="str">
            <v>1+26</v>
          </cell>
          <cell r="I70" t="str">
            <v>支合</v>
          </cell>
          <cell r="J70" t="str">
            <v>司禄星</v>
          </cell>
          <cell r="K70" t="str">
            <v>天南星</v>
          </cell>
        </row>
        <row r="71">
          <cell r="B71">
            <v>41</v>
          </cell>
          <cell r="C71" t="str">
            <v>甲辰</v>
          </cell>
          <cell r="H71" t="str">
            <v>1+27</v>
          </cell>
          <cell r="I71" t="str">
            <v>－</v>
          </cell>
          <cell r="J71" t="str">
            <v>車騎星</v>
          </cell>
          <cell r="K71" t="str">
            <v>天禄星</v>
          </cell>
        </row>
        <row r="72">
          <cell r="B72">
            <v>42</v>
          </cell>
          <cell r="C72" t="str">
            <v>乙巳</v>
          </cell>
          <cell r="H72" t="str">
            <v>1+28</v>
          </cell>
          <cell r="I72" t="str">
            <v>刑</v>
          </cell>
          <cell r="J72" t="str">
            <v>牽牛星</v>
          </cell>
          <cell r="K72" t="str">
            <v>天将星</v>
          </cell>
        </row>
        <row r="73">
          <cell r="B73">
            <v>43</v>
          </cell>
          <cell r="C73" t="str">
            <v>丙午</v>
          </cell>
          <cell r="H73" t="str">
            <v>1+29</v>
          </cell>
          <cell r="I73" t="str">
            <v>半会</v>
          </cell>
          <cell r="J73" t="str">
            <v>龍高星</v>
          </cell>
          <cell r="K73" t="str">
            <v>天堂星</v>
          </cell>
        </row>
        <row r="74">
          <cell r="B74">
            <v>44</v>
          </cell>
          <cell r="C74" t="str">
            <v>丁未</v>
          </cell>
          <cell r="H74" t="str">
            <v>1+30</v>
          </cell>
          <cell r="I74" t="str">
            <v>－</v>
          </cell>
          <cell r="J74" t="str">
            <v>玉堂星</v>
          </cell>
          <cell r="K74" t="str">
            <v>天胡星</v>
          </cell>
        </row>
        <row r="75">
          <cell r="B75">
            <v>45</v>
          </cell>
          <cell r="C75" t="str">
            <v>戊申</v>
          </cell>
          <cell r="H75" t="str">
            <v>1+31</v>
          </cell>
          <cell r="I75" t="str">
            <v>納音</v>
          </cell>
          <cell r="J75" t="str">
            <v>貫索星</v>
          </cell>
          <cell r="K75" t="str">
            <v>天極星</v>
          </cell>
        </row>
        <row r="76">
          <cell r="B76">
            <v>46</v>
          </cell>
          <cell r="C76" t="str">
            <v>己酉</v>
          </cell>
          <cell r="H76" t="str">
            <v>1+32</v>
          </cell>
          <cell r="I76" t="str">
            <v>害</v>
          </cell>
          <cell r="J76" t="str">
            <v>石門星</v>
          </cell>
          <cell r="K76" t="str">
            <v>天庫星</v>
          </cell>
        </row>
        <row r="77">
          <cell r="B77">
            <v>47</v>
          </cell>
          <cell r="C77" t="str">
            <v>庚戌</v>
          </cell>
          <cell r="H77" t="str">
            <v>1+33</v>
          </cell>
          <cell r="I77" t="str">
            <v>半会</v>
          </cell>
          <cell r="J77" t="str">
            <v>鳳閣星</v>
          </cell>
          <cell r="K77" t="str">
            <v>天馳星</v>
          </cell>
        </row>
        <row r="78">
          <cell r="B78">
            <v>48</v>
          </cell>
          <cell r="C78" t="str">
            <v>辛亥</v>
          </cell>
          <cell r="H78" t="str">
            <v>1+34</v>
          </cell>
          <cell r="I78" t="str">
            <v>破</v>
          </cell>
          <cell r="J78" t="str">
            <v>調舒星</v>
          </cell>
          <cell r="K78" t="str">
            <v>天報星</v>
          </cell>
        </row>
        <row r="79">
          <cell r="B79">
            <v>49</v>
          </cell>
          <cell r="C79" t="str">
            <v>壬子</v>
          </cell>
          <cell r="H79" t="str">
            <v>1+35</v>
          </cell>
          <cell r="I79" t="str">
            <v>－</v>
          </cell>
          <cell r="J79" t="str">
            <v>禄存星</v>
          </cell>
          <cell r="K79" t="str">
            <v>天印星</v>
          </cell>
        </row>
        <row r="80">
          <cell r="B80">
            <v>50</v>
          </cell>
          <cell r="C80" t="str">
            <v>癸丑</v>
          </cell>
          <cell r="H80" t="str">
            <v>1+36</v>
          </cell>
          <cell r="I80" t="str">
            <v>準方位</v>
          </cell>
          <cell r="J80" t="str">
            <v>司禄星</v>
          </cell>
          <cell r="K80" t="str">
            <v>天貴星</v>
          </cell>
        </row>
        <row r="81">
          <cell r="B81">
            <v>51</v>
          </cell>
          <cell r="C81" t="str">
            <v>甲寅</v>
          </cell>
          <cell r="H81" t="str">
            <v>1+37</v>
          </cell>
          <cell r="I81" t="str">
            <v>同</v>
          </cell>
          <cell r="J81" t="str">
            <v>車騎星</v>
          </cell>
          <cell r="K81" t="str">
            <v>天恍星</v>
          </cell>
        </row>
        <row r="82">
          <cell r="B82">
            <v>52</v>
          </cell>
          <cell r="C82" t="str">
            <v>乙卯</v>
          </cell>
          <cell r="H82" t="str">
            <v>1+38</v>
          </cell>
          <cell r="I82" t="str">
            <v>支合</v>
          </cell>
          <cell r="J82" t="str">
            <v>牽牛星</v>
          </cell>
          <cell r="K82" t="str">
            <v>天南星</v>
          </cell>
        </row>
        <row r="83">
          <cell r="B83">
            <v>53</v>
          </cell>
          <cell r="C83" t="str">
            <v>丙辰</v>
          </cell>
          <cell r="H83" t="str">
            <v>1+39</v>
          </cell>
          <cell r="I83" t="str">
            <v>－</v>
          </cell>
          <cell r="J83" t="str">
            <v>龍高星</v>
          </cell>
          <cell r="K83" t="str">
            <v>天禄星</v>
          </cell>
        </row>
        <row r="84">
          <cell r="B84">
            <v>54</v>
          </cell>
          <cell r="C84" t="str">
            <v>丁巳</v>
          </cell>
          <cell r="H84" t="str">
            <v>1+40</v>
          </cell>
          <cell r="I84" t="str">
            <v>刑</v>
          </cell>
          <cell r="J84" t="str">
            <v>玉堂星</v>
          </cell>
          <cell r="K84" t="str">
            <v>天将星</v>
          </cell>
        </row>
        <row r="85">
          <cell r="B85">
            <v>55</v>
          </cell>
          <cell r="C85" t="str">
            <v>戊午</v>
          </cell>
          <cell r="H85" t="str">
            <v>1+41</v>
          </cell>
          <cell r="I85" t="str">
            <v>大半会</v>
          </cell>
          <cell r="J85" t="str">
            <v>貫索星</v>
          </cell>
          <cell r="K85" t="str">
            <v>天堂星</v>
          </cell>
        </row>
        <row r="86">
          <cell r="B86">
            <v>56</v>
          </cell>
          <cell r="C86" t="str">
            <v>己未</v>
          </cell>
          <cell r="H86" t="str">
            <v>1+42</v>
          </cell>
          <cell r="I86" t="str">
            <v>－</v>
          </cell>
          <cell r="J86" t="str">
            <v>石門星</v>
          </cell>
          <cell r="K86" t="str">
            <v>天胡星</v>
          </cell>
        </row>
        <row r="87">
          <cell r="B87">
            <v>57</v>
          </cell>
          <cell r="C87" t="str">
            <v>庚申</v>
          </cell>
          <cell r="H87" t="str">
            <v>1+43</v>
          </cell>
          <cell r="I87" t="str">
            <v>対冲</v>
          </cell>
          <cell r="J87" t="str">
            <v>鳳閣星</v>
          </cell>
          <cell r="K87" t="str">
            <v>天極星</v>
          </cell>
        </row>
        <row r="88">
          <cell r="B88">
            <v>58</v>
          </cell>
          <cell r="C88" t="str">
            <v>辛酉</v>
          </cell>
          <cell r="H88" t="str">
            <v>1+44</v>
          </cell>
          <cell r="I88" t="str">
            <v>害</v>
          </cell>
          <cell r="J88" t="str">
            <v>調舒星</v>
          </cell>
          <cell r="K88" t="str">
            <v>天庫星</v>
          </cell>
        </row>
        <row r="89">
          <cell r="B89">
            <v>59</v>
          </cell>
          <cell r="C89" t="str">
            <v>壬戌</v>
          </cell>
          <cell r="H89" t="str">
            <v>1+45</v>
          </cell>
          <cell r="I89" t="str">
            <v>半会</v>
          </cell>
          <cell r="J89" t="str">
            <v>禄存星</v>
          </cell>
          <cell r="K89" t="str">
            <v>天馳星</v>
          </cell>
        </row>
        <row r="90">
          <cell r="B90">
            <v>60</v>
          </cell>
          <cell r="C90" t="str">
            <v>癸亥</v>
          </cell>
          <cell r="H90" t="str">
            <v>1+46</v>
          </cell>
          <cell r="I90" t="str">
            <v>破</v>
          </cell>
          <cell r="J90" t="str">
            <v>司禄星</v>
          </cell>
          <cell r="K90" t="str">
            <v>天報星</v>
          </cell>
        </row>
        <row r="91">
          <cell r="H91" t="str">
            <v>1+47</v>
          </cell>
          <cell r="I91" t="str">
            <v>－</v>
          </cell>
          <cell r="J91" t="str">
            <v>車騎星</v>
          </cell>
          <cell r="K91" t="str">
            <v>天印星</v>
          </cell>
        </row>
        <row r="92">
          <cell r="H92" t="str">
            <v>1+48</v>
          </cell>
          <cell r="I92" t="str">
            <v>準方位</v>
          </cell>
          <cell r="J92" t="str">
            <v>牽牛星</v>
          </cell>
          <cell r="K92" t="str">
            <v>天貴星</v>
          </cell>
        </row>
        <row r="93">
          <cell r="H93" t="str">
            <v>1+49</v>
          </cell>
          <cell r="I93" t="str">
            <v>同</v>
          </cell>
          <cell r="J93" t="str">
            <v>龍高星</v>
          </cell>
          <cell r="K93" t="str">
            <v>天恍星</v>
          </cell>
        </row>
        <row r="94">
          <cell r="H94" t="str">
            <v>1+50</v>
          </cell>
          <cell r="I94" t="str">
            <v>支合</v>
          </cell>
          <cell r="J94" t="str">
            <v>玉堂星</v>
          </cell>
          <cell r="K94" t="str">
            <v>天南星</v>
          </cell>
        </row>
        <row r="95">
          <cell r="H95" t="str">
            <v>1+51</v>
          </cell>
          <cell r="I95" t="str">
            <v>－</v>
          </cell>
          <cell r="J95" t="str">
            <v>貫索星</v>
          </cell>
          <cell r="K95" t="str">
            <v>天禄星</v>
          </cell>
        </row>
        <row r="96">
          <cell r="H96" t="str">
            <v>1+52</v>
          </cell>
          <cell r="I96" t="str">
            <v>刑</v>
          </cell>
          <cell r="J96" t="str">
            <v>石門星</v>
          </cell>
          <cell r="K96" t="str">
            <v>天将星</v>
          </cell>
        </row>
        <row r="97">
          <cell r="H97" t="str">
            <v>1+53</v>
          </cell>
          <cell r="I97" t="str">
            <v>半会</v>
          </cell>
          <cell r="J97" t="str">
            <v>鳳閣星</v>
          </cell>
          <cell r="K97" t="str">
            <v>天堂星</v>
          </cell>
        </row>
        <row r="98">
          <cell r="H98" t="str">
            <v>1+54</v>
          </cell>
          <cell r="I98" t="str">
            <v>－</v>
          </cell>
          <cell r="J98" t="str">
            <v>調舒星</v>
          </cell>
          <cell r="K98" t="str">
            <v>天胡星</v>
          </cell>
        </row>
        <row r="99">
          <cell r="H99" t="str">
            <v>1+55</v>
          </cell>
          <cell r="I99" t="str">
            <v>天剋地冲</v>
          </cell>
          <cell r="J99" t="str">
            <v>禄存星</v>
          </cell>
          <cell r="K99" t="str">
            <v>天極星</v>
          </cell>
        </row>
        <row r="100">
          <cell r="H100" t="str">
            <v>1+56</v>
          </cell>
          <cell r="I100" t="str">
            <v>害</v>
          </cell>
          <cell r="J100" t="str">
            <v>司禄星</v>
          </cell>
          <cell r="K100" t="str">
            <v>天庫星</v>
          </cell>
        </row>
        <row r="101">
          <cell r="H101" t="str">
            <v>1+57</v>
          </cell>
          <cell r="I101" t="str">
            <v>半会</v>
          </cell>
          <cell r="J101" t="str">
            <v>車騎星</v>
          </cell>
          <cell r="K101" t="str">
            <v>天馳星</v>
          </cell>
        </row>
        <row r="102">
          <cell r="H102" t="str">
            <v>1+58</v>
          </cell>
          <cell r="I102" t="str">
            <v>破</v>
          </cell>
          <cell r="J102" t="str">
            <v>牽牛星</v>
          </cell>
          <cell r="K102" t="str">
            <v>天報星</v>
          </cell>
        </row>
        <row r="103">
          <cell r="H103" t="str">
            <v>1+59</v>
          </cell>
          <cell r="I103" t="str">
            <v>－</v>
          </cell>
          <cell r="J103" t="str">
            <v>龍高星</v>
          </cell>
          <cell r="K103" t="str">
            <v>天印星</v>
          </cell>
        </row>
        <row r="104">
          <cell r="H104" t="str">
            <v>1+60</v>
          </cell>
          <cell r="I104" t="str">
            <v>準方位</v>
          </cell>
          <cell r="J104" t="str">
            <v>玉堂星</v>
          </cell>
          <cell r="K104" t="str">
            <v>天貴星</v>
          </cell>
        </row>
        <row r="105">
          <cell r="H105" t="str">
            <v>2+1</v>
          </cell>
          <cell r="I105" t="str">
            <v>支合</v>
          </cell>
          <cell r="J105" t="str">
            <v>石門星</v>
          </cell>
          <cell r="K105" t="str">
            <v>天胡星</v>
          </cell>
        </row>
        <row r="106">
          <cell r="H106" t="str">
            <v>2+2</v>
          </cell>
          <cell r="I106" t="str">
            <v>律音</v>
          </cell>
          <cell r="J106" t="str">
            <v>貫索星</v>
          </cell>
          <cell r="K106" t="str">
            <v>天堂星</v>
          </cell>
        </row>
        <row r="107">
          <cell r="H107" t="str">
            <v>2+3</v>
          </cell>
          <cell r="I107" t="str">
            <v>－</v>
          </cell>
          <cell r="J107" t="str">
            <v>調舒星</v>
          </cell>
          <cell r="K107" t="str">
            <v>天将星</v>
          </cell>
        </row>
        <row r="108">
          <cell r="H108" t="str">
            <v>2+4</v>
          </cell>
          <cell r="I108" t="str">
            <v>－</v>
          </cell>
          <cell r="J108" t="str">
            <v>鳳閣星</v>
          </cell>
          <cell r="K108" t="str">
            <v>天禄星</v>
          </cell>
        </row>
        <row r="109">
          <cell r="H109" t="str">
            <v>2+5</v>
          </cell>
          <cell r="I109" t="str">
            <v>破</v>
          </cell>
          <cell r="J109" t="str">
            <v>司禄星</v>
          </cell>
          <cell r="K109" t="str">
            <v>天南星</v>
          </cell>
        </row>
        <row r="110">
          <cell r="H110" t="str">
            <v>2+6</v>
          </cell>
          <cell r="I110" t="str">
            <v>半会</v>
          </cell>
          <cell r="J110" t="str">
            <v>禄存星</v>
          </cell>
          <cell r="K110" t="str">
            <v>天恍星</v>
          </cell>
        </row>
        <row r="111">
          <cell r="H111" t="str">
            <v>2+7</v>
          </cell>
          <cell r="I111" t="str">
            <v>害</v>
          </cell>
          <cell r="J111" t="str">
            <v>牽牛星</v>
          </cell>
          <cell r="K111" t="str">
            <v>天貴星</v>
          </cell>
        </row>
        <row r="112">
          <cell r="H112" t="str">
            <v>2+8</v>
          </cell>
          <cell r="I112" t="str">
            <v>天剋地冲</v>
          </cell>
          <cell r="J112" t="str">
            <v>車騎星</v>
          </cell>
          <cell r="K112" t="str">
            <v>天印星</v>
          </cell>
        </row>
        <row r="113">
          <cell r="H113" t="str">
            <v>2+9</v>
          </cell>
          <cell r="I113" t="str">
            <v>－</v>
          </cell>
          <cell r="J113" t="str">
            <v>玉堂星</v>
          </cell>
          <cell r="K113" t="str">
            <v>天報星</v>
          </cell>
        </row>
        <row r="114">
          <cell r="H114" t="str">
            <v>2+10</v>
          </cell>
          <cell r="I114" t="str">
            <v>半会</v>
          </cell>
          <cell r="J114" t="str">
            <v>龍高星</v>
          </cell>
          <cell r="K114" t="str">
            <v>天馳星</v>
          </cell>
        </row>
        <row r="115">
          <cell r="H115" t="str">
            <v>2+11</v>
          </cell>
          <cell r="I115" t="str">
            <v>刑</v>
          </cell>
          <cell r="J115" t="str">
            <v>石門星</v>
          </cell>
          <cell r="K115" t="str">
            <v>天庫星</v>
          </cell>
        </row>
        <row r="116">
          <cell r="H116" t="str">
            <v>2+12</v>
          </cell>
          <cell r="I116" t="str">
            <v>準方位</v>
          </cell>
          <cell r="J116" t="str">
            <v>貫索星</v>
          </cell>
          <cell r="K116" t="str">
            <v>天極星</v>
          </cell>
        </row>
        <row r="117">
          <cell r="H117" t="str">
            <v>2+13</v>
          </cell>
          <cell r="I117" t="str">
            <v>支合</v>
          </cell>
          <cell r="J117" t="str">
            <v>調舒星</v>
          </cell>
          <cell r="K117" t="str">
            <v>天胡星</v>
          </cell>
        </row>
        <row r="118">
          <cell r="H118" t="str">
            <v>2+14</v>
          </cell>
          <cell r="I118" t="str">
            <v>同</v>
          </cell>
          <cell r="J118" t="str">
            <v>鳳閣星</v>
          </cell>
          <cell r="K118" t="str">
            <v>天堂星</v>
          </cell>
        </row>
        <row r="119">
          <cell r="H119" t="str">
            <v>2+15</v>
          </cell>
          <cell r="I119" t="str">
            <v>－</v>
          </cell>
          <cell r="J119" t="str">
            <v>司禄星</v>
          </cell>
          <cell r="K119" t="str">
            <v>天将星</v>
          </cell>
        </row>
        <row r="120">
          <cell r="H120" t="str">
            <v>2+16</v>
          </cell>
          <cell r="I120" t="str">
            <v>－</v>
          </cell>
          <cell r="J120" t="str">
            <v>禄存星</v>
          </cell>
          <cell r="K120" t="str">
            <v>天禄星</v>
          </cell>
        </row>
        <row r="121">
          <cell r="H121" t="str">
            <v>2+17</v>
          </cell>
          <cell r="I121" t="str">
            <v>破</v>
          </cell>
          <cell r="J121" t="str">
            <v>牽牛星</v>
          </cell>
          <cell r="K121" t="str">
            <v>天南星</v>
          </cell>
        </row>
        <row r="122">
          <cell r="H122" t="str">
            <v>2+18</v>
          </cell>
          <cell r="I122" t="str">
            <v>半会</v>
          </cell>
          <cell r="J122" t="str">
            <v>車騎星</v>
          </cell>
          <cell r="K122" t="str">
            <v>天恍星</v>
          </cell>
        </row>
        <row r="123">
          <cell r="H123" t="str">
            <v>2+19</v>
          </cell>
          <cell r="I123" t="str">
            <v>害</v>
          </cell>
          <cell r="J123" t="str">
            <v>玉堂星</v>
          </cell>
          <cell r="K123" t="str">
            <v>天貴星</v>
          </cell>
        </row>
        <row r="124">
          <cell r="H124" t="str">
            <v>2+20</v>
          </cell>
          <cell r="I124" t="str">
            <v>対冲</v>
          </cell>
          <cell r="J124" t="str">
            <v>龍高星</v>
          </cell>
          <cell r="K124" t="str">
            <v>天印星</v>
          </cell>
        </row>
        <row r="125">
          <cell r="H125" t="str">
            <v>2+21</v>
          </cell>
          <cell r="I125" t="str">
            <v>－</v>
          </cell>
          <cell r="J125" t="str">
            <v>石門星</v>
          </cell>
          <cell r="K125" t="str">
            <v>天報星</v>
          </cell>
        </row>
        <row r="126">
          <cell r="H126" t="str">
            <v>2+22</v>
          </cell>
          <cell r="I126" t="str">
            <v>大半会</v>
          </cell>
          <cell r="J126" t="str">
            <v>貫索星</v>
          </cell>
          <cell r="K126" t="str">
            <v>天馳星</v>
          </cell>
        </row>
        <row r="127">
          <cell r="H127" t="str">
            <v>2+23</v>
          </cell>
          <cell r="I127" t="str">
            <v>刑</v>
          </cell>
          <cell r="J127" t="str">
            <v>調舒星</v>
          </cell>
          <cell r="K127" t="str">
            <v>天庫星</v>
          </cell>
        </row>
        <row r="128">
          <cell r="H128" t="str">
            <v>2+24</v>
          </cell>
          <cell r="I128" t="str">
            <v>準方位</v>
          </cell>
          <cell r="J128" t="str">
            <v>鳳閣星</v>
          </cell>
          <cell r="K128" t="str">
            <v>天極星</v>
          </cell>
        </row>
        <row r="129">
          <cell r="H129" t="str">
            <v>2+25</v>
          </cell>
          <cell r="I129" t="str">
            <v>支合</v>
          </cell>
          <cell r="J129" t="str">
            <v>司禄星</v>
          </cell>
          <cell r="K129" t="str">
            <v>天胡星</v>
          </cell>
        </row>
        <row r="130">
          <cell r="H130" t="str">
            <v>2+26</v>
          </cell>
          <cell r="I130" t="str">
            <v>同</v>
          </cell>
          <cell r="J130" t="str">
            <v>禄存星</v>
          </cell>
          <cell r="K130" t="str">
            <v>天堂星</v>
          </cell>
        </row>
        <row r="131">
          <cell r="H131" t="str">
            <v>2+27</v>
          </cell>
          <cell r="I131" t="str">
            <v>－</v>
          </cell>
          <cell r="J131" t="str">
            <v>牽牛星</v>
          </cell>
          <cell r="K131" t="str">
            <v>天将星</v>
          </cell>
        </row>
        <row r="132">
          <cell r="H132" t="str">
            <v>2+28</v>
          </cell>
          <cell r="I132" t="str">
            <v>－</v>
          </cell>
          <cell r="J132" t="str">
            <v>車騎星</v>
          </cell>
          <cell r="K132" t="str">
            <v>天禄星</v>
          </cell>
        </row>
        <row r="133">
          <cell r="H133" t="str">
            <v>2+29</v>
          </cell>
          <cell r="I133" t="str">
            <v>破</v>
          </cell>
          <cell r="J133" t="str">
            <v>玉堂星</v>
          </cell>
          <cell r="K133" t="str">
            <v>天南星</v>
          </cell>
        </row>
        <row r="134">
          <cell r="H134" t="str">
            <v>2+30</v>
          </cell>
          <cell r="I134" t="str">
            <v>半会</v>
          </cell>
          <cell r="J134" t="str">
            <v>龍高星</v>
          </cell>
          <cell r="K134" t="str">
            <v>天恍星</v>
          </cell>
        </row>
        <row r="135">
          <cell r="H135" t="str">
            <v>2+31</v>
          </cell>
          <cell r="I135" t="str">
            <v>害</v>
          </cell>
          <cell r="J135" t="str">
            <v>石門星</v>
          </cell>
          <cell r="K135" t="str">
            <v>天貴星</v>
          </cell>
        </row>
        <row r="136">
          <cell r="H136" t="str">
            <v>2+32</v>
          </cell>
          <cell r="I136" t="str">
            <v>納音</v>
          </cell>
          <cell r="J136" t="str">
            <v>貫索星</v>
          </cell>
          <cell r="K136" t="str">
            <v>天印星</v>
          </cell>
        </row>
        <row r="137">
          <cell r="H137" t="str">
            <v>2+33</v>
          </cell>
          <cell r="I137" t="str">
            <v>－</v>
          </cell>
          <cell r="J137" t="str">
            <v>調舒星</v>
          </cell>
          <cell r="K137" t="str">
            <v>天報星</v>
          </cell>
        </row>
        <row r="138">
          <cell r="H138" t="str">
            <v>2+34</v>
          </cell>
          <cell r="I138" t="str">
            <v>半会</v>
          </cell>
          <cell r="J138" t="str">
            <v>鳳閣星</v>
          </cell>
          <cell r="K138" t="str">
            <v>天馳星</v>
          </cell>
        </row>
        <row r="139">
          <cell r="H139" t="str">
            <v>2+35</v>
          </cell>
          <cell r="I139" t="str">
            <v>刑</v>
          </cell>
          <cell r="J139" t="str">
            <v>司禄星</v>
          </cell>
          <cell r="K139" t="str">
            <v>天庫星</v>
          </cell>
        </row>
        <row r="140">
          <cell r="H140" t="str">
            <v>2+36</v>
          </cell>
          <cell r="I140" t="str">
            <v>準方位</v>
          </cell>
          <cell r="J140" t="str">
            <v>禄存星</v>
          </cell>
          <cell r="K140" t="str">
            <v>天極星</v>
          </cell>
        </row>
        <row r="141">
          <cell r="H141" t="str">
            <v>2+37</v>
          </cell>
          <cell r="I141" t="str">
            <v>支合</v>
          </cell>
          <cell r="J141" t="str">
            <v>牽牛星</v>
          </cell>
          <cell r="K141" t="str">
            <v>天胡星</v>
          </cell>
        </row>
        <row r="142">
          <cell r="H142" t="str">
            <v>2+38</v>
          </cell>
          <cell r="I142" t="str">
            <v>同</v>
          </cell>
          <cell r="J142" t="str">
            <v>車騎星</v>
          </cell>
          <cell r="K142" t="str">
            <v>天堂星</v>
          </cell>
        </row>
        <row r="143">
          <cell r="H143" t="str">
            <v>2+39</v>
          </cell>
          <cell r="I143" t="str">
            <v>－</v>
          </cell>
          <cell r="J143" t="str">
            <v>玉堂星</v>
          </cell>
          <cell r="K143" t="str">
            <v>天将星</v>
          </cell>
        </row>
        <row r="144">
          <cell r="H144" t="str">
            <v>2+40</v>
          </cell>
          <cell r="I144" t="str">
            <v>－</v>
          </cell>
          <cell r="J144" t="str">
            <v>龍高星</v>
          </cell>
          <cell r="K144" t="str">
            <v>天禄星</v>
          </cell>
        </row>
        <row r="145">
          <cell r="H145" t="str">
            <v>2+41</v>
          </cell>
          <cell r="I145" t="str">
            <v>破</v>
          </cell>
          <cell r="J145" t="str">
            <v>石門星</v>
          </cell>
          <cell r="K145" t="str">
            <v>天南星</v>
          </cell>
        </row>
        <row r="146">
          <cell r="H146" t="str">
            <v>2+42</v>
          </cell>
          <cell r="I146" t="str">
            <v>大半会</v>
          </cell>
          <cell r="J146" t="str">
            <v>貫索星</v>
          </cell>
          <cell r="K146" t="str">
            <v>天恍星</v>
          </cell>
        </row>
        <row r="147">
          <cell r="H147" t="str">
            <v>2+43</v>
          </cell>
          <cell r="I147" t="str">
            <v>害</v>
          </cell>
          <cell r="J147" t="str">
            <v>調舒星</v>
          </cell>
          <cell r="K147" t="str">
            <v>天貴星</v>
          </cell>
        </row>
        <row r="148">
          <cell r="H148" t="str">
            <v>2+44</v>
          </cell>
          <cell r="I148" t="str">
            <v>対冲</v>
          </cell>
          <cell r="J148" t="str">
            <v>鳳閣星</v>
          </cell>
          <cell r="K148" t="str">
            <v>天印星</v>
          </cell>
        </row>
        <row r="149">
          <cell r="H149" t="str">
            <v>2+45</v>
          </cell>
          <cell r="I149" t="str">
            <v>－</v>
          </cell>
          <cell r="J149" t="str">
            <v>司禄星</v>
          </cell>
          <cell r="K149" t="str">
            <v>天報星</v>
          </cell>
        </row>
        <row r="150">
          <cell r="H150" t="str">
            <v>2+46</v>
          </cell>
          <cell r="I150" t="str">
            <v>半会</v>
          </cell>
          <cell r="J150" t="str">
            <v>禄存星</v>
          </cell>
          <cell r="K150" t="str">
            <v>天馳星</v>
          </cell>
        </row>
        <row r="151">
          <cell r="H151" t="str">
            <v>2+47</v>
          </cell>
          <cell r="I151" t="str">
            <v>刑</v>
          </cell>
          <cell r="J151" t="str">
            <v>牽牛星</v>
          </cell>
          <cell r="K151" t="str">
            <v>天庫星</v>
          </cell>
        </row>
        <row r="152">
          <cell r="H152" t="str">
            <v>2+48</v>
          </cell>
          <cell r="I152" t="str">
            <v>準方位</v>
          </cell>
          <cell r="J152" t="str">
            <v>車騎星</v>
          </cell>
          <cell r="K152" t="str">
            <v>天極星</v>
          </cell>
        </row>
        <row r="153">
          <cell r="H153" t="str">
            <v>2+49</v>
          </cell>
          <cell r="I153" t="str">
            <v>支合</v>
          </cell>
          <cell r="J153" t="str">
            <v>玉堂星</v>
          </cell>
          <cell r="K153" t="str">
            <v>天胡星</v>
          </cell>
        </row>
        <row r="154">
          <cell r="H154" t="str">
            <v>2+50</v>
          </cell>
          <cell r="I154" t="str">
            <v>同</v>
          </cell>
          <cell r="J154" t="str">
            <v>龍高星</v>
          </cell>
          <cell r="K154" t="str">
            <v>天堂星</v>
          </cell>
        </row>
        <row r="155">
          <cell r="H155" t="str">
            <v>2+51</v>
          </cell>
          <cell r="I155" t="str">
            <v>－</v>
          </cell>
          <cell r="J155" t="str">
            <v>石門星</v>
          </cell>
          <cell r="K155" t="str">
            <v>天将星</v>
          </cell>
        </row>
        <row r="156">
          <cell r="H156" t="str">
            <v>2+52</v>
          </cell>
          <cell r="I156" t="str">
            <v>－</v>
          </cell>
          <cell r="J156" t="str">
            <v>貫索星</v>
          </cell>
          <cell r="K156" t="str">
            <v>天禄星</v>
          </cell>
        </row>
        <row r="157">
          <cell r="H157" t="str">
            <v>2+53</v>
          </cell>
          <cell r="I157" t="str">
            <v>破</v>
          </cell>
          <cell r="J157" t="str">
            <v>調舒星</v>
          </cell>
          <cell r="K157" t="str">
            <v>天南星</v>
          </cell>
        </row>
        <row r="158">
          <cell r="H158" t="str">
            <v>2+54</v>
          </cell>
          <cell r="I158" t="str">
            <v>半会</v>
          </cell>
          <cell r="J158" t="str">
            <v>鳳閣星</v>
          </cell>
          <cell r="K158" t="str">
            <v>天恍星</v>
          </cell>
        </row>
        <row r="159">
          <cell r="H159" t="str">
            <v>2+55</v>
          </cell>
          <cell r="I159" t="str">
            <v>害</v>
          </cell>
          <cell r="J159" t="str">
            <v>司禄星</v>
          </cell>
          <cell r="K159" t="str">
            <v>天貴星</v>
          </cell>
        </row>
        <row r="160">
          <cell r="H160" t="str">
            <v>2+56</v>
          </cell>
          <cell r="I160" t="str">
            <v>天剋地冲</v>
          </cell>
          <cell r="J160" t="str">
            <v>禄存星</v>
          </cell>
          <cell r="K160" t="str">
            <v>天印星</v>
          </cell>
        </row>
        <row r="161">
          <cell r="H161" t="str">
            <v>2+57</v>
          </cell>
          <cell r="I161" t="str">
            <v>－</v>
          </cell>
          <cell r="J161" t="str">
            <v>牽牛星</v>
          </cell>
          <cell r="K161" t="str">
            <v>天報星</v>
          </cell>
        </row>
        <row r="162">
          <cell r="H162" t="str">
            <v>2+58</v>
          </cell>
          <cell r="I162" t="str">
            <v>半会</v>
          </cell>
          <cell r="J162" t="str">
            <v>車騎星</v>
          </cell>
          <cell r="K162" t="str">
            <v>天馳星</v>
          </cell>
        </row>
        <row r="163">
          <cell r="H163" t="str">
            <v>2+59</v>
          </cell>
          <cell r="I163" t="str">
            <v>刑</v>
          </cell>
          <cell r="J163" t="str">
            <v>玉堂星</v>
          </cell>
          <cell r="K163" t="str">
            <v>天庫星</v>
          </cell>
        </row>
        <row r="164">
          <cell r="H164" t="str">
            <v>2+60</v>
          </cell>
          <cell r="I164" t="str">
            <v>準方位</v>
          </cell>
          <cell r="J164" t="str">
            <v>龍高星</v>
          </cell>
          <cell r="K164" t="str">
            <v>天極星</v>
          </cell>
        </row>
        <row r="165">
          <cell r="H165" t="str">
            <v>3+1</v>
          </cell>
          <cell r="I165" t="str">
            <v>－</v>
          </cell>
          <cell r="J165" t="str">
            <v>龍高星</v>
          </cell>
          <cell r="K165" t="str">
            <v>天報星</v>
          </cell>
        </row>
        <row r="166">
          <cell r="H166" t="str">
            <v>3+2</v>
          </cell>
          <cell r="I166" t="str">
            <v>－</v>
          </cell>
          <cell r="J166" t="str">
            <v>玉堂星</v>
          </cell>
          <cell r="K166" t="str">
            <v>天印星</v>
          </cell>
        </row>
        <row r="167">
          <cell r="H167" t="str">
            <v>3+3</v>
          </cell>
          <cell r="I167" t="str">
            <v>律音</v>
          </cell>
          <cell r="J167" t="str">
            <v>貫索星</v>
          </cell>
          <cell r="K167" t="str">
            <v>天貴星</v>
          </cell>
        </row>
        <row r="168">
          <cell r="H168" t="str">
            <v>3+4</v>
          </cell>
          <cell r="I168" t="str">
            <v>準方位</v>
          </cell>
          <cell r="J168" t="str">
            <v>石門星</v>
          </cell>
          <cell r="K168" t="str">
            <v>天恍星</v>
          </cell>
        </row>
        <row r="169">
          <cell r="H169" t="str">
            <v>3+5</v>
          </cell>
          <cell r="I169" t="str">
            <v>準方位</v>
          </cell>
          <cell r="J169" t="str">
            <v>鳳閣星</v>
          </cell>
          <cell r="K169" t="str">
            <v>天南星</v>
          </cell>
        </row>
        <row r="170">
          <cell r="H170" t="str">
            <v>3+6</v>
          </cell>
          <cell r="I170" t="str">
            <v>害</v>
          </cell>
          <cell r="J170" t="str">
            <v>調舒星</v>
          </cell>
          <cell r="K170" t="str">
            <v>天禄星</v>
          </cell>
        </row>
        <row r="171">
          <cell r="H171" t="str">
            <v>3+7</v>
          </cell>
          <cell r="I171" t="str">
            <v>半会</v>
          </cell>
          <cell r="J171" t="str">
            <v>禄存星</v>
          </cell>
          <cell r="K171" t="str">
            <v>天将星</v>
          </cell>
        </row>
        <row r="172">
          <cell r="H172" t="str">
            <v>3+8</v>
          </cell>
          <cell r="I172" t="str">
            <v>－</v>
          </cell>
          <cell r="J172" t="str">
            <v>司禄星</v>
          </cell>
          <cell r="K172" t="str">
            <v>天堂星</v>
          </cell>
        </row>
        <row r="173">
          <cell r="H173" t="str">
            <v>3+9</v>
          </cell>
          <cell r="I173" t="str">
            <v>天剋地冲</v>
          </cell>
          <cell r="J173" t="str">
            <v>車騎星</v>
          </cell>
          <cell r="K173" t="str">
            <v>天胡星</v>
          </cell>
        </row>
        <row r="174">
          <cell r="H174" t="str">
            <v>3+10</v>
          </cell>
          <cell r="I174" t="str">
            <v>－</v>
          </cell>
          <cell r="J174" t="str">
            <v>牽牛星</v>
          </cell>
          <cell r="K174" t="str">
            <v>天極星</v>
          </cell>
        </row>
        <row r="175">
          <cell r="H175" t="str">
            <v>3+11</v>
          </cell>
          <cell r="I175" t="str">
            <v>半会</v>
          </cell>
          <cell r="J175" t="str">
            <v>龍高星</v>
          </cell>
          <cell r="K175" t="str">
            <v>天庫星</v>
          </cell>
        </row>
        <row r="176">
          <cell r="H176" t="str">
            <v>3+12</v>
          </cell>
          <cell r="I176" t="str">
            <v>支合</v>
          </cell>
          <cell r="J176" t="str">
            <v>玉堂星</v>
          </cell>
          <cell r="K176" t="str">
            <v>天馳星</v>
          </cell>
        </row>
        <row r="177">
          <cell r="H177" t="str">
            <v>3+13</v>
          </cell>
          <cell r="I177" t="str">
            <v>－</v>
          </cell>
          <cell r="J177" t="str">
            <v>貫索星</v>
          </cell>
          <cell r="K177" t="str">
            <v>天報星</v>
          </cell>
        </row>
        <row r="178">
          <cell r="H178" t="str">
            <v>3+14</v>
          </cell>
          <cell r="I178" t="str">
            <v>－</v>
          </cell>
          <cell r="J178" t="str">
            <v>石門星</v>
          </cell>
          <cell r="K178" t="str">
            <v>天印星</v>
          </cell>
        </row>
        <row r="179">
          <cell r="H179" t="str">
            <v>3+15</v>
          </cell>
          <cell r="I179" t="str">
            <v>同</v>
          </cell>
          <cell r="J179" t="str">
            <v>鳳閣星</v>
          </cell>
          <cell r="K179" t="str">
            <v>天貴星</v>
          </cell>
        </row>
        <row r="180">
          <cell r="H180" t="str">
            <v>3+16</v>
          </cell>
          <cell r="I180" t="str">
            <v>準方位</v>
          </cell>
          <cell r="J180" t="str">
            <v>調舒星</v>
          </cell>
          <cell r="K180" t="str">
            <v>天恍星</v>
          </cell>
        </row>
        <row r="181">
          <cell r="H181" t="str">
            <v>3+17</v>
          </cell>
          <cell r="I181" t="str">
            <v>準方位</v>
          </cell>
          <cell r="J181" t="str">
            <v>禄存星</v>
          </cell>
          <cell r="K181" t="str">
            <v>天南星</v>
          </cell>
        </row>
        <row r="182">
          <cell r="H182" t="str">
            <v>3+18</v>
          </cell>
          <cell r="I182" t="str">
            <v>害</v>
          </cell>
          <cell r="J182" t="str">
            <v>司禄星</v>
          </cell>
          <cell r="K182" t="str">
            <v>天禄星</v>
          </cell>
        </row>
        <row r="183">
          <cell r="H183" t="str">
            <v>3+19</v>
          </cell>
          <cell r="I183" t="str">
            <v>半会</v>
          </cell>
          <cell r="J183" t="str">
            <v>車騎星</v>
          </cell>
          <cell r="K183" t="str">
            <v>天将星</v>
          </cell>
        </row>
        <row r="184">
          <cell r="H184" t="str">
            <v>3+20</v>
          </cell>
          <cell r="I184" t="str">
            <v>－</v>
          </cell>
          <cell r="J184" t="str">
            <v>牽牛星</v>
          </cell>
          <cell r="K184" t="str">
            <v>天堂星</v>
          </cell>
        </row>
        <row r="185">
          <cell r="H185" t="str">
            <v>3+21</v>
          </cell>
          <cell r="I185" t="str">
            <v>対冲</v>
          </cell>
          <cell r="J185" t="str">
            <v>龍高星</v>
          </cell>
          <cell r="K185" t="str">
            <v>天胡星</v>
          </cell>
        </row>
        <row r="186">
          <cell r="H186" t="str">
            <v>3+22</v>
          </cell>
          <cell r="I186" t="str">
            <v>－</v>
          </cell>
          <cell r="J186" t="str">
            <v>玉堂星</v>
          </cell>
          <cell r="K186" t="str">
            <v>天極星</v>
          </cell>
        </row>
        <row r="187">
          <cell r="H187" t="str">
            <v>3+23</v>
          </cell>
          <cell r="I187" t="str">
            <v>大半会</v>
          </cell>
          <cell r="J187" t="str">
            <v>貫索星</v>
          </cell>
          <cell r="K187" t="str">
            <v>天庫星</v>
          </cell>
        </row>
        <row r="188">
          <cell r="H188" t="str">
            <v>3+24</v>
          </cell>
          <cell r="I188" t="str">
            <v>支合</v>
          </cell>
          <cell r="J188" t="str">
            <v>石門星</v>
          </cell>
          <cell r="K188" t="str">
            <v>天馳星</v>
          </cell>
        </row>
        <row r="189">
          <cell r="H189" t="str">
            <v>3+25</v>
          </cell>
          <cell r="I189" t="str">
            <v>－</v>
          </cell>
          <cell r="J189" t="str">
            <v>鳳閣星</v>
          </cell>
          <cell r="K189" t="str">
            <v>天報星</v>
          </cell>
        </row>
        <row r="190">
          <cell r="H190" t="str">
            <v>3+26</v>
          </cell>
          <cell r="I190" t="str">
            <v>－</v>
          </cell>
          <cell r="J190" t="str">
            <v>調舒星</v>
          </cell>
          <cell r="K190" t="str">
            <v>天印星</v>
          </cell>
        </row>
        <row r="191">
          <cell r="H191" t="str">
            <v>3+27</v>
          </cell>
          <cell r="I191" t="str">
            <v>同</v>
          </cell>
          <cell r="J191" t="str">
            <v>禄存星</v>
          </cell>
          <cell r="K191" t="str">
            <v>天貴星</v>
          </cell>
        </row>
        <row r="192">
          <cell r="H192" t="str">
            <v>3+28</v>
          </cell>
          <cell r="I192" t="str">
            <v>準方位</v>
          </cell>
          <cell r="J192" t="str">
            <v>司禄星</v>
          </cell>
          <cell r="K192" t="str">
            <v>天恍星</v>
          </cell>
        </row>
        <row r="193">
          <cell r="H193" t="str">
            <v>3+29</v>
          </cell>
          <cell r="I193" t="str">
            <v>準方位</v>
          </cell>
          <cell r="J193" t="str">
            <v>車騎星</v>
          </cell>
          <cell r="K193" t="str">
            <v>天南星</v>
          </cell>
        </row>
        <row r="194">
          <cell r="H194" t="str">
            <v>3+30</v>
          </cell>
          <cell r="I194" t="str">
            <v>害</v>
          </cell>
          <cell r="J194" t="str">
            <v>牽牛星</v>
          </cell>
          <cell r="K194" t="str">
            <v>天禄星</v>
          </cell>
        </row>
        <row r="195">
          <cell r="H195" t="str">
            <v>3+31</v>
          </cell>
          <cell r="I195" t="str">
            <v>半会</v>
          </cell>
          <cell r="J195" t="str">
            <v>龍高星</v>
          </cell>
          <cell r="K195" t="str">
            <v>天将星</v>
          </cell>
        </row>
        <row r="196">
          <cell r="H196" t="str">
            <v>3+32</v>
          </cell>
          <cell r="I196" t="str">
            <v>－</v>
          </cell>
          <cell r="J196" t="str">
            <v>玉堂星</v>
          </cell>
          <cell r="K196" t="str">
            <v>天堂星</v>
          </cell>
        </row>
        <row r="197">
          <cell r="H197" t="str">
            <v>3+33</v>
          </cell>
          <cell r="I197" t="str">
            <v>納音</v>
          </cell>
          <cell r="J197" t="str">
            <v>貫索星</v>
          </cell>
          <cell r="K197" t="str">
            <v>天胡星</v>
          </cell>
        </row>
        <row r="198">
          <cell r="H198" t="str">
            <v>3+34</v>
          </cell>
          <cell r="I198" t="str">
            <v>－</v>
          </cell>
          <cell r="J198" t="str">
            <v>石門星</v>
          </cell>
          <cell r="K198" t="str">
            <v>天極星</v>
          </cell>
        </row>
        <row r="199">
          <cell r="H199" t="str">
            <v>3+35</v>
          </cell>
          <cell r="I199" t="str">
            <v>半会</v>
          </cell>
          <cell r="J199" t="str">
            <v>鳳閣星</v>
          </cell>
          <cell r="K199" t="str">
            <v>天庫星</v>
          </cell>
        </row>
        <row r="200">
          <cell r="H200" t="str">
            <v>3+36</v>
          </cell>
          <cell r="I200" t="str">
            <v>支合</v>
          </cell>
          <cell r="J200" t="str">
            <v>調舒星</v>
          </cell>
          <cell r="K200" t="str">
            <v>天馳星</v>
          </cell>
        </row>
        <row r="201">
          <cell r="H201" t="str">
            <v>3+37</v>
          </cell>
          <cell r="I201" t="str">
            <v>－</v>
          </cell>
          <cell r="J201" t="str">
            <v>禄存星</v>
          </cell>
          <cell r="K201" t="str">
            <v>天報星</v>
          </cell>
        </row>
        <row r="202">
          <cell r="H202" t="str">
            <v>3+38</v>
          </cell>
          <cell r="I202" t="str">
            <v>－</v>
          </cell>
          <cell r="J202" t="str">
            <v>司禄星</v>
          </cell>
          <cell r="K202" t="str">
            <v>天印星</v>
          </cell>
        </row>
        <row r="203">
          <cell r="H203" t="str">
            <v>3+39</v>
          </cell>
          <cell r="I203" t="str">
            <v>同</v>
          </cell>
          <cell r="J203" t="str">
            <v>車騎星</v>
          </cell>
          <cell r="K203" t="str">
            <v>天貴星</v>
          </cell>
        </row>
        <row r="204">
          <cell r="H204" t="str">
            <v>3+40</v>
          </cell>
          <cell r="I204" t="str">
            <v>準方位</v>
          </cell>
          <cell r="J204" t="str">
            <v>牽牛星</v>
          </cell>
          <cell r="K204" t="str">
            <v>天恍星</v>
          </cell>
        </row>
        <row r="205">
          <cell r="H205" t="str">
            <v>3+41</v>
          </cell>
          <cell r="I205" t="str">
            <v>準方位</v>
          </cell>
          <cell r="J205" t="str">
            <v>龍高星</v>
          </cell>
          <cell r="K205" t="str">
            <v>天南星</v>
          </cell>
        </row>
        <row r="206">
          <cell r="H206" t="str">
            <v>3+42</v>
          </cell>
          <cell r="I206" t="str">
            <v>害</v>
          </cell>
          <cell r="J206" t="str">
            <v>玉堂星</v>
          </cell>
          <cell r="K206" t="str">
            <v>天禄星</v>
          </cell>
        </row>
        <row r="207">
          <cell r="H207" t="str">
            <v>3+43</v>
          </cell>
          <cell r="I207" t="str">
            <v>大半会</v>
          </cell>
          <cell r="J207" t="str">
            <v>貫索星</v>
          </cell>
          <cell r="K207" t="str">
            <v>天将星</v>
          </cell>
        </row>
        <row r="208">
          <cell r="H208" t="str">
            <v>3+44</v>
          </cell>
          <cell r="I208" t="str">
            <v>－</v>
          </cell>
          <cell r="J208" t="str">
            <v>石門星</v>
          </cell>
          <cell r="K208" t="str">
            <v>天堂星</v>
          </cell>
        </row>
        <row r="209">
          <cell r="H209" t="str">
            <v>3+45</v>
          </cell>
          <cell r="I209" t="str">
            <v>対冲</v>
          </cell>
          <cell r="J209" t="str">
            <v>鳳閣星</v>
          </cell>
          <cell r="K209" t="str">
            <v>天胡星</v>
          </cell>
        </row>
        <row r="210">
          <cell r="H210" t="str">
            <v>3+46</v>
          </cell>
          <cell r="I210" t="str">
            <v>－</v>
          </cell>
          <cell r="J210" t="str">
            <v>調舒星</v>
          </cell>
          <cell r="K210" t="str">
            <v>天極星</v>
          </cell>
        </row>
        <row r="211">
          <cell r="H211" t="str">
            <v>3+47</v>
          </cell>
          <cell r="I211" t="str">
            <v>半会</v>
          </cell>
          <cell r="J211" t="str">
            <v>禄存星</v>
          </cell>
          <cell r="K211" t="str">
            <v>天庫星</v>
          </cell>
        </row>
        <row r="212">
          <cell r="H212" t="str">
            <v>3+48</v>
          </cell>
          <cell r="I212" t="str">
            <v>支合</v>
          </cell>
          <cell r="J212" t="str">
            <v>司禄星</v>
          </cell>
          <cell r="K212" t="str">
            <v>天馳星</v>
          </cell>
        </row>
        <row r="213">
          <cell r="H213" t="str">
            <v>3+49</v>
          </cell>
          <cell r="I213" t="str">
            <v>－</v>
          </cell>
          <cell r="J213" t="str">
            <v>車騎星</v>
          </cell>
          <cell r="K213" t="str">
            <v>天報星</v>
          </cell>
        </row>
        <row r="214">
          <cell r="H214" t="str">
            <v>3+50</v>
          </cell>
          <cell r="I214" t="str">
            <v>－</v>
          </cell>
          <cell r="J214" t="str">
            <v>牽牛星</v>
          </cell>
          <cell r="K214" t="str">
            <v>天印星</v>
          </cell>
        </row>
        <row r="215">
          <cell r="H215" t="str">
            <v>3+51</v>
          </cell>
          <cell r="I215" t="str">
            <v>同</v>
          </cell>
          <cell r="J215" t="str">
            <v>龍高星</v>
          </cell>
          <cell r="K215" t="str">
            <v>天貴星</v>
          </cell>
        </row>
        <row r="216">
          <cell r="H216" t="str">
            <v>3+52</v>
          </cell>
          <cell r="I216" t="str">
            <v>準方位</v>
          </cell>
          <cell r="J216" t="str">
            <v>玉堂星</v>
          </cell>
          <cell r="K216" t="str">
            <v>天恍星</v>
          </cell>
        </row>
        <row r="217">
          <cell r="H217" t="str">
            <v>3+53</v>
          </cell>
          <cell r="I217" t="str">
            <v>準方位</v>
          </cell>
          <cell r="J217" t="str">
            <v>貫索星</v>
          </cell>
          <cell r="K217" t="str">
            <v>天南星</v>
          </cell>
        </row>
        <row r="218">
          <cell r="H218" t="str">
            <v>3+54</v>
          </cell>
          <cell r="I218" t="str">
            <v>害</v>
          </cell>
          <cell r="J218" t="str">
            <v>石門星</v>
          </cell>
          <cell r="K218" t="str">
            <v>天禄星</v>
          </cell>
        </row>
        <row r="219">
          <cell r="H219" t="str">
            <v>3+55</v>
          </cell>
          <cell r="I219" t="str">
            <v>半会</v>
          </cell>
          <cell r="J219" t="str">
            <v>鳳閣星</v>
          </cell>
          <cell r="K219" t="str">
            <v>天将星</v>
          </cell>
        </row>
        <row r="220">
          <cell r="H220" t="str">
            <v>3+56</v>
          </cell>
          <cell r="I220" t="str">
            <v>－</v>
          </cell>
          <cell r="J220" t="str">
            <v>調舒星</v>
          </cell>
          <cell r="K220" t="str">
            <v>天堂星</v>
          </cell>
        </row>
        <row r="221">
          <cell r="H221" t="str">
            <v>3+57</v>
          </cell>
          <cell r="I221" t="str">
            <v>天剋地冲</v>
          </cell>
          <cell r="J221" t="str">
            <v>禄存星</v>
          </cell>
          <cell r="K221" t="str">
            <v>天胡星</v>
          </cell>
        </row>
        <row r="222">
          <cell r="H222" t="str">
            <v>3+58</v>
          </cell>
          <cell r="I222" t="str">
            <v>－</v>
          </cell>
          <cell r="J222" t="str">
            <v>司禄星</v>
          </cell>
          <cell r="K222" t="str">
            <v>天極星</v>
          </cell>
        </row>
        <row r="223">
          <cell r="H223" t="str">
            <v>3+59</v>
          </cell>
          <cell r="I223" t="str">
            <v>半会</v>
          </cell>
          <cell r="J223" t="str">
            <v>車騎星</v>
          </cell>
          <cell r="K223" t="str">
            <v>天庫星</v>
          </cell>
        </row>
        <row r="224">
          <cell r="H224" t="str">
            <v>3+60</v>
          </cell>
          <cell r="I224" t="str">
            <v>支合</v>
          </cell>
          <cell r="J224" t="str">
            <v>牽牛星</v>
          </cell>
          <cell r="K224" t="str">
            <v>天馳星</v>
          </cell>
        </row>
        <row r="225">
          <cell r="H225" t="str">
            <v>4+1</v>
          </cell>
          <cell r="I225" t="str">
            <v>刑</v>
          </cell>
          <cell r="J225" t="str">
            <v>玉堂星</v>
          </cell>
          <cell r="K225" t="str">
            <v>天馳星</v>
          </cell>
        </row>
        <row r="226">
          <cell r="H226" t="str">
            <v>4+2</v>
          </cell>
          <cell r="I226" t="str">
            <v>－</v>
          </cell>
          <cell r="J226" t="str">
            <v>龍高星</v>
          </cell>
          <cell r="K226" t="str">
            <v>天庫星</v>
          </cell>
        </row>
        <row r="227">
          <cell r="H227" t="str">
            <v>4+3</v>
          </cell>
          <cell r="I227" t="str">
            <v>準方位</v>
          </cell>
          <cell r="J227" t="str">
            <v>石門星</v>
          </cell>
          <cell r="K227" t="str">
            <v>天極星</v>
          </cell>
        </row>
        <row r="228">
          <cell r="H228" t="str">
            <v>4+4</v>
          </cell>
          <cell r="I228" t="str">
            <v>律音</v>
          </cell>
          <cell r="J228" t="str">
            <v>貫索星</v>
          </cell>
          <cell r="K228" t="str">
            <v>天胡星</v>
          </cell>
        </row>
        <row r="229">
          <cell r="H229" t="str">
            <v>4+5</v>
          </cell>
          <cell r="I229" t="str">
            <v>害</v>
          </cell>
          <cell r="J229" t="str">
            <v>調舒星</v>
          </cell>
          <cell r="K229" t="str">
            <v>天堂星</v>
          </cell>
        </row>
        <row r="230">
          <cell r="H230" t="str">
            <v>4+6</v>
          </cell>
          <cell r="I230" t="str">
            <v>－</v>
          </cell>
          <cell r="J230" t="str">
            <v>鳳閣星</v>
          </cell>
          <cell r="K230" t="str">
            <v>天将星</v>
          </cell>
        </row>
        <row r="231">
          <cell r="H231" t="str">
            <v>4+7</v>
          </cell>
          <cell r="I231" t="str">
            <v>破</v>
          </cell>
          <cell r="J231" t="str">
            <v>司禄星</v>
          </cell>
          <cell r="K231" t="str">
            <v>天禄星</v>
          </cell>
        </row>
        <row r="232">
          <cell r="H232" t="str">
            <v>4+8</v>
          </cell>
          <cell r="I232" t="str">
            <v>半会</v>
          </cell>
          <cell r="J232" t="str">
            <v>禄存星</v>
          </cell>
          <cell r="K232" t="str">
            <v>天南星</v>
          </cell>
        </row>
        <row r="233">
          <cell r="H233" t="str">
            <v>4+9</v>
          </cell>
          <cell r="I233" t="str">
            <v>－</v>
          </cell>
          <cell r="J233" t="str">
            <v>牽牛星</v>
          </cell>
          <cell r="K233" t="str">
            <v>天恍星</v>
          </cell>
        </row>
        <row r="234">
          <cell r="H234" t="str">
            <v>4+10</v>
          </cell>
          <cell r="I234" t="str">
            <v>天剋地冲</v>
          </cell>
          <cell r="J234" t="str">
            <v>車騎星</v>
          </cell>
          <cell r="K234" t="str">
            <v>天貴星</v>
          </cell>
        </row>
        <row r="235">
          <cell r="H235" t="str">
            <v>4+11</v>
          </cell>
          <cell r="I235" t="str">
            <v>支合</v>
          </cell>
          <cell r="J235" t="str">
            <v>玉堂星</v>
          </cell>
          <cell r="K235" t="str">
            <v>天印星</v>
          </cell>
        </row>
        <row r="236">
          <cell r="H236" t="str">
            <v>4+12</v>
          </cell>
          <cell r="I236" t="str">
            <v>半会</v>
          </cell>
          <cell r="J236" t="str">
            <v>龍高星</v>
          </cell>
          <cell r="K236" t="str">
            <v>天報星</v>
          </cell>
        </row>
        <row r="237">
          <cell r="H237" t="str">
            <v>4+13</v>
          </cell>
          <cell r="I237" t="str">
            <v>刑</v>
          </cell>
          <cell r="J237" t="str">
            <v>石門星</v>
          </cell>
          <cell r="K237" t="str">
            <v>天馳星</v>
          </cell>
        </row>
        <row r="238">
          <cell r="H238" t="str">
            <v>4+14</v>
          </cell>
          <cell r="I238" t="str">
            <v>－</v>
          </cell>
          <cell r="J238" t="str">
            <v>貫索星</v>
          </cell>
          <cell r="K238" t="str">
            <v>天庫星</v>
          </cell>
        </row>
        <row r="239">
          <cell r="H239" t="str">
            <v>4+15</v>
          </cell>
          <cell r="I239" t="str">
            <v>準方位</v>
          </cell>
          <cell r="J239" t="str">
            <v>調舒星</v>
          </cell>
          <cell r="K239" t="str">
            <v>天極星</v>
          </cell>
        </row>
        <row r="240">
          <cell r="H240" t="str">
            <v>4+16</v>
          </cell>
          <cell r="I240" t="str">
            <v>同</v>
          </cell>
          <cell r="J240" t="str">
            <v>鳳閣星</v>
          </cell>
          <cell r="K240" t="str">
            <v>天胡星</v>
          </cell>
        </row>
        <row r="241">
          <cell r="H241" t="str">
            <v>4+17</v>
          </cell>
          <cell r="I241" t="str">
            <v>害</v>
          </cell>
          <cell r="J241" t="str">
            <v>司禄星</v>
          </cell>
          <cell r="K241" t="str">
            <v>天堂星</v>
          </cell>
        </row>
        <row r="242">
          <cell r="H242" t="str">
            <v>4+18</v>
          </cell>
          <cell r="I242" t="str">
            <v>－</v>
          </cell>
          <cell r="J242" t="str">
            <v>禄存星</v>
          </cell>
          <cell r="K242" t="str">
            <v>天将星</v>
          </cell>
        </row>
        <row r="243">
          <cell r="H243" t="str">
            <v>4+19</v>
          </cell>
          <cell r="I243" t="str">
            <v>破</v>
          </cell>
          <cell r="J243" t="str">
            <v>牽牛星</v>
          </cell>
          <cell r="K243" t="str">
            <v>天禄星</v>
          </cell>
        </row>
        <row r="244">
          <cell r="H244" t="str">
            <v>4+20</v>
          </cell>
          <cell r="I244" t="str">
            <v>半会</v>
          </cell>
          <cell r="J244" t="str">
            <v>車騎星</v>
          </cell>
          <cell r="K244" t="str">
            <v>天南星</v>
          </cell>
        </row>
        <row r="245">
          <cell r="H245" t="str">
            <v>4+21</v>
          </cell>
          <cell r="I245" t="str">
            <v>－</v>
          </cell>
          <cell r="J245" t="str">
            <v>玉堂星</v>
          </cell>
          <cell r="K245" t="str">
            <v>天恍星</v>
          </cell>
        </row>
        <row r="246">
          <cell r="H246" t="str">
            <v>4+22</v>
          </cell>
          <cell r="I246" t="str">
            <v>対冲</v>
          </cell>
          <cell r="J246" t="str">
            <v>龍高星</v>
          </cell>
          <cell r="K246" t="str">
            <v>天貴星</v>
          </cell>
        </row>
        <row r="247">
          <cell r="H247" t="str">
            <v>4+23</v>
          </cell>
          <cell r="I247" t="str">
            <v>支合</v>
          </cell>
          <cell r="J247" t="str">
            <v>石門星</v>
          </cell>
          <cell r="K247" t="str">
            <v>天印星</v>
          </cell>
        </row>
        <row r="248">
          <cell r="H248" t="str">
            <v>4+24</v>
          </cell>
          <cell r="I248" t="str">
            <v>大半会</v>
          </cell>
          <cell r="J248" t="str">
            <v>貫索星</v>
          </cell>
          <cell r="K248" t="str">
            <v>天報星</v>
          </cell>
        </row>
        <row r="249">
          <cell r="H249" t="str">
            <v>4+25</v>
          </cell>
          <cell r="I249" t="str">
            <v>刑</v>
          </cell>
          <cell r="J249" t="str">
            <v>調舒星</v>
          </cell>
          <cell r="K249" t="str">
            <v>天馳星</v>
          </cell>
        </row>
        <row r="250">
          <cell r="H250" t="str">
            <v>4+26</v>
          </cell>
          <cell r="I250" t="str">
            <v>－</v>
          </cell>
          <cell r="J250" t="str">
            <v>鳳閣星</v>
          </cell>
          <cell r="K250" t="str">
            <v>天庫星</v>
          </cell>
        </row>
        <row r="251">
          <cell r="H251" t="str">
            <v>4+27</v>
          </cell>
          <cell r="I251" t="str">
            <v>準方位</v>
          </cell>
          <cell r="J251" t="str">
            <v>司禄星</v>
          </cell>
          <cell r="K251" t="str">
            <v>天極星</v>
          </cell>
        </row>
        <row r="252">
          <cell r="H252" t="str">
            <v>4+28</v>
          </cell>
          <cell r="I252" t="str">
            <v>同</v>
          </cell>
          <cell r="J252" t="str">
            <v>禄存星</v>
          </cell>
          <cell r="K252" t="str">
            <v>天胡星</v>
          </cell>
        </row>
        <row r="253">
          <cell r="H253" t="str">
            <v>4+29</v>
          </cell>
          <cell r="I253" t="str">
            <v>害</v>
          </cell>
          <cell r="J253" t="str">
            <v>牽牛星</v>
          </cell>
          <cell r="K253" t="str">
            <v>天堂星</v>
          </cell>
        </row>
        <row r="254">
          <cell r="H254" t="str">
            <v>4+30</v>
          </cell>
          <cell r="I254" t="str">
            <v>－</v>
          </cell>
          <cell r="J254" t="str">
            <v>車騎星</v>
          </cell>
          <cell r="K254" t="str">
            <v>天将星</v>
          </cell>
        </row>
        <row r="255">
          <cell r="H255" t="str">
            <v>4+31</v>
          </cell>
          <cell r="I255" t="str">
            <v>破</v>
          </cell>
          <cell r="J255" t="str">
            <v>玉堂星</v>
          </cell>
          <cell r="K255" t="str">
            <v>天禄星</v>
          </cell>
        </row>
        <row r="256">
          <cell r="H256" t="str">
            <v>4+32</v>
          </cell>
          <cell r="I256" t="str">
            <v>半会</v>
          </cell>
          <cell r="J256" t="str">
            <v>龍高星</v>
          </cell>
          <cell r="K256" t="str">
            <v>天南星</v>
          </cell>
        </row>
        <row r="257">
          <cell r="H257" t="str">
            <v>4+33</v>
          </cell>
          <cell r="I257" t="str">
            <v>－</v>
          </cell>
          <cell r="J257" t="str">
            <v>石門星</v>
          </cell>
          <cell r="K257" t="str">
            <v>天恍星</v>
          </cell>
        </row>
        <row r="258">
          <cell r="H258" t="str">
            <v>4+34</v>
          </cell>
          <cell r="I258" t="str">
            <v>納音</v>
          </cell>
          <cell r="J258" t="str">
            <v>貫索星</v>
          </cell>
          <cell r="K258" t="str">
            <v>天貴星</v>
          </cell>
        </row>
        <row r="259">
          <cell r="H259" t="str">
            <v>4+35</v>
          </cell>
          <cell r="I259" t="str">
            <v>支合</v>
          </cell>
          <cell r="J259" t="str">
            <v>調舒星</v>
          </cell>
          <cell r="K259" t="str">
            <v>天印星</v>
          </cell>
        </row>
        <row r="260">
          <cell r="H260" t="str">
            <v>4+36</v>
          </cell>
          <cell r="I260" t="str">
            <v>半会</v>
          </cell>
          <cell r="J260" t="str">
            <v>鳳閣星</v>
          </cell>
          <cell r="K260" t="str">
            <v>天報星</v>
          </cell>
        </row>
        <row r="261">
          <cell r="H261" t="str">
            <v>4+37</v>
          </cell>
          <cell r="I261" t="str">
            <v>刑</v>
          </cell>
          <cell r="J261" t="str">
            <v>司禄星</v>
          </cell>
          <cell r="K261" t="str">
            <v>天馳星</v>
          </cell>
        </row>
        <row r="262">
          <cell r="H262" t="str">
            <v>4+38</v>
          </cell>
          <cell r="I262" t="str">
            <v>－</v>
          </cell>
          <cell r="J262" t="str">
            <v>禄存星</v>
          </cell>
          <cell r="K262" t="str">
            <v>天庫星</v>
          </cell>
        </row>
        <row r="263">
          <cell r="H263" t="str">
            <v>4+39</v>
          </cell>
          <cell r="I263" t="str">
            <v>準方位</v>
          </cell>
          <cell r="J263" t="str">
            <v>牽牛星</v>
          </cell>
          <cell r="K263" t="str">
            <v>天極星</v>
          </cell>
        </row>
        <row r="264">
          <cell r="H264" t="str">
            <v>4+40</v>
          </cell>
          <cell r="I264" t="str">
            <v>同</v>
          </cell>
          <cell r="J264" t="str">
            <v>車騎星</v>
          </cell>
          <cell r="K264" t="str">
            <v>天胡星</v>
          </cell>
        </row>
        <row r="265">
          <cell r="H265" t="str">
            <v>4+41</v>
          </cell>
          <cell r="I265" t="str">
            <v>害</v>
          </cell>
          <cell r="J265" t="str">
            <v>玉堂星</v>
          </cell>
          <cell r="K265" t="str">
            <v>天堂星</v>
          </cell>
        </row>
        <row r="266">
          <cell r="H266" t="str">
            <v>4+42</v>
          </cell>
          <cell r="I266" t="str">
            <v>－</v>
          </cell>
          <cell r="J266" t="str">
            <v>龍高星</v>
          </cell>
          <cell r="K266" t="str">
            <v>天将星</v>
          </cell>
        </row>
        <row r="267">
          <cell r="H267" t="str">
            <v>4+43</v>
          </cell>
          <cell r="I267" t="str">
            <v>破</v>
          </cell>
          <cell r="J267" t="str">
            <v>石門星</v>
          </cell>
          <cell r="K267" t="str">
            <v>天禄星</v>
          </cell>
        </row>
        <row r="268">
          <cell r="H268" t="str">
            <v>4+44</v>
          </cell>
          <cell r="I268" t="str">
            <v>大半会</v>
          </cell>
          <cell r="J268" t="str">
            <v>貫索星</v>
          </cell>
          <cell r="K268" t="str">
            <v>天南星</v>
          </cell>
        </row>
        <row r="269">
          <cell r="H269" t="str">
            <v>4+45</v>
          </cell>
          <cell r="I269" t="str">
            <v>－</v>
          </cell>
          <cell r="J269" t="str">
            <v>調舒星</v>
          </cell>
          <cell r="K269" t="str">
            <v>天恍星</v>
          </cell>
        </row>
        <row r="270">
          <cell r="H270" t="str">
            <v>4+46</v>
          </cell>
          <cell r="I270" t="str">
            <v>対冲</v>
          </cell>
          <cell r="J270" t="str">
            <v>鳳閣星</v>
          </cell>
          <cell r="K270" t="str">
            <v>天貴星</v>
          </cell>
        </row>
        <row r="271">
          <cell r="H271" t="str">
            <v>4+47</v>
          </cell>
          <cell r="I271" t="str">
            <v>支合</v>
          </cell>
          <cell r="J271" t="str">
            <v>司禄星</v>
          </cell>
          <cell r="K271" t="str">
            <v>天印星</v>
          </cell>
        </row>
        <row r="272">
          <cell r="H272" t="str">
            <v>4+48</v>
          </cell>
          <cell r="I272" t="str">
            <v>半会</v>
          </cell>
          <cell r="J272" t="str">
            <v>禄存星</v>
          </cell>
          <cell r="K272" t="str">
            <v>天報星</v>
          </cell>
        </row>
        <row r="273">
          <cell r="H273" t="str">
            <v>4+49</v>
          </cell>
          <cell r="I273" t="str">
            <v>刑</v>
          </cell>
          <cell r="J273" t="str">
            <v>牽牛星</v>
          </cell>
          <cell r="K273" t="str">
            <v>天馳星</v>
          </cell>
        </row>
        <row r="274">
          <cell r="H274" t="str">
            <v>4+50</v>
          </cell>
          <cell r="I274" t="str">
            <v>－</v>
          </cell>
          <cell r="J274" t="str">
            <v>車騎星</v>
          </cell>
          <cell r="K274" t="str">
            <v>天庫星</v>
          </cell>
        </row>
        <row r="275">
          <cell r="H275" t="str">
            <v>4+51</v>
          </cell>
          <cell r="I275" t="str">
            <v>準方位</v>
          </cell>
          <cell r="J275" t="str">
            <v>玉堂星</v>
          </cell>
          <cell r="K275" t="str">
            <v>天極星</v>
          </cell>
        </row>
        <row r="276">
          <cell r="H276" t="str">
            <v>4+52</v>
          </cell>
          <cell r="I276" t="str">
            <v>同</v>
          </cell>
          <cell r="J276" t="str">
            <v>龍高星</v>
          </cell>
          <cell r="K276" t="str">
            <v>天胡星</v>
          </cell>
        </row>
        <row r="277">
          <cell r="H277" t="str">
            <v>4+53</v>
          </cell>
          <cell r="I277" t="str">
            <v>害</v>
          </cell>
          <cell r="J277" t="str">
            <v>石門星</v>
          </cell>
          <cell r="K277" t="str">
            <v>天堂星</v>
          </cell>
        </row>
        <row r="278">
          <cell r="H278" t="str">
            <v>4+54</v>
          </cell>
          <cell r="I278" t="str">
            <v>－</v>
          </cell>
          <cell r="J278" t="str">
            <v>貫索星</v>
          </cell>
          <cell r="K278" t="str">
            <v>天将星</v>
          </cell>
        </row>
        <row r="279">
          <cell r="H279" t="str">
            <v>4+55</v>
          </cell>
          <cell r="I279" t="str">
            <v>破</v>
          </cell>
          <cell r="J279" t="str">
            <v>調舒星</v>
          </cell>
          <cell r="K279" t="str">
            <v>天禄星</v>
          </cell>
        </row>
        <row r="280">
          <cell r="H280" t="str">
            <v>4+56</v>
          </cell>
          <cell r="I280" t="str">
            <v>半会</v>
          </cell>
          <cell r="J280" t="str">
            <v>鳳閣星</v>
          </cell>
          <cell r="K280" t="str">
            <v>天南星</v>
          </cell>
        </row>
        <row r="281">
          <cell r="H281" t="str">
            <v>4+57</v>
          </cell>
          <cell r="I281" t="str">
            <v>－</v>
          </cell>
          <cell r="J281" t="str">
            <v>司禄星</v>
          </cell>
          <cell r="K281" t="str">
            <v>天恍星</v>
          </cell>
        </row>
        <row r="282">
          <cell r="H282" t="str">
            <v>4+58</v>
          </cell>
          <cell r="I282" t="str">
            <v>天剋地冲</v>
          </cell>
          <cell r="J282" t="str">
            <v>禄存星</v>
          </cell>
          <cell r="K282" t="str">
            <v>天貴星</v>
          </cell>
        </row>
        <row r="283">
          <cell r="H283" t="str">
            <v>4+59</v>
          </cell>
          <cell r="I283" t="str">
            <v>支合</v>
          </cell>
          <cell r="J283" t="str">
            <v>牽牛星</v>
          </cell>
          <cell r="K283" t="str">
            <v>天印星</v>
          </cell>
        </row>
        <row r="284">
          <cell r="H284" t="str">
            <v>4+60</v>
          </cell>
          <cell r="I284" t="str">
            <v>半会</v>
          </cell>
          <cell r="J284" t="str">
            <v>車騎星</v>
          </cell>
          <cell r="K284" t="str">
            <v>天報星</v>
          </cell>
        </row>
        <row r="285">
          <cell r="H285" t="str">
            <v>5+1</v>
          </cell>
          <cell r="I285" t="str">
            <v>半会</v>
          </cell>
          <cell r="J285" t="str">
            <v>車騎星</v>
          </cell>
          <cell r="K285" t="str">
            <v>天報星</v>
          </cell>
        </row>
        <row r="286">
          <cell r="H286" t="str">
            <v>5+2</v>
          </cell>
          <cell r="I286" t="str">
            <v>破</v>
          </cell>
          <cell r="J286" t="str">
            <v>牽牛星</v>
          </cell>
          <cell r="K286" t="str">
            <v>天印星</v>
          </cell>
        </row>
        <row r="287">
          <cell r="H287" t="str">
            <v>5+3</v>
          </cell>
          <cell r="I287" t="str">
            <v>準方位</v>
          </cell>
          <cell r="J287" t="str">
            <v>龍高星</v>
          </cell>
          <cell r="K287" t="str">
            <v>天貴星</v>
          </cell>
        </row>
        <row r="288">
          <cell r="H288" t="str">
            <v>5+4</v>
          </cell>
          <cell r="I288" t="str">
            <v>害</v>
          </cell>
          <cell r="J288" t="str">
            <v>玉堂星</v>
          </cell>
          <cell r="K288" t="str">
            <v>天恍星</v>
          </cell>
        </row>
        <row r="289">
          <cell r="H289" t="str">
            <v>5+5</v>
          </cell>
          <cell r="I289" t="str">
            <v>律音</v>
          </cell>
          <cell r="J289" t="str">
            <v>貫索星</v>
          </cell>
          <cell r="K289" t="str">
            <v>天南星</v>
          </cell>
        </row>
        <row r="290">
          <cell r="H290" t="str">
            <v>5+6</v>
          </cell>
          <cell r="I290" t="str">
            <v>－</v>
          </cell>
          <cell r="J290" t="str">
            <v>石門星</v>
          </cell>
          <cell r="K290" t="str">
            <v>天禄星</v>
          </cell>
        </row>
        <row r="291">
          <cell r="H291" t="str">
            <v>5+7</v>
          </cell>
          <cell r="I291" t="str">
            <v>－</v>
          </cell>
          <cell r="J291" t="str">
            <v>鳳閣星</v>
          </cell>
          <cell r="K291" t="str">
            <v>天将星</v>
          </cell>
        </row>
        <row r="292">
          <cell r="H292" t="str">
            <v>5+8</v>
          </cell>
          <cell r="I292" t="str">
            <v>－</v>
          </cell>
          <cell r="J292" t="str">
            <v>調舒星</v>
          </cell>
          <cell r="K292" t="str">
            <v>天堂星</v>
          </cell>
        </row>
        <row r="293">
          <cell r="H293" t="str">
            <v>5+9</v>
          </cell>
          <cell r="I293" t="str">
            <v>半会</v>
          </cell>
          <cell r="J293" t="str">
            <v>禄存星</v>
          </cell>
          <cell r="K293" t="str">
            <v>天胡星</v>
          </cell>
        </row>
        <row r="294">
          <cell r="H294" t="str">
            <v>5+10</v>
          </cell>
          <cell r="I294" t="str">
            <v>支合</v>
          </cell>
          <cell r="J294" t="str">
            <v>司禄星</v>
          </cell>
          <cell r="K294" t="str">
            <v>天極星</v>
          </cell>
        </row>
        <row r="295">
          <cell r="H295" t="str">
            <v>5+11</v>
          </cell>
          <cell r="I295" t="str">
            <v>天剋地冲</v>
          </cell>
          <cell r="J295" t="str">
            <v>車騎星</v>
          </cell>
          <cell r="K295" t="str">
            <v>天庫星</v>
          </cell>
        </row>
        <row r="296">
          <cell r="H296" t="str">
            <v>5+12</v>
          </cell>
          <cell r="I296" t="str">
            <v>－</v>
          </cell>
          <cell r="J296" t="str">
            <v>牽牛星</v>
          </cell>
          <cell r="K296" t="str">
            <v>天馳星</v>
          </cell>
        </row>
        <row r="297">
          <cell r="H297" t="str">
            <v>5+13</v>
          </cell>
          <cell r="I297" t="str">
            <v>半会</v>
          </cell>
          <cell r="J297" t="str">
            <v>龍高星</v>
          </cell>
          <cell r="K297" t="str">
            <v>天報星</v>
          </cell>
        </row>
        <row r="298">
          <cell r="H298" t="str">
            <v>5+14</v>
          </cell>
          <cell r="I298" t="str">
            <v>破</v>
          </cell>
          <cell r="J298" t="str">
            <v>玉堂星</v>
          </cell>
          <cell r="K298" t="str">
            <v>天印星</v>
          </cell>
        </row>
        <row r="299">
          <cell r="H299" t="str">
            <v>5+15</v>
          </cell>
          <cell r="I299" t="str">
            <v>準方位</v>
          </cell>
          <cell r="J299" t="str">
            <v>貫索星</v>
          </cell>
          <cell r="K299" t="str">
            <v>天貴星</v>
          </cell>
        </row>
        <row r="300">
          <cell r="H300" t="str">
            <v>5+16</v>
          </cell>
          <cell r="I300" t="str">
            <v>害</v>
          </cell>
          <cell r="J300" t="str">
            <v>石門星</v>
          </cell>
          <cell r="K300" t="str">
            <v>天恍星</v>
          </cell>
        </row>
        <row r="301">
          <cell r="H301" t="str">
            <v>5+17</v>
          </cell>
          <cell r="I301" t="str">
            <v>自刑</v>
          </cell>
          <cell r="J301" t="str">
            <v>鳳閣星</v>
          </cell>
          <cell r="K301" t="str">
            <v>天南星</v>
          </cell>
        </row>
        <row r="302">
          <cell r="H302" t="str">
            <v>5+18</v>
          </cell>
          <cell r="I302" t="str">
            <v>－</v>
          </cell>
          <cell r="J302" t="str">
            <v>調舒星</v>
          </cell>
          <cell r="K302" t="str">
            <v>天禄星</v>
          </cell>
        </row>
        <row r="303">
          <cell r="H303" t="str">
            <v>5+19</v>
          </cell>
          <cell r="I303" t="str">
            <v>－</v>
          </cell>
          <cell r="J303" t="str">
            <v>禄存星</v>
          </cell>
          <cell r="K303" t="str">
            <v>天将星</v>
          </cell>
        </row>
        <row r="304">
          <cell r="H304" t="str">
            <v>5+20</v>
          </cell>
          <cell r="I304" t="str">
            <v>－</v>
          </cell>
          <cell r="J304" t="str">
            <v>司禄星</v>
          </cell>
          <cell r="K304" t="str">
            <v>天堂星</v>
          </cell>
        </row>
        <row r="305">
          <cell r="H305" t="str">
            <v>5+21</v>
          </cell>
          <cell r="I305" t="str">
            <v>半会</v>
          </cell>
          <cell r="J305" t="str">
            <v>車騎星</v>
          </cell>
          <cell r="K305" t="str">
            <v>天胡星</v>
          </cell>
        </row>
        <row r="306">
          <cell r="H306" t="str">
            <v>5+22</v>
          </cell>
          <cell r="I306" t="str">
            <v>支合</v>
          </cell>
          <cell r="J306" t="str">
            <v>牽牛星</v>
          </cell>
          <cell r="K306" t="str">
            <v>天極星</v>
          </cell>
        </row>
        <row r="307">
          <cell r="H307" t="str">
            <v>5+23</v>
          </cell>
          <cell r="I307" t="str">
            <v>対冲</v>
          </cell>
          <cell r="J307" t="str">
            <v>龍高星</v>
          </cell>
          <cell r="K307" t="str">
            <v>天庫星</v>
          </cell>
        </row>
        <row r="308">
          <cell r="H308" t="str">
            <v>5+24</v>
          </cell>
          <cell r="I308" t="str">
            <v>－</v>
          </cell>
          <cell r="J308" t="str">
            <v>玉堂星</v>
          </cell>
          <cell r="K308" t="str">
            <v>天馳星</v>
          </cell>
        </row>
        <row r="309">
          <cell r="H309" t="str">
            <v>5+25</v>
          </cell>
          <cell r="I309" t="str">
            <v>大半会</v>
          </cell>
          <cell r="J309" t="str">
            <v>貫索星</v>
          </cell>
          <cell r="K309" t="str">
            <v>天報星</v>
          </cell>
        </row>
        <row r="310">
          <cell r="H310" t="str">
            <v>5+26</v>
          </cell>
          <cell r="I310" t="str">
            <v>破</v>
          </cell>
          <cell r="J310" t="str">
            <v>石門星</v>
          </cell>
          <cell r="K310" t="str">
            <v>天印星</v>
          </cell>
        </row>
        <row r="311">
          <cell r="H311" t="str">
            <v>5+27</v>
          </cell>
          <cell r="I311" t="str">
            <v>準方位</v>
          </cell>
          <cell r="J311" t="str">
            <v>鳳閣星</v>
          </cell>
          <cell r="K311" t="str">
            <v>天貴星</v>
          </cell>
        </row>
        <row r="312">
          <cell r="H312" t="str">
            <v>5+28</v>
          </cell>
          <cell r="I312" t="str">
            <v>害</v>
          </cell>
          <cell r="J312" t="str">
            <v>調舒星</v>
          </cell>
          <cell r="K312" t="str">
            <v>天恍星</v>
          </cell>
        </row>
        <row r="313">
          <cell r="H313" t="str">
            <v>5+29</v>
          </cell>
          <cell r="I313" t="str">
            <v>自刑</v>
          </cell>
          <cell r="J313" t="str">
            <v>禄存星</v>
          </cell>
          <cell r="K313" t="str">
            <v>天南星</v>
          </cell>
        </row>
        <row r="314">
          <cell r="H314" t="str">
            <v>5+30</v>
          </cell>
          <cell r="I314" t="str">
            <v>－</v>
          </cell>
          <cell r="J314" t="str">
            <v>司禄星</v>
          </cell>
          <cell r="K314" t="str">
            <v>天禄星</v>
          </cell>
        </row>
        <row r="315">
          <cell r="H315" t="str">
            <v>5+31</v>
          </cell>
          <cell r="I315" t="str">
            <v>－</v>
          </cell>
          <cell r="J315" t="str">
            <v>車騎星</v>
          </cell>
          <cell r="K315" t="str">
            <v>天将星</v>
          </cell>
        </row>
        <row r="316">
          <cell r="H316" t="str">
            <v>5+32</v>
          </cell>
          <cell r="I316" t="str">
            <v>－</v>
          </cell>
          <cell r="J316" t="str">
            <v>牽牛星</v>
          </cell>
          <cell r="K316" t="str">
            <v>天堂星</v>
          </cell>
        </row>
        <row r="317">
          <cell r="H317" t="str">
            <v>5+33</v>
          </cell>
          <cell r="I317" t="str">
            <v>半会</v>
          </cell>
          <cell r="J317" t="str">
            <v>龍高星</v>
          </cell>
          <cell r="K317" t="str">
            <v>天胡星</v>
          </cell>
        </row>
        <row r="318">
          <cell r="H318" t="str">
            <v>5+34</v>
          </cell>
          <cell r="I318" t="str">
            <v>支合</v>
          </cell>
          <cell r="J318" t="str">
            <v>玉堂星</v>
          </cell>
          <cell r="K318" t="str">
            <v>天極星</v>
          </cell>
        </row>
        <row r="319">
          <cell r="H319" t="str">
            <v>5+35</v>
          </cell>
          <cell r="I319" t="str">
            <v>納音</v>
          </cell>
          <cell r="J319" t="str">
            <v>貫索星</v>
          </cell>
          <cell r="K319" t="str">
            <v>天庫星</v>
          </cell>
        </row>
        <row r="320">
          <cell r="H320" t="str">
            <v>5+36</v>
          </cell>
          <cell r="I320" t="str">
            <v>－</v>
          </cell>
          <cell r="J320" t="str">
            <v>石門星</v>
          </cell>
          <cell r="K320" t="str">
            <v>天馳星</v>
          </cell>
        </row>
        <row r="321">
          <cell r="H321" t="str">
            <v>5+37</v>
          </cell>
          <cell r="I321" t="str">
            <v>半会</v>
          </cell>
          <cell r="J321" t="str">
            <v>鳳閣星</v>
          </cell>
          <cell r="K321" t="str">
            <v>天報星</v>
          </cell>
        </row>
        <row r="322">
          <cell r="H322" t="str">
            <v>5+38</v>
          </cell>
          <cell r="I322" t="str">
            <v>破</v>
          </cell>
          <cell r="J322" t="str">
            <v>調舒星</v>
          </cell>
          <cell r="K322" t="str">
            <v>天印星</v>
          </cell>
        </row>
        <row r="323">
          <cell r="H323" t="str">
            <v>5+39</v>
          </cell>
          <cell r="I323" t="str">
            <v>準方位</v>
          </cell>
          <cell r="J323" t="str">
            <v>禄存星</v>
          </cell>
          <cell r="K323" t="str">
            <v>天貴星</v>
          </cell>
        </row>
        <row r="324">
          <cell r="H324" t="str">
            <v>5+40</v>
          </cell>
          <cell r="I324" t="str">
            <v>害</v>
          </cell>
          <cell r="J324" t="str">
            <v>司禄星</v>
          </cell>
          <cell r="K324" t="str">
            <v>天恍星</v>
          </cell>
        </row>
        <row r="325">
          <cell r="H325" t="str">
            <v>5+41</v>
          </cell>
          <cell r="I325" t="str">
            <v>自刑</v>
          </cell>
          <cell r="J325" t="str">
            <v>車騎星</v>
          </cell>
          <cell r="K325" t="str">
            <v>天南星</v>
          </cell>
        </row>
        <row r="326">
          <cell r="H326" t="str">
            <v>5+42</v>
          </cell>
          <cell r="I326" t="str">
            <v>－</v>
          </cell>
          <cell r="J326" t="str">
            <v>牽牛星</v>
          </cell>
          <cell r="K326" t="str">
            <v>天禄星</v>
          </cell>
        </row>
        <row r="327">
          <cell r="H327" t="str">
            <v>5+43</v>
          </cell>
          <cell r="I327" t="str">
            <v>－</v>
          </cell>
          <cell r="J327" t="str">
            <v>龍高星</v>
          </cell>
          <cell r="K327" t="str">
            <v>天将星</v>
          </cell>
        </row>
        <row r="328">
          <cell r="H328" t="str">
            <v>5+44</v>
          </cell>
          <cell r="I328" t="str">
            <v>－</v>
          </cell>
          <cell r="J328" t="str">
            <v>玉堂星</v>
          </cell>
          <cell r="K328" t="str">
            <v>天堂星</v>
          </cell>
        </row>
        <row r="329">
          <cell r="H329" t="str">
            <v>5+45</v>
          </cell>
          <cell r="I329" t="str">
            <v>大半会</v>
          </cell>
          <cell r="J329" t="str">
            <v>貫索星</v>
          </cell>
          <cell r="K329" t="str">
            <v>天胡星</v>
          </cell>
        </row>
        <row r="330">
          <cell r="H330" t="str">
            <v>5+46</v>
          </cell>
          <cell r="I330" t="str">
            <v>支合</v>
          </cell>
          <cell r="J330" t="str">
            <v>石門星</v>
          </cell>
          <cell r="K330" t="str">
            <v>天極星</v>
          </cell>
        </row>
        <row r="331">
          <cell r="H331" t="str">
            <v>5+47</v>
          </cell>
          <cell r="I331" t="str">
            <v>対冲</v>
          </cell>
          <cell r="J331" t="str">
            <v>鳳閣星</v>
          </cell>
          <cell r="K331" t="str">
            <v>天庫星</v>
          </cell>
        </row>
        <row r="332">
          <cell r="H332" t="str">
            <v>5+48</v>
          </cell>
          <cell r="I332" t="str">
            <v>－</v>
          </cell>
          <cell r="J332" t="str">
            <v>調舒星</v>
          </cell>
          <cell r="K332" t="str">
            <v>天馳星</v>
          </cell>
        </row>
        <row r="333">
          <cell r="H333" t="str">
            <v>5+49</v>
          </cell>
          <cell r="I333" t="str">
            <v>半会</v>
          </cell>
          <cell r="J333" t="str">
            <v>禄存星</v>
          </cell>
          <cell r="K333" t="str">
            <v>天報星</v>
          </cell>
        </row>
        <row r="334">
          <cell r="H334" t="str">
            <v>5+50</v>
          </cell>
          <cell r="I334" t="str">
            <v>破</v>
          </cell>
          <cell r="J334" t="str">
            <v>司禄星</v>
          </cell>
          <cell r="K334" t="str">
            <v>天印星</v>
          </cell>
        </row>
        <row r="335">
          <cell r="H335" t="str">
            <v>5+51</v>
          </cell>
          <cell r="I335" t="str">
            <v>準方位</v>
          </cell>
          <cell r="J335" t="str">
            <v>車騎星</v>
          </cell>
          <cell r="K335" t="str">
            <v>天貴星</v>
          </cell>
        </row>
        <row r="336">
          <cell r="H336" t="str">
            <v>5+52</v>
          </cell>
          <cell r="I336" t="str">
            <v>害</v>
          </cell>
          <cell r="J336" t="str">
            <v>牽牛星</v>
          </cell>
          <cell r="K336" t="str">
            <v>天恍星</v>
          </cell>
        </row>
        <row r="337">
          <cell r="H337" t="str">
            <v>5+53</v>
          </cell>
          <cell r="I337" t="str">
            <v>自刑</v>
          </cell>
          <cell r="J337" t="str">
            <v>龍高星</v>
          </cell>
          <cell r="K337" t="str">
            <v>天南星</v>
          </cell>
        </row>
        <row r="338">
          <cell r="H338" t="str">
            <v>5+54</v>
          </cell>
          <cell r="I338" t="str">
            <v>－</v>
          </cell>
          <cell r="J338" t="str">
            <v>玉堂星</v>
          </cell>
          <cell r="K338" t="str">
            <v>天禄星</v>
          </cell>
        </row>
        <row r="339">
          <cell r="H339" t="str">
            <v>5+55</v>
          </cell>
          <cell r="I339" t="str">
            <v>－</v>
          </cell>
          <cell r="J339" t="str">
            <v>貫索星</v>
          </cell>
          <cell r="K339" t="str">
            <v>天将星</v>
          </cell>
        </row>
        <row r="340">
          <cell r="H340" t="str">
            <v>5+56</v>
          </cell>
          <cell r="I340" t="str">
            <v>－</v>
          </cell>
          <cell r="J340" t="str">
            <v>石門星</v>
          </cell>
          <cell r="K340" t="str">
            <v>天堂星</v>
          </cell>
        </row>
        <row r="341">
          <cell r="H341" t="str">
            <v>5+57</v>
          </cell>
          <cell r="I341" t="str">
            <v>半会</v>
          </cell>
          <cell r="J341" t="str">
            <v>鳳閣星</v>
          </cell>
          <cell r="K341" t="str">
            <v>天胡星</v>
          </cell>
        </row>
        <row r="342">
          <cell r="H342" t="str">
            <v>5+58</v>
          </cell>
          <cell r="I342" t="str">
            <v>支合</v>
          </cell>
          <cell r="J342" t="str">
            <v>調舒星</v>
          </cell>
          <cell r="K342" t="str">
            <v>天極星</v>
          </cell>
        </row>
        <row r="343">
          <cell r="H343" t="str">
            <v>5+59</v>
          </cell>
          <cell r="I343" t="str">
            <v>天剋地冲</v>
          </cell>
          <cell r="J343" t="str">
            <v>禄存星</v>
          </cell>
          <cell r="K343" t="str">
            <v>天庫星</v>
          </cell>
        </row>
        <row r="344">
          <cell r="H344" t="str">
            <v>5+60</v>
          </cell>
          <cell r="I344" t="str">
            <v>－</v>
          </cell>
          <cell r="J344" t="str">
            <v>司禄星</v>
          </cell>
          <cell r="K344" t="str">
            <v>天馳星</v>
          </cell>
        </row>
        <row r="345">
          <cell r="H345" t="str">
            <v>6+1</v>
          </cell>
          <cell r="I345" t="str">
            <v>－</v>
          </cell>
          <cell r="J345" t="str">
            <v>牽牛星</v>
          </cell>
          <cell r="K345" t="str">
            <v>天馳星</v>
          </cell>
        </row>
        <row r="346">
          <cell r="H346" t="str">
            <v>6+2</v>
          </cell>
          <cell r="I346" t="str">
            <v>半会</v>
          </cell>
          <cell r="J346" t="str">
            <v>車騎星</v>
          </cell>
          <cell r="K346" t="str">
            <v>天庫星</v>
          </cell>
        </row>
        <row r="347">
          <cell r="H347" t="str">
            <v>6+3</v>
          </cell>
          <cell r="I347" t="str">
            <v>害</v>
          </cell>
          <cell r="J347" t="str">
            <v>玉堂星</v>
          </cell>
          <cell r="K347" t="str">
            <v>天極星</v>
          </cell>
        </row>
        <row r="348">
          <cell r="H348" t="str">
            <v>6+4</v>
          </cell>
          <cell r="I348" t="str">
            <v>－</v>
          </cell>
          <cell r="J348" t="str">
            <v>龍高星</v>
          </cell>
          <cell r="K348" t="str">
            <v>天胡星</v>
          </cell>
        </row>
        <row r="349">
          <cell r="H349" t="str">
            <v>6+5</v>
          </cell>
          <cell r="I349" t="str">
            <v>－</v>
          </cell>
          <cell r="J349" t="str">
            <v>石門星</v>
          </cell>
          <cell r="K349" t="str">
            <v>天堂星</v>
          </cell>
        </row>
        <row r="350">
          <cell r="H350" t="str">
            <v>6+6</v>
          </cell>
          <cell r="I350" t="str">
            <v>律音</v>
          </cell>
          <cell r="J350" t="str">
            <v>貫索星</v>
          </cell>
          <cell r="K350" t="str">
            <v>天将星</v>
          </cell>
        </row>
        <row r="351">
          <cell r="H351" t="str">
            <v>6+7</v>
          </cell>
          <cell r="I351" t="str">
            <v>準方位</v>
          </cell>
          <cell r="J351" t="str">
            <v>調舒星</v>
          </cell>
          <cell r="K351" t="str">
            <v>天禄星</v>
          </cell>
        </row>
        <row r="352">
          <cell r="H352" t="str">
            <v>6+8</v>
          </cell>
          <cell r="I352" t="str">
            <v>準方位</v>
          </cell>
          <cell r="J352" t="str">
            <v>鳳閣星</v>
          </cell>
          <cell r="K352" t="str">
            <v>天南星</v>
          </cell>
        </row>
        <row r="353">
          <cell r="H353" t="str">
            <v>6+9</v>
          </cell>
          <cell r="I353" t="str">
            <v>支合</v>
          </cell>
          <cell r="J353" t="str">
            <v>司禄星</v>
          </cell>
          <cell r="K353" t="str">
            <v>天恍星</v>
          </cell>
        </row>
        <row r="354">
          <cell r="H354" t="str">
            <v>6+10</v>
          </cell>
          <cell r="I354" t="str">
            <v>半会</v>
          </cell>
          <cell r="J354" t="str">
            <v>禄存星</v>
          </cell>
          <cell r="K354" t="str">
            <v>天貴星</v>
          </cell>
        </row>
        <row r="355">
          <cell r="H355" t="str">
            <v>6+11</v>
          </cell>
          <cell r="I355" t="str">
            <v>－</v>
          </cell>
          <cell r="J355" t="str">
            <v>牽牛星</v>
          </cell>
          <cell r="K355" t="str">
            <v>天印星</v>
          </cell>
        </row>
        <row r="356">
          <cell r="H356" t="str">
            <v>6+12</v>
          </cell>
          <cell r="I356" t="str">
            <v>天剋地冲</v>
          </cell>
          <cell r="J356" t="str">
            <v>車騎星</v>
          </cell>
          <cell r="K356" t="str">
            <v>天報星</v>
          </cell>
        </row>
        <row r="357">
          <cell r="H357" t="str">
            <v>6+13</v>
          </cell>
          <cell r="I357" t="str">
            <v>－</v>
          </cell>
          <cell r="J357" t="str">
            <v>玉堂星</v>
          </cell>
          <cell r="K357" t="str">
            <v>天馳星</v>
          </cell>
        </row>
        <row r="358">
          <cell r="H358" t="str">
            <v>6+14</v>
          </cell>
          <cell r="I358" t="str">
            <v>半会</v>
          </cell>
          <cell r="J358" t="str">
            <v>龍高星</v>
          </cell>
          <cell r="K358" t="str">
            <v>天庫星</v>
          </cell>
        </row>
        <row r="359">
          <cell r="H359" t="str">
            <v>6+15</v>
          </cell>
          <cell r="I359" t="str">
            <v>害</v>
          </cell>
          <cell r="J359" t="str">
            <v>石門星</v>
          </cell>
          <cell r="K359" t="str">
            <v>天極星</v>
          </cell>
        </row>
        <row r="360">
          <cell r="H360" t="str">
            <v>6+16</v>
          </cell>
          <cell r="I360" t="str">
            <v>－</v>
          </cell>
          <cell r="J360" t="str">
            <v>貫索星</v>
          </cell>
          <cell r="K360" t="str">
            <v>天胡星</v>
          </cell>
        </row>
        <row r="361">
          <cell r="H361" t="str">
            <v>6+17</v>
          </cell>
          <cell r="I361" t="str">
            <v>－</v>
          </cell>
          <cell r="J361" t="str">
            <v>調舒星</v>
          </cell>
          <cell r="K361" t="str">
            <v>天堂星</v>
          </cell>
        </row>
        <row r="362">
          <cell r="H362" t="str">
            <v>6+18</v>
          </cell>
          <cell r="I362" t="str">
            <v>同</v>
          </cell>
          <cell r="J362" t="str">
            <v>鳳閣星</v>
          </cell>
          <cell r="K362" t="str">
            <v>天将星</v>
          </cell>
        </row>
        <row r="363">
          <cell r="H363" t="str">
            <v>6+19</v>
          </cell>
          <cell r="I363" t="str">
            <v>準方位</v>
          </cell>
          <cell r="J363" t="str">
            <v>司禄星</v>
          </cell>
          <cell r="K363" t="str">
            <v>天禄星</v>
          </cell>
        </row>
        <row r="364">
          <cell r="H364" t="str">
            <v>6+20</v>
          </cell>
          <cell r="I364" t="str">
            <v>準方位</v>
          </cell>
          <cell r="J364" t="str">
            <v>禄存星</v>
          </cell>
          <cell r="K364" t="str">
            <v>天南星</v>
          </cell>
        </row>
        <row r="365">
          <cell r="H365" t="str">
            <v>6+21</v>
          </cell>
          <cell r="I365" t="str">
            <v>支合</v>
          </cell>
          <cell r="J365" t="str">
            <v>牽牛星</v>
          </cell>
          <cell r="K365" t="str">
            <v>天恍星</v>
          </cell>
        </row>
        <row r="366">
          <cell r="H366" t="str">
            <v>6+22</v>
          </cell>
          <cell r="I366" t="str">
            <v>半会</v>
          </cell>
          <cell r="J366" t="str">
            <v>車騎星</v>
          </cell>
          <cell r="K366" t="str">
            <v>天貴星</v>
          </cell>
        </row>
        <row r="367">
          <cell r="H367" t="str">
            <v>6+23</v>
          </cell>
          <cell r="I367" t="str">
            <v>－</v>
          </cell>
          <cell r="J367" t="str">
            <v>玉堂星</v>
          </cell>
          <cell r="K367" t="str">
            <v>天印星</v>
          </cell>
        </row>
        <row r="368">
          <cell r="H368" t="str">
            <v>6+24</v>
          </cell>
          <cell r="I368" t="str">
            <v>対冲</v>
          </cell>
          <cell r="J368" t="str">
            <v>龍高星</v>
          </cell>
          <cell r="K368" t="str">
            <v>天報星</v>
          </cell>
        </row>
        <row r="369">
          <cell r="H369" t="str">
            <v>6+25</v>
          </cell>
          <cell r="I369" t="str">
            <v>－</v>
          </cell>
          <cell r="J369" t="str">
            <v>石門星</v>
          </cell>
          <cell r="K369" t="str">
            <v>天馳星</v>
          </cell>
        </row>
        <row r="370">
          <cell r="H370" t="str">
            <v>6+26</v>
          </cell>
          <cell r="I370" t="str">
            <v>大半会</v>
          </cell>
          <cell r="J370" t="str">
            <v>貫索星</v>
          </cell>
          <cell r="K370" t="str">
            <v>天庫星</v>
          </cell>
        </row>
        <row r="371">
          <cell r="H371" t="str">
            <v>6+27</v>
          </cell>
          <cell r="I371" t="str">
            <v>害</v>
          </cell>
          <cell r="J371" t="str">
            <v>調舒星</v>
          </cell>
          <cell r="K371" t="str">
            <v>天極星</v>
          </cell>
        </row>
        <row r="372">
          <cell r="H372" t="str">
            <v>6+28</v>
          </cell>
          <cell r="I372" t="str">
            <v>－</v>
          </cell>
          <cell r="J372" t="str">
            <v>鳳閣星</v>
          </cell>
          <cell r="K372" t="str">
            <v>天胡星</v>
          </cell>
        </row>
        <row r="373">
          <cell r="H373" t="str">
            <v>6+29</v>
          </cell>
          <cell r="I373" t="str">
            <v>－</v>
          </cell>
          <cell r="J373" t="str">
            <v>司禄星</v>
          </cell>
          <cell r="K373" t="str">
            <v>天堂星</v>
          </cell>
        </row>
        <row r="374">
          <cell r="H374" t="str">
            <v>6+30</v>
          </cell>
          <cell r="I374" t="str">
            <v>同</v>
          </cell>
          <cell r="J374" t="str">
            <v>禄存星</v>
          </cell>
          <cell r="K374" t="str">
            <v>天将星</v>
          </cell>
        </row>
        <row r="375">
          <cell r="H375" t="str">
            <v>6+31</v>
          </cell>
          <cell r="I375" t="str">
            <v>準方位</v>
          </cell>
          <cell r="J375" t="str">
            <v>牽牛星</v>
          </cell>
          <cell r="K375" t="str">
            <v>天禄星</v>
          </cell>
        </row>
        <row r="376">
          <cell r="H376" t="str">
            <v>6+32</v>
          </cell>
          <cell r="I376" t="str">
            <v>準方位</v>
          </cell>
          <cell r="J376" t="str">
            <v>車騎星</v>
          </cell>
          <cell r="K376" t="str">
            <v>天南星</v>
          </cell>
        </row>
        <row r="377">
          <cell r="H377" t="str">
            <v>6+33</v>
          </cell>
          <cell r="I377" t="str">
            <v>支合</v>
          </cell>
          <cell r="J377" t="str">
            <v>玉堂星</v>
          </cell>
          <cell r="K377" t="str">
            <v>天恍星</v>
          </cell>
        </row>
        <row r="378">
          <cell r="H378" t="str">
            <v>6+34</v>
          </cell>
          <cell r="I378" t="str">
            <v>半会</v>
          </cell>
          <cell r="J378" t="str">
            <v>龍高星</v>
          </cell>
          <cell r="K378" t="str">
            <v>天貴星</v>
          </cell>
        </row>
        <row r="379">
          <cell r="H379" t="str">
            <v>6+35</v>
          </cell>
          <cell r="I379" t="str">
            <v>－</v>
          </cell>
          <cell r="J379" t="str">
            <v>石門星</v>
          </cell>
          <cell r="K379" t="str">
            <v>天印星</v>
          </cell>
        </row>
        <row r="380">
          <cell r="H380" t="str">
            <v>6+36</v>
          </cell>
          <cell r="I380" t="str">
            <v>納音</v>
          </cell>
          <cell r="J380" t="str">
            <v>貫索星</v>
          </cell>
          <cell r="K380" t="str">
            <v>天報星</v>
          </cell>
        </row>
        <row r="381">
          <cell r="H381" t="str">
            <v>6+37</v>
          </cell>
          <cell r="I381" t="str">
            <v>－</v>
          </cell>
          <cell r="J381" t="str">
            <v>調舒星</v>
          </cell>
          <cell r="K381" t="str">
            <v>天馳星</v>
          </cell>
        </row>
        <row r="382">
          <cell r="H382" t="str">
            <v>6+38</v>
          </cell>
          <cell r="I382" t="str">
            <v>半会</v>
          </cell>
          <cell r="J382" t="str">
            <v>鳳閣星</v>
          </cell>
          <cell r="K382" t="str">
            <v>天庫星</v>
          </cell>
        </row>
        <row r="383">
          <cell r="H383" t="str">
            <v>6+39</v>
          </cell>
          <cell r="I383" t="str">
            <v>害</v>
          </cell>
          <cell r="J383" t="str">
            <v>司禄星</v>
          </cell>
          <cell r="K383" t="str">
            <v>天極星</v>
          </cell>
        </row>
        <row r="384">
          <cell r="H384" t="str">
            <v>6+40</v>
          </cell>
          <cell r="I384" t="str">
            <v>－</v>
          </cell>
          <cell r="J384" t="str">
            <v>禄存星</v>
          </cell>
          <cell r="K384" t="str">
            <v>天胡星</v>
          </cell>
        </row>
        <row r="385">
          <cell r="H385" t="str">
            <v>6+41</v>
          </cell>
          <cell r="I385" t="str">
            <v>－</v>
          </cell>
          <cell r="J385" t="str">
            <v>牽牛星</v>
          </cell>
          <cell r="K385" t="str">
            <v>天堂星</v>
          </cell>
        </row>
        <row r="386">
          <cell r="H386" t="str">
            <v>6+42</v>
          </cell>
          <cell r="I386" t="str">
            <v>同</v>
          </cell>
          <cell r="J386" t="str">
            <v>車騎星</v>
          </cell>
          <cell r="K386" t="str">
            <v>天将星</v>
          </cell>
        </row>
        <row r="387">
          <cell r="H387" t="str">
            <v>6+43</v>
          </cell>
          <cell r="I387" t="str">
            <v>準方位</v>
          </cell>
          <cell r="J387" t="str">
            <v>玉堂星</v>
          </cell>
          <cell r="K387" t="str">
            <v>天禄星</v>
          </cell>
        </row>
        <row r="388">
          <cell r="H388" t="str">
            <v>6+44</v>
          </cell>
          <cell r="I388" t="str">
            <v>準方位</v>
          </cell>
          <cell r="J388" t="str">
            <v>龍高星</v>
          </cell>
          <cell r="K388" t="str">
            <v>天南星</v>
          </cell>
        </row>
        <row r="389">
          <cell r="H389" t="str">
            <v>6+45</v>
          </cell>
          <cell r="I389" t="str">
            <v>支合</v>
          </cell>
          <cell r="J389" t="str">
            <v>石門星</v>
          </cell>
          <cell r="K389" t="str">
            <v>天恍星</v>
          </cell>
        </row>
        <row r="390">
          <cell r="H390" t="str">
            <v>6+46</v>
          </cell>
          <cell r="I390" t="str">
            <v>大半会</v>
          </cell>
          <cell r="J390" t="str">
            <v>貫索星</v>
          </cell>
          <cell r="K390" t="str">
            <v>天貴星</v>
          </cell>
        </row>
        <row r="391">
          <cell r="H391" t="str">
            <v>6+47</v>
          </cell>
          <cell r="I391" t="str">
            <v>－</v>
          </cell>
          <cell r="J391" t="str">
            <v>調舒星</v>
          </cell>
          <cell r="K391" t="str">
            <v>天印星</v>
          </cell>
        </row>
        <row r="392">
          <cell r="H392" t="str">
            <v>6+48</v>
          </cell>
          <cell r="I392" t="str">
            <v>対冲</v>
          </cell>
          <cell r="J392" t="str">
            <v>鳳閣星</v>
          </cell>
          <cell r="K392" t="str">
            <v>天報星</v>
          </cell>
        </row>
        <row r="393">
          <cell r="H393" t="str">
            <v>6+49</v>
          </cell>
          <cell r="I393" t="str">
            <v>－</v>
          </cell>
          <cell r="J393" t="str">
            <v>司禄星</v>
          </cell>
          <cell r="K393" t="str">
            <v>天馳星</v>
          </cell>
        </row>
        <row r="394">
          <cell r="H394" t="str">
            <v>6+50</v>
          </cell>
          <cell r="I394" t="str">
            <v>半会</v>
          </cell>
          <cell r="J394" t="str">
            <v>禄存星</v>
          </cell>
          <cell r="K394" t="str">
            <v>天庫星</v>
          </cell>
        </row>
        <row r="395">
          <cell r="H395" t="str">
            <v>6+51</v>
          </cell>
          <cell r="I395" t="str">
            <v>害</v>
          </cell>
          <cell r="J395" t="str">
            <v>牽牛星</v>
          </cell>
          <cell r="K395" t="str">
            <v>天極星</v>
          </cell>
        </row>
        <row r="396">
          <cell r="H396" t="str">
            <v>6+52</v>
          </cell>
          <cell r="I396" t="str">
            <v>－</v>
          </cell>
          <cell r="J396" t="str">
            <v>車騎星</v>
          </cell>
          <cell r="K396" t="str">
            <v>天胡星</v>
          </cell>
        </row>
        <row r="397">
          <cell r="H397" t="str">
            <v>6+53</v>
          </cell>
          <cell r="I397" t="str">
            <v>－</v>
          </cell>
          <cell r="J397" t="str">
            <v>玉堂星</v>
          </cell>
          <cell r="K397" t="str">
            <v>天堂星</v>
          </cell>
        </row>
        <row r="398">
          <cell r="H398" t="str">
            <v>6+54</v>
          </cell>
          <cell r="I398" t="str">
            <v>同</v>
          </cell>
          <cell r="J398" t="str">
            <v>龍高星</v>
          </cell>
          <cell r="K398" t="str">
            <v>天将星</v>
          </cell>
        </row>
        <row r="399">
          <cell r="H399" t="str">
            <v>6+55</v>
          </cell>
          <cell r="I399" t="str">
            <v>準方位</v>
          </cell>
          <cell r="J399" t="str">
            <v>石門星</v>
          </cell>
          <cell r="K399" t="str">
            <v>天禄星</v>
          </cell>
        </row>
        <row r="400">
          <cell r="H400" t="str">
            <v>6+56</v>
          </cell>
          <cell r="I400" t="str">
            <v>準方位</v>
          </cell>
          <cell r="J400" t="str">
            <v>貫索星</v>
          </cell>
          <cell r="K400" t="str">
            <v>天南星</v>
          </cell>
        </row>
        <row r="401">
          <cell r="H401" t="str">
            <v>6+57</v>
          </cell>
          <cell r="I401" t="str">
            <v>支合</v>
          </cell>
          <cell r="J401" t="str">
            <v>調舒星</v>
          </cell>
          <cell r="K401" t="str">
            <v>天恍星</v>
          </cell>
        </row>
        <row r="402">
          <cell r="H402" t="str">
            <v>6+58</v>
          </cell>
          <cell r="I402" t="str">
            <v>半会</v>
          </cell>
          <cell r="J402" t="str">
            <v>鳳閣星</v>
          </cell>
          <cell r="K402" t="str">
            <v>天貴星</v>
          </cell>
        </row>
        <row r="403">
          <cell r="H403" t="str">
            <v>6+59</v>
          </cell>
          <cell r="I403" t="str">
            <v>－</v>
          </cell>
          <cell r="J403" t="str">
            <v>司禄星</v>
          </cell>
          <cell r="K403" t="str">
            <v>天印星</v>
          </cell>
        </row>
        <row r="404">
          <cell r="H404" t="str">
            <v>6+60</v>
          </cell>
          <cell r="I404" t="str">
            <v>天剋地冲</v>
          </cell>
          <cell r="J404" t="str">
            <v>禄存星</v>
          </cell>
          <cell r="K404" t="str">
            <v>天報星</v>
          </cell>
        </row>
        <row r="405">
          <cell r="H405" t="str">
            <v>7+1</v>
          </cell>
          <cell r="I405" t="str">
            <v>天剋地冲</v>
          </cell>
          <cell r="J405" t="str">
            <v>禄存星</v>
          </cell>
          <cell r="K405" t="str">
            <v>天極星</v>
          </cell>
        </row>
        <row r="406">
          <cell r="H406" t="str">
            <v>7+2</v>
          </cell>
          <cell r="I406" t="str">
            <v>害</v>
          </cell>
          <cell r="J406" t="str">
            <v>司禄星</v>
          </cell>
          <cell r="K406" t="str">
            <v>天庫星</v>
          </cell>
        </row>
        <row r="407">
          <cell r="H407" t="str">
            <v>7+3</v>
          </cell>
          <cell r="I407" t="str">
            <v>半会</v>
          </cell>
          <cell r="J407" t="str">
            <v>車騎星</v>
          </cell>
          <cell r="K407" t="str">
            <v>天馳星</v>
          </cell>
        </row>
        <row r="408">
          <cell r="H408" t="str">
            <v>7+4</v>
          </cell>
          <cell r="I408" t="str">
            <v>破</v>
          </cell>
          <cell r="J408" t="str">
            <v>牽牛星</v>
          </cell>
          <cell r="K408" t="str">
            <v>天報星</v>
          </cell>
        </row>
        <row r="409">
          <cell r="H409" t="str">
            <v>7+5</v>
          </cell>
          <cell r="I409" t="str">
            <v>－</v>
          </cell>
          <cell r="J409" t="str">
            <v>龍高星</v>
          </cell>
          <cell r="K409" t="str">
            <v>天印星</v>
          </cell>
        </row>
        <row r="410">
          <cell r="H410" t="str">
            <v>7+6</v>
          </cell>
          <cell r="I410" t="str">
            <v>準方位</v>
          </cell>
          <cell r="J410" t="str">
            <v>玉堂星</v>
          </cell>
          <cell r="K410" t="str">
            <v>天貴星</v>
          </cell>
        </row>
        <row r="411">
          <cell r="H411" t="str">
            <v>7+7</v>
          </cell>
          <cell r="I411" t="str">
            <v>律音</v>
          </cell>
          <cell r="J411" t="str">
            <v>貫索星</v>
          </cell>
          <cell r="K411" t="str">
            <v>天恍星</v>
          </cell>
        </row>
        <row r="412">
          <cell r="H412" t="str">
            <v>7+8</v>
          </cell>
          <cell r="I412" t="str">
            <v>支合</v>
          </cell>
          <cell r="J412" t="str">
            <v>石門星</v>
          </cell>
          <cell r="K412" t="str">
            <v>天南星</v>
          </cell>
        </row>
        <row r="413">
          <cell r="H413" t="str">
            <v>7+9</v>
          </cell>
          <cell r="I413" t="str">
            <v>－</v>
          </cell>
          <cell r="J413" t="str">
            <v>鳳閣星</v>
          </cell>
          <cell r="K413" t="str">
            <v>天禄星</v>
          </cell>
        </row>
        <row r="414">
          <cell r="H414" t="str">
            <v>7+10</v>
          </cell>
          <cell r="I414" t="str">
            <v>－</v>
          </cell>
          <cell r="J414" t="str">
            <v>調舒星</v>
          </cell>
          <cell r="K414" t="str">
            <v>天将星</v>
          </cell>
        </row>
        <row r="415">
          <cell r="H415" t="str">
            <v>7+11</v>
          </cell>
          <cell r="I415" t="str">
            <v>半会</v>
          </cell>
          <cell r="J415" t="str">
            <v>禄存星</v>
          </cell>
          <cell r="K415" t="str">
            <v>天堂星</v>
          </cell>
        </row>
        <row r="416">
          <cell r="H416" t="str">
            <v>7+12</v>
          </cell>
          <cell r="I416" t="str">
            <v>－</v>
          </cell>
          <cell r="J416" t="str">
            <v>司禄星</v>
          </cell>
          <cell r="K416" t="str">
            <v>天胡星</v>
          </cell>
        </row>
        <row r="417">
          <cell r="H417" t="str">
            <v>7+13</v>
          </cell>
          <cell r="I417" t="str">
            <v>天剋地冲</v>
          </cell>
          <cell r="J417" t="str">
            <v>車騎星</v>
          </cell>
          <cell r="K417" t="str">
            <v>天極星</v>
          </cell>
        </row>
        <row r="418">
          <cell r="H418" t="str">
            <v>7+14</v>
          </cell>
          <cell r="I418" t="str">
            <v>害</v>
          </cell>
          <cell r="J418" t="str">
            <v>牽牛星</v>
          </cell>
          <cell r="K418" t="str">
            <v>天庫星</v>
          </cell>
        </row>
        <row r="419">
          <cell r="H419" t="str">
            <v>7+15</v>
          </cell>
          <cell r="I419" t="str">
            <v>半会</v>
          </cell>
          <cell r="J419" t="str">
            <v>龍高星</v>
          </cell>
          <cell r="K419" t="str">
            <v>天馳星</v>
          </cell>
        </row>
        <row r="420">
          <cell r="H420" t="str">
            <v>7+16</v>
          </cell>
          <cell r="I420" t="str">
            <v>破</v>
          </cell>
          <cell r="J420" t="str">
            <v>玉堂星</v>
          </cell>
          <cell r="K420" t="str">
            <v>天報星</v>
          </cell>
        </row>
        <row r="421">
          <cell r="H421" t="str">
            <v>7+17</v>
          </cell>
          <cell r="I421" t="str">
            <v>－</v>
          </cell>
          <cell r="J421" t="str">
            <v>貫索星</v>
          </cell>
          <cell r="K421" t="str">
            <v>天印星</v>
          </cell>
        </row>
        <row r="422">
          <cell r="H422" t="str">
            <v>7+18</v>
          </cell>
          <cell r="I422" t="str">
            <v>準方位</v>
          </cell>
          <cell r="J422" t="str">
            <v>石門星</v>
          </cell>
          <cell r="K422" t="str">
            <v>天貴星</v>
          </cell>
        </row>
        <row r="423">
          <cell r="H423" t="str">
            <v>7+19</v>
          </cell>
          <cell r="I423" t="str">
            <v>自刑</v>
          </cell>
          <cell r="J423" t="str">
            <v>鳳閣星</v>
          </cell>
          <cell r="K423" t="str">
            <v>天恍星</v>
          </cell>
        </row>
        <row r="424">
          <cell r="H424" t="str">
            <v>7+20</v>
          </cell>
          <cell r="I424" t="str">
            <v>支合</v>
          </cell>
          <cell r="J424" t="str">
            <v>調舒星</v>
          </cell>
          <cell r="K424" t="str">
            <v>天南星</v>
          </cell>
        </row>
        <row r="425">
          <cell r="H425" t="str">
            <v>7+21</v>
          </cell>
          <cell r="I425" t="str">
            <v>－</v>
          </cell>
          <cell r="J425" t="str">
            <v>禄存星</v>
          </cell>
          <cell r="K425" t="str">
            <v>天禄星</v>
          </cell>
        </row>
        <row r="426">
          <cell r="H426" t="str">
            <v>7+22</v>
          </cell>
          <cell r="I426" t="str">
            <v>－</v>
          </cell>
          <cell r="J426" t="str">
            <v>司禄星</v>
          </cell>
          <cell r="K426" t="str">
            <v>天将星</v>
          </cell>
        </row>
        <row r="427">
          <cell r="H427" t="str">
            <v>7+23</v>
          </cell>
          <cell r="I427" t="str">
            <v>半会</v>
          </cell>
          <cell r="J427" t="str">
            <v>車騎星</v>
          </cell>
          <cell r="K427" t="str">
            <v>天堂星</v>
          </cell>
        </row>
        <row r="428">
          <cell r="H428" t="str">
            <v>7+24</v>
          </cell>
          <cell r="I428" t="str">
            <v>－</v>
          </cell>
          <cell r="J428" t="str">
            <v>牽牛星</v>
          </cell>
          <cell r="K428" t="str">
            <v>天胡星</v>
          </cell>
        </row>
        <row r="429">
          <cell r="H429" t="str">
            <v>7+25</v>
          </cell>
          <cell r="I429" t="str">
            <v>対冲</v>
          </cell>
          <cell r="J429" t="str">
            <v>龍高星</v>
          </cell>
          <cell r="K429" t="str">
            <v>天極星</v>
          </cell>
        </row>
        <row r="430">
          <cell r="H430" t="str">
            <v>7+26</v>
          </cell>
          <cell r="I430" t="str">
            <v>害</v>
          </cell>
          <cell r="J430" t="str">
            <v>玉堂星</v>
          </cell>
          <cell r="K430" t="str">
            <v>天庫星</v>
          </cell>
        </row>
        <row r="431">
          <cell r="H431" t="str">
            <v>7+27</v>
          </cell>
          <cell r="I431" t="str">
            <v>大半会</v>
          </cell>
          <cell r="J431" t="str">
            <v>貫索星</v>
          </cell>
          <cell r="K431" t="str">
            <v>天馳星</v>
          </cell>
        </row>
        <row r="432">
          <cell r="H432" t="str">
            <v>7+28</v>
          </cell>
          <cell r="I432" t="str">
            <v>破</v>
          </cell>
          <cell r="J432" t="str">
            <v>石門星</v>
          </cell>
          <cell r="K432" t="str">
            <v>天報星</v>
          </cell>
        </row>
        <row r="433">
          <cell r="H433" t="str">
            <v>7+29</v>
          </cell>
          <cell r="I433" t="str">
            <v>－</v>
          </cell>
          <cell r="J433" t="str">
            <v>鳳閣星</v>
          </cell>
          <cell r="K433" t="str">
            <v>天印星</v>
          </cell>
        </row>
        <row r="434">
          <cell r="H434" t="str">
            <v>7+30</v>
          </cell>
          <cell r="I434" t="str">
            <v>準方位</v>
          </cell>
          <cell r="J434" t="str">
            <v>調舒星</v>
          </cell>
          <cell r="K434" t="str">
            <v>天貴星</v>
          </cell>
        </row>
        <row r="435">
          <cell r="H435" t="str">
            <v>7+31</v>
          </cell>
          <cell r="I435" t="str">
            <v>自刑</v>
          </cell>
          <cell r="J435" t="str">
            <v>禄存星</v>
          </cell>
          <cell r="K435" t="str">
            <v>天恍星</v>
          </cell>
        </row>
        <row r="436">
          <cell r="H436" t="str">
            <v>7+32</v>
          </cell>
          <cell r="I436" t="str">
            <v>支合</v>
          </cell>
          <cell r="J436" t="str">
            <v>司禄星</v>
          </cell>
          <cell r="K436" t="str">
            <v>天南星</v>
          </cell>
        </row>
        <row r="437">
          <cell r="H437" t="str">
            <v>7+33</v>
          </cell>
          <cell r="I437" t="str">
            <v>－</v>
          </cell>
          <cell r="J437" t="str">
            <v>車騎星</v>
          </cell>
          <cell r="K437" t="str">
            <v>天禄星</v>
          </cell>
        </row>
        <row r="438">
          <cell r="H438" t="str">
            <v>7+34</v>
          </cell>
          <cell r="I438" t="str">
            <v>－</v>
          </cell>
          <cell r="J438" t="str">
            <v>牽牛星</v>
          </cell>
          <cell r="K438" t="str">
            <v>天将星</v>
          </cell>
        </row>
        <row r="439">
          <cell r="H439" t="str">
            <v>7+35</v>
          </cell>
          <cell r="I439" t="str">
            <v>半会</v>
          </cell>
          <cell r="J439" t="str">
            <v>龍高星</v>
          </cell>
          <cell r="K439" t="str">
            <v>天堂星</v>
          </cell>
        </row>
        <row r="440">
          <cell r="H440" t="str">
            <v>7+36</v>
          </cell>
          <cell r="I440" t="str">
            <v>－</v>
          </cell>
          <cell r="J440" t="str">
            <v>玉堂星</v>
          </cell>
          <cell r="K440" t="str">
            <v>天胡星</v>
          </cell>
        </row>
        <row r="441">
          <cell r="H441" t="str">
            <v>7+37</v>
          </cell>
          <cell r="I441" t="str">
            <v>納音</v>
          </cell>
          <cell r="J441" t="str">
            <v>貫索星</v>
          </cell>
          <cell r="K441" t="str">
            <v>天極星</v>
          </cell>
        </row>
        <row r="442">
          <cell r="H442" t="str">
            <v>7+38</v>
          </cell>
          <cell r="I442" t="str">
            <v>害</v>
          </cell>
          <cell r="J442" t="str">
            <v>石門星</v>
          </cell>
          <cell r="K442" t="str">
            <v>天庫星</v>
          </cell>
        </row>
        <row r="443">
          <cell r="H443" t="str">
            <v>7+39</v>
          </cell>
          <cell r="I443" t="str">
            <v>半会</v>
          </cell>
          <cell r="J443" t="str">
            <v>鳳閣星</v>
          </cell>
          <cell r="K443" t="str">
            <v>天馳星</v>
          </cell>
        </row>
        <row r="444">
          <cell r="H444" t="str">
            <v>7+40</v>
          </cell>
          <cell r="I444" t="str">
            <v>破</v>
          </cell>
          <cell r="J444" t="str">
            <v>調舒星</v>
          </cell>
          <cell r="K444" t="str">
            <v>天報星</v>
          </cell>
        </row>
        <row r="445">
          <cell r="H445" t="str">
            <v>7+41</v>
          </cell>
          <cell r="I445" t="str">
            <v>－</v>
          </cell>
          <cell r="J445" t="str">
            <v>禄存星</v>
          </cell>
          <cell r="K445" t="str">
            <v>天印星</v>
          </cell>
        </row>
        <row r="446">
          <cell r="H446" t="str">
            <v>7+42</v>
          </cell>
          <cell r="I446" t="str">
            <v>準方位</v>
          </cell>
          <cell r="J446" t="str">
            <v>司禄星</v>
          </cell>
          <cell r="K446" t="str">
            <v>天貴星</v>
          </cell>
        </row>
        <row r="447">
          <cell r="H447" t="str">
            <v>7+43</v>
          </cell>
          <cell r="I447" t="str">
            <v>自刑</v>
          </cell>
          <cell r="J447" t="str">
            <v>車騎星</v>
          </cell>
          <cell r="K447" t="str">
            <v>天恍星</v>
          </cell>
        </row>
        <row r="448">
          <cell r="H448" t="str">
            <v>7+44</v>
          </cell>
          <cell r="I448" t="str">
            <v>支合</v>
          </cell>
          <cell r="J448" t="str">
            <v>牽牛星</v>
          </cell>
          <cell r="K448" t="str">
            <v>天南星</v>
          </cell>
        </row>
        <row r="449">
          <cell r="H449" t="str">
            <v>7+45</v>
          </cell>
          <cell r="I449" t="str">
            <v>－</v>
          </cell>
          <cell r="J449" t="str">
            <v>龍高星</v>
          </cell>
          <cell r="K449" t="str">
            <v>天禄星</v>
          </cell>
        </row>
        <row r="450">
          <cell r="H450" t="str">
            <v>7+46</v>
          </cell>
          <cell r="I450" t="str">
            <v>－</v>
          </cell>
          <cell r="J450" t="str">
            <v>玉堂星</v>
          </cell>
          <cell r="K450" t="str">
            <v>天将星</v>
          </cell>
        </row>
        <row r="451">
          <cell r="H451" t="str">
            <v>7+47</v>
          </cell>
          <cell r="I451" t="str">
            <v>大半会</v>
          </cell>
          <cell r="J451" t="str">
            <v>貫索星</v>
          </cell>
          <cell r="K451" t="str">
            <v>天堂星</v>
          </cell>
        </row>
        <row r="452">
          <cell r="H452" t="str">
            <v>7+48</v>
          </cell>
          <cell r="I452" t="str">
            <v>－</v>
          </cell>
          <cell r="J452" t="str">
            <v>石門星</v>
          </cell>
          <cell r="K452" t="str">
            <v>天胡星</v>
          </cell>
        </row>
        <row r="453">
          <cell r="H453" t="str">
            <v>7+49</v>
          </cell>
          <cell r="I453" t="str">
            <v>対冲</v>
          </cell>
          <cell r="J453" t="str">
            <v>鳳閣星</v>
          </cell>
          <cell r="K453" t="str">
            <v>天極星</v>
          </cell>
        </row>
        <row r="454">
          <cell r="H454" t="str">
            <v>7+50</v>
          </cell>
          <cell r="I454" t="str">
            <v>害</v>
          </cell>
          <cell r="J454" t="str">
            <v>調舒星</v>
          </cell>
          <cell r="K454" t="str">
            <v>天庫星</v>
          </cell>
        </row>
        <row r="455">
          <cell r="H455" t="str">
            <v>7+51</v>
          </cell>
          <cell r="I455" t="str">
            <v>半会</v>
          </cell>
          <cell r="J455" t="str">
            <v>禄存星</v>
          </cell>
          <cell r="K455" t="str">
            <v>天馳星</v>
          </cell>
        </row>
        <row r="456">
          <cell r="H456" t="str">
            <v>7+52</v>
          </cell>
          <cell r="I456" t="str">
            <v>破</v>
          </cell>
          <cell r="J456" t="str">
            <v>司禄星</v>
          </cell>
          <cell r="K456" t="str">
            <v>天報星</v>
          </cell>
        </row>
        <row r="457">
          <cell r="H457" t="str">
            <v>7+53</v>
          </cell>
          <cell r="I457" t="str">
            <v>－</v>
          </cell>
          <cell r="J457" t="str">
            <v>車騎星</v>
          </cell>
          <cell r="K457" t="str">
            <v>天印星</v>
          </cell>
        </row>
        <row r="458">
          <cell r="H458" t="str">
            <v>7+54</v>
          </cell>
          <cell r="I458" t="str">
            <v>準方位</v>
          </cell>
          <cell r="J458" t="str">
            <v>牽牛星</v>
          </cell>
          <cell r="K458" t="str">
            <v>天貴星</v>
          </cell>
        </row>
        <row r="459">
          <cell r="H459" t="str">
            <v>7+55</v>
          </cell>
          <cell r="I459" t="str">
            <v>自刑</v>
          </cell>
          <cell r="J459" t="str">
            <v>龍高星</v>
          </cell>
          <cell r="K459" t="str">
            <v>天恍星</v>
          </cell>
        </row>
        <row r="460">
          <cell r="H460" t="str">
            <v>7+56</v>
          </cell>
          <cell r="I460" t="str">
            <v>支合</v>
          </cell>
          <cell r="J460" t="str">
            <v>玉堂星</v>
          </cell>
          <cell r="K460" t="str">
            <v>天南星</v>
          </cell>
        </row>
        <row r="461">
          <cell r="H461" t="str">
            <v>7+57</v>
          </cell>
          <cell r="I461" t="str">
            <v>－</v>
          </cell>
          <cell r="J461" t="str">
            <v>貫索星</v>
          </cell>
          <cell r="K461" t="str">
            <v>天禄星</v>
          </cell>
        </row>
        <row r="462">
          <cell r="H462" t="str">
            <v>7+58</v>
          </cell>
          <cell r="I462" t="str">
            <v>－</v>
          </cell>
          <cell r="J462" t="str">
            <v>石門星</v>
          </cell>
          <cell r="K462" t="str">
            <v>天将星</v>
          </cell>
        </row>
        <row r="463">
          <cell r="H463" t="str">
            <v>7+59</v>
          </cell>
          <cell r="I463" t="str">
            <v>半会</v>
          </cell>
          <cell r="J463" t="str">
            <v>鳳閣星</v>
          </cell>
          <cell r="K463" t="str">
            <v>天堂星</v>
          </cell>
        </row>
        <row r="464">
          <cell r="H464" t="str">
            <v>7+60</v>
          </cell>
          <cell r="I464" t="str">
            <v>－</v>
          </cell>
          <cell r="J464" t="str">
            <v>調舒星</v>
          </cell>
          <cell r="K464" t="str">
            <v>天胡星</v>
          </cell>
        </row>
        <row r="465">
          <cell r="H465" t="str">
            <v>8+1</v>
          </cell>
          <cell r="I465" t="str">
            <v>害</v>
          </cell>
          <cell r="J465" t="str">
            <v>司禄星</v>
          </cell>
          <cell r="K465" t="str">
            <v>天貴星</v>
          </cell>
        </row>
        <row r="466">
          <cell r="H466" t="str">
            <v>8+2</v>
          </cell>
          <cell r="I466" t="str">
            <v>天剋地冲</v>
          </cell>
          <cell r="J466" t="str">
            <v>禄存星</v>
          </cell>
          <cell r="K466" t="str">
            <v>天印星</v>
          </cell>
        </row>
        <row r="467">
          <cell r="H467" t="str">
            <v>8+3</v>
          </cell>
          <cell r="I467" t="str">
            <v>－</v>
          </cell>
          <cell r="J467" t="str">
            <v>牽牛星</v>
          </cell>
          <cell r="K467" t="str">
            <v>天報星</v>
          </cell>
        </row>
        <row r="468">
          <cell r="H468" t="str">
            <v>8+4</v>
          </cell>
          <cell r="I468" t="str">
            <v>半会</v>
          </cell>
          <cell r="J468" t="str">
            <v>車騎星</v>
          </cell>
          <cell r="K468" t="str">
            <v>天馳星</v>
          </cell>
        </row>
        <row r="469">
          <cell r="H469" t="str">
            <v>8+5</v>
          </cell>
          <cell r="I469" t="str">
            <v>－</v>
          </cell>
          <cell r="J469" t="str">
            <v>玉堂星</v>
          </cell>
          <cell r="K469" t="str">
            <v>天庫星</v>
          </cell>
        </row>
        <row r="470">
          <cell r="H470" t="str">
            <v>8+6</v>
          </cell>
          <cell r="I470" t="str">
            <v>準方位</v>
          </cell>
          <cell r="J470" t="str">
            <v>龍高星</v>
          </cell>
          <cell r="K470" t="str">
            <v>天極星</v>
          </cell>
        </row>
        <row r="471">
          <cell r="H471" t="str">
            <v>8+7</v>
          </cell>
          <cell r="I471" t="str">
            <v>支合</v>
          </cell>
          <cell r="J471" t="str">
            <v>石門星</v>
          </cell>
          <cell r="K471" t="str">
            <v>天胡星</v>
          </cell>
        </row>
        <row r="472">
          <cell r="H472" t="str">
            <v>8+8</v>
          </cell>
          <cell r="I472" t="str">
            <v>律音</v>
          </cell>
          <cell r="J472" t="str">
            <v>貫索星</v>
          </cell>
          <cell r="K472" t="str">
            <v>天堂星</v>
          </cell>
        </row>
        <row r="473">
          <cell r="H473" t="str">
            <v>8+9</v>
          </cell>
          <cell r="I473" t="str">
            <v>－</v>
          </cell>
          <cell r="J473" t="str">
            <v>調舒星</v>
          </cell>
          <cell r="K473" t="str">
            <v>天将星</v>
          </cell>
        </row>
        <row r="474">
          <cell r="H474" t="str">
            <v>8+10</v>
          </cell>
          <cell r="I474" t="str">
            <v>－</v>
          </cell>
          <cell r="J474" t="str">
            <v>鳳閣星</v>
          </cell>
          <cell r="K474" t="str">
            <v>天禄星</v>
          </cell>
        </row>
        <row r="475">
          <cell r="H475" t="str">
            <v>8+11</v>
          </cell>
          <cell r="I475" t="str">
            <v>刑</v>
          </cell>
          <cell r="J475" t="str">
            <v>司禄星</v>
          </cell>
          <cell r="K475" t="str">
            <v>天南星</v>
          </cell>
        </row>
        <row r="476">
          <cell r="H476" t="str">
            <v>8+12</v>
          </cell>
          <cell r="I476" t="str">
            <v>半会</v>
          </cell>
          <cell r="J476" t="str">
            <v>禄存星</v>
          </cell>
          <cell r="K476" t="str">
            <v>天恍星</v>
          </cell>
        </row>
        <row r="477">
          <cell r="H477" t="str">
            <v>8+13</v>
          </cell>
          <cell r="I477" t="str">
            <v>害</v>
          </cell>
          <cell r="J477" t="str">
            <v>牽牛星</v>
          </cell>
          <cell r="K477" t="str">
            <v>天貴星</v>
          </cell>
        </row>
        <row r="478">
          <cell r="H478" t="str">
            <v>8+14</v>
          </cell>
          <cell r="I478" t="str">
            <v>天剋地冲</v>
          </cell>
          <cell r="J478" t="str">
            <v>車騎星</v>
          </cell>
          <cell r="K478" t="str">
            <v>天印星</v>
          </cell>
        </row>
        <row r="479">
          <cell r="H479" t="str">
            <v>8+15</v>
          </cell>
          <cell r="I479" t="str">
            <v>－</v>
          </cell>
          <cell r="J479" t="str">
            <v>玉堂星</v>
          </cell>
          <cell r="K479" t="str">
            <v>天報星</v>
          </cell>
        </row>
        <row r="480">
          <cell r="H480" t="str">
            <v>8+16</v>
          </cell>
          <cell r="I480" t="str">
            <v>半会</v>
          </cell>
          <cell r="J480" t="str">
            <v>龍高星</v>
          </cell>
          <cell r="K480" t="str">
            <v>天馳星</v>
          </cell>
        </row>
        <row r="481">
          <cell r="H481" t="str">
            <v>8+17</v>
          </cell>
          <cell r="I481" t="str">
            <v>－</v>
          </cell>
          <cell r="J481" t="str">
            <v>石門星</v>
          </cell>
          <cell r="K481" t="str">
            <v>天庫星</v>
          </cell>
        </row>
        <row r="482">
          <cell r="H482" t="str">
            <v>8+18</v>
          </cell>
          <cell r="I482" t="str">
            <v>準方位</v>
          </cell>
          <cell r="J482" t="str">
            <v>貫索星</v>
          </cell>
          <cell r="K482" t="str">
            <v>天極星</v>
          </cell>
        </row>
        <row r="483">
          <cell r="H483" t="str">
            <v>8+19</v>
          </cell>
          <cell r="I483" t="str">
            <v>支合</v>
          </cell>
          <cell r="J483" t="str">
            <v>調舒星</v>
          </cell>
          <cell r="K483" t="str">
            <v>天胡星</v>
          </cell>
        </row>
        <row r="484">
          <cell r="H484" t="str">
            <v>8+20</v>
          </cell>
          <cell r="I484" t="str">
            <v>同</v>
          </cell>
          <cell r="J484" t="str">
            <v>鳳閣星</v>
          </cell>
          <cell r="K484" t="str">
            <v>天堂星</v>
          </cell>
        </row>
        <row r="485">
          <cell r="H485" t="str">
            <v>8+21</v>
          </cell>
          <cell r="I485" t="str">
            <v>－</v>
          </cell>
          <cell r="J485" t="str">
            <v>司禄星</v>
          </cell>
          <cell r="K485" t="str">
            <v>天将星</v>
          </cell>
        </row>
        <row r="486">
          <cell r="H486" t="str">
            <v>8+22</v>
          </cell>
          <cell r="I486" t="str">
            <v>－</v>
          </cell>
          <cell r="J486" t="str">
            <v>禄存星</v>
          </cell>
          <cell r="K486" t="str">
            <v>天禄星</v>
          </cell>
        </row>
        <row r="487">
          <cell r="H487" t="str">
            <v>8+23</v>
          </cell>
          <cell r="I487" t="str">
            <v>刑</v>
          </cell>
          <cell r="J487" t="str">
            <v>牽牛星</v>
          </cell>
          <cell r="K487" t="str">
            <v>天南星</v>
          </cell>
        </row>
        <row r="488">
          <cell r="H488" t="str">
            <v>8+24</v>
          </cell>
          <cell r="I488" t="str">
            <v>半会</v>
          </cell>
          <cell r="J488" t="str">
            <v>車騎星</v>
          </cell>
          <cell r="K488" t="str">
            <v>天恍星</v>
          </cell>
        </row>
        <row r="489">
          <cell r="H489" t="str">
            <v>8+25</v>
          </cell>
          <cell r="I489" t="str">
            <v>害</v>
          </cell>
          <cell r="J489" t="str">
            <v>玉堂星</v>
          </cell>
          <cell r="K489" t="str">
            <v>天貴星</v>
          </cell>
        </row>
        <row r="490">
          <cell r="H490" t="str">
            <v>8+26</v>
          </cell>
          <cell r="I490" t="str">
            <v>対冲</v>
          </cell>
          <cell r="J490" t="str">
            <v>龍高星</v>
          </cell>
          <cell r="K490" t="str">
            <v>天印星</v>
          </cell>
        </row>
        <row r="491">
          <cell r="H491" t="str">
            <v>8+27</v>
          </cell>
          <cell r="I491" t="str">
            <v>－</v>
          </cell>
          <cell r="J491" t="str">
            <v>石門星</v>
          </cell>
          <cell r="K491" t="str">
            <v>天報星</v>
          </cell>
        </row>
        <row r="492">
          <cell r="H492" t="str">
            <v>8+28</v>
          </cell>
          <cell r="I492" t="str">
            <v>大半会</v>
          </cell>
          <cell r="J492" t="str">
            <v>貫索星</v>
          </cell>
          <cell r="K492" t="str">
            <v>天馳星</v>
          </cell>
        </row>
        <row r="493">
          <cell r="H493" t="str">
            <v>8+29</v>
          </cell>
          <cell r="I493" t="str">
            <v>－</v>
          </cell>
          <cell r="J493" t="str">
            <v>調舒星</v>
          </cell>
          <cell r="K493" t="str">
            <v>天庫星</v>
          </cell>
        </row>
        <row r="494">
          <cell r="H494" t="str">
            <v>8+30</v>
          </cell>
          <cell r="I494" t="str">
            <v>準方位</v>
          </cell>
          <cell r="J494" t="str">
            <v>鳳閣星</v>
          </cell>
          <cell r="K494" t="str">
            <v>天極星</v>
          </cell>
        </row>
        <row r="495">
          <cell r="H495" t="str">
            <v>8+31</v>
          </cell>
          <cell r="I495" t="str">
            <v>支合</v>
          </cell>
          <cell r="J495" t="str">
            <v>司禄星</v>
          </cell>
          <cell r="K495" t="str">
            <v>天胡星</v>
          </cell>
        </row>
        <row r="496">
          <cell r="H496" t="str">
            <v>8+32</v>
          </cell>
          <cell r="I496" t="str">
            <v>同</v>
          </cell>
          <cell r="J496" t="str">
            <v>禄存星</v>
          </cell>
          <cell r="K496" t="str">
            <v>天堂星</v>
          </cell>
        </row>
        <row r="497">
          <cell r="H497" t="str">
            <v>8+33</v>
          </cell>
          <cell r="I497" t="str">
            <v>－</v>
          </cell>
          <cell r="J497" t="str">
            <v>牽牛星</v>
          </cell>
          <cell r="K497" t="str">
            <v>天将星</v>
          </cell>
        </row>
        <row r="498">
          <cell r="H498" t="str">
            <v>8+34</v>
          </cell>
          <cell r="I498" t="str">
            <v>－</v>
          </cell>
          <cell r="J498" t="str">
            <v>車騎星</v>
          </cell>
          <cell r="K498" t="str">
            <v>天禄星</v>
          </cell>
        </row>
        <row r="499">
          <cell r="H499" t="str">
            <v>8+35</v>
          </cell>
          <cell r="I499" t="str">
            <v>刑</v>
          </cell>
          <cell r="J499" t="str">
            <v>玉堂星</v>
          </cell>
          <cell r="K499" t="str">
            <v>天南星</v>
          </cell>
        </row>
        <row r="500">
          <cell r="H500" t="str">
            <v>8+36</v>
          </cell>
          <cell r="I500" t="str">
            <v>半会</v>
          </cell>
          <cell r="J500" t="str">
            <v>龍高星</v>
          </cell>
          <cell r="K500" t="str">
            <v>天恍星</v>
          </cell>
        </row>
        <row r="501">
          <cell r="H501" t="str">
            <v>8+37</v>
          </cell>
          <cell r="I501" t="str">
            <v>害</v>
          </cell>
          <cell r="J501" t="str">
            <v>石門星</v>
          </cell>
          <cell r="K501" t="str">
            <v>天貴星</v>
          </cell>
        </row>
        <row r="502">
          <cell r="H502" t="str">
            <v>8+38</v>
          </cell>
          <cell r="I502" t="str">
            <v>納音</v>
          </cell>
          <cell r="J502" t="str">
            <v>貫索星</v>
          </cell>
          <cell r="K502" t="str">
            <v>天印星</v>
          </cell>
        </row>
        <row r="503">
          <cell r="H503" t="str">
            <v>8+39</v>
          </cell>
          <cell r="I503" t="str">
            <v>－</v>
          </cell>
          <cell r="J503" t="str">
            <v>調舒星</v>
          </cell>
          <cell r="K503" t="str">
            <v>天報星</v>
          </cell>
        </row>
        <row r="504">
          <cell r="H504" t="str">
            <v>8+40</v>
          </cell>
          <cell r="I504" t="str">
            <v>半会</v>
          </cell>
          <cell r="J504" t="str">
            <v>鳳閣星</v>
          </cell>
          <cell r="K504" t="str">
            <v>天馳星</v>
          </cell>
        </row>
        <row r="505">
          <cell r="H505" t="str">
            <v>8+41</v>
          </cell>
          <cell r="I505" t="str">
            <v>－</v>
          </cell>
          <cell r="J505" t="str">
            <v>司禄星</v>
          </cell>
          <cell r="K505" t="str">
            <v>天庫星</v>
          </cell>
        </row>
        <row r="506">
          <cell r="H506" t="str">
            <v>8+42</v>
          </cell>
          <cell r="I506" t="str">
            <v>準方位</v>
          </cell>
          <cell r="J506" t="str">
            <v>禄存星</v>
          </cell>
          <cell r="K506" t="str">
            <v>天極星</v>
          </cell>
        </row>
        <row r="507">
          <cell r="H507" t="str">
            <v>8+43</v>
          </cell>
          <cell r="I507" t="str">
            <v>支合</v>
          </cell>
          <cell r="J507" t="str">
            <v>牽牛星</v>
          </cell>
          <cell r="K507" t="str">
            <v>天胡星</v>
          </cell>
        </row>
        <row r="508">
          <cell r="H508" t="str">
            <v>8+44</v>
          </cell>
          <cell r="I508" t="str">
            <v>同</v>
          </cell>
          <cell r="J508" t="str">
            <v>車騎星</v>
          </cell>
          <cell r="K508" t="str">
            <v>天堂星</v>
          </cell>
        </row>
        <row r="509">
          <cell r="H509" t="str">
            <v>8+45</v>
          </cell>
          <cell r="I509" t="str">
            <v>－</v>
          </cell>
          <cell r="J509" t="str">
            <v>玉堂星</v>
          </cell>
          <cell r="K509" t="str">
            <v>天将星</v>
          </cell>
        </row>
        <row r="510">
          <cell r="H510" t="str">
            <v>8+46</v>
          </cell>
          <cell r="I510" t="str">
            <v>－</v>
          </cell>
          <cell r="J510" t="str">
            <v>龍高星</v>
          </cell>
          <cell r="K510" t="str">
            <v>天禄星</v>
          </cell>
        </row>
        <row r="511">
          <cell r="H511" t="str">
            <v>8+47</v>
          </cell>
          <cell r="I511" t="str">
            <v>刑</v>
          </cell>
          <cell r="J511" t="str">
            <v>石門星</v>
          </cell>
          <cell r="K511" t="str">
            <v>天南星</v>
          </cell>
        </row>
        <row r="512">
          <cell r="H512" t="str">
            <v>8+48</v>
          </cell>
          <cell r="I512" t="str">
            <v>大半会</v>
          </cell>
          <cell r="J512" t="str">
            <v>貫索星</v>
          </cell>
          <cell r="K512" t="str">
            <v>天恍星</v>
          </cell>
        </row>
        <row r="513">
          <cell r="H513" t="str">
            <v>8+49</v>
          </cell>
          <cell r="I513" t="str">
            <v>害</v>
          </cell>
          <cell r="J513" t="str">
            <v>調舒星</v>
          </cell>
          <cell r="K513" t="str">
            <v>天貴星</v>
          </cell>
        </row>
        <row r="514">
          <cell r="H514" t="str">
            <v>8+50</v>
          </cell>
          <cell r="I514" t="str">
            <v>対冲</v>
          </cell>
          <cell r="J514" t="str">
            <v>鳳閣星</v>
          </cell>
          <cell r="K514" t="str">
            <v>天印星</v>
          </cell>
        </row>
        <row r="515">
          <cell r="H515" t="str">
            <v>8+51</v>
          </cell>
          <cell r="I515" t="str">
            <v>－</v>
          </cell>
          <cell r="J515" t="str">
            <v>司禄星</v>
          </cell>
          <cell r="K515" t="str">
            <v>天報星</v>
          </cell>
        </row>
        <row r="516">
          <cell r="H516" t="str">
            <v>8+52</v>
          </cell>
          <cell r="I516" t="str">
            <v>半会</v>
          </cell>
          <cell r="J516" t="str">
            <v>禄存星</v>
          </cell>
          <cell r="K516" t="str">
            <v>天馳星</v>
          </cell>
        </row>
        <row r="517">
          <cell r="H517" t="str">
            <v>8+53</v>
          </cell>
          <cell r="I517" t="str">
            <v>－</v>
          </cell>
          <cell r="J517" t="str">
            <v>牽牛星</v>
          </cell>
          <cell r="K517" t="str">
            <v>天庫星</v>
          </cell>
        </row>
        <row r="518">
          <cell r="H518" t="str">
            <v>8+54</v>
          </cell>
          <cell r="I518" t="str">
            <v>準方位</v>
          </cell>
          <cell r="J518" t="str">
            <v>車騎星</v>
          </cell>
          <cell r="K518" t="str">
            <v>天極星</v>
          </cell>
        </row>
        <row r="519">
          <cell r="H519" t="str">
            <v>8+55</v>
          </cell>
          <cell r="I519" t="str">
            <v>支合</v>
          </cell>
          <cell r="J519" t="str">
            <v>玉堂星</v>
          </cell>
          <cell r="K519" t="str">
            <v>天胡星</v>
          </cell>
        </row>
        <row r="520">
          <cell r="H520" t="str">
            <v>8+56</v>
          </cell>
          <cell r="I520" t="str">
            <v>同</v>
          </cell>
          <cell r="J520" t="str">
            <v>龍高星</v>
          </cell>
          <cell r="K520" t="str">
            <v>天堂星</v>
          </cell>
        </row>
        <row r="521">
          <cell r="H521" t="str">
            <v>8+57</v>
          </cell>
          <cell r="I521" t="str">
            <v>－</v>
          </cell>
          <cell r="J521" t="str">
            <v>石門星</v>
          </cell>
          <cell r="K521" t="str">
            <v>天将星</v>
          </cell>
        </row>
        <row r="522">
          <cell r="H522" t="str">
            <v>8+58</v>
          </cell>
          <cell r="I522" t="str">
            <v>－</v>
          </cell>
          <cell r="J522" t="str">
            <v>貫索星</v>
          </cell>
          <cell r="K522" t="str">
            <v>天禄星</v>
          </cell>
        </row>
        <row r="523">
          <cell r="H523" t="str">
            <v>8+59</v>
          </cell>
          <cell r="I523" t="str">
            <v>刑</v>
          </cell>
          <cell r="J523" t="str">
            <v>調舒星</v>
          </cell>
          <cell r="K523" t="str">
            <v>天南星</v>
          </cell>
        </row>
        <row r="524">
          <cell r="H524" t="str">
            <v>8+60</v>
          </cell>
          <cell r="I524" t="str">
            <v>半会</v>
          </cell>
          <cell r="J524" t="str">
            <v>鳳閣星</v>
          </cell>
          <cell r="K524" t="str">
            <v>天恍星</v>
          </cell>
        </row>
        <row r="525">
          <cell r="H525" t="str">
            <v>9+1</v>
          </cell>
          <cell r="I525" t="str">
            <v>半会</v>
          </cell>
          <cell r="J525" t="str">
            <v>鳳閣星</v>
          </cell>
          <cell r="K525" t="str">
            <v>天将星</v>
          </cell>
        </row>
        <row r="526">
          <cell r="H526" t="str">
            <v>9+2</v>
          </cell>
          <cell r="I526" t="str">
            <v>－</v>
          </cell>
          <cell r="J526" t="str">
            <v>調舒星</v>
          </cell>
          <cell r="K526" t="str">
            <v>天堂星</v>
          </cell>
        </row>
        <row r="527">
          <cell r="H527" t="str">
            <v>9+3</v>
          </cell>
          <cell r="I527" t="str">
            <v>天剋地冲</v>
          </cell>
          <cell r="J527" t="str">
            <v>禄存星</v>
          </cell>
          <cell r="K527" t="str">
            <v>天胡星</v>
          </cell>
        </row>
        <row r="528">
          <cell r="H528" t="str">
            <v>9+4</v>
          </cell>
          <cell r="I528" t="str">
            <v>－</v>
          </cell>
          <cell r="J528" t="str">
            <v>司禄星</v>
          </cell>
          <cell r="K528" t="str">
            <v>天極星</v>
          </cell>
        </row>
        <row r="529">
          <cell r="H529" t="str">
            <v>9+5</v>
          </cell>
          <cell r="I529" t="str">
            <v>半会</v>
          </cell>
          <cell r="J529" t="str">
            <v>車騎星</v>
          </cell>
          <cell r="K529" t="str">
            <v>天庫星</v>
          </cell>
        </row>
        <row r="530">
          <cell r="H530" t="str">
            <v>9+6</v>
          </cell>
          <cell r="I530" t="str">
            <v>支合</v>
          </cell>
          <cell r="J530" t="str">
            <v>牽牛星</v>
          </cell>
          <cell r="K530" t="str">
            <v>天馳星</v>
          </cell>
        </row>
        <row r="531">
          <cell r="H531" t="str">
            <v>9+7</v>
          </cell>
          <cell r="I531" t="str">
            <v>－</v>
          </cell>
          <cell r="J531" t="str">
            <v>龍高星</v>
          </cell>
          <cell r="K531" t="str">
            <v>天報星</v>
          </cell>
        </row>
        <row r="532">
          <cell r="H532" t="str">
            <v>9+8</v>
          </cell>
          <cell r="I532" t="str">
            <v>－</v>
          </cell>
          <cell r="J532" t="str">
            <v>玉堂星</v>
          </cell>
          <cell r="K532" t="str">
            <v>天印星</v>
          </cell>
        </row>
        <row r="533">
          <cell r="H533" t="str">
            <v>9+9</v>
          </cell>
          <cell r="I533" t="str">
            <v>律音</v>
          </cell>
          <cell r="J533" t="str">
            <v>貫索星</v>
          </cell>
          <cell r="K533" t="str">
            <v>天貴星</v>
          </cell>
        </row>
        <row r="534">
          <cell r="H534" t="str">
            <v>9+10</v>
          </cell>
          <cell r="I534" t="str">
            <v>準方位</v>
          </cell>
          <cell r="J534" t="str">
            <v>石門星</v>
          </cell>
          <cell r="K534" t="str">
            <v>天恍星</v>
          </cell>
        </row>
        <row r="535">
          <cell r="H535" t="str">
            <v>9+11</v>
          </cell>
          <cell r="I535" t="str">
            <v>準方位</v>
          </cell>
          <cell r="J535" t="str">
            <v>鳳閣星</v>
          </cell>
          <cell r="K535" t="str">
            <v>天南星</v>
          </cell>
        </row>
        <row r="536">
          <cell r="H536" t="str">
            <v>9+12</v>
          </cell>
          <cell r="I536" t="str">
            <v>害</v>
          </cell>
          <cell r="J536" t="str">
            <v>調舒星</v>
          </cell>
          <cell r="K536" t="str">
            <v>天禄星</v>
          </cell>
        </row>
        <row r="537">
          <cell r="H537" t="str">
            <v>9+13</v>
          </cell>
          <cell r="I537" t="str">
            <v>半会</v>
          </cell>
          <cell r="J537" t="str">
            <v>禄存星</v>
          </cell>
          <cell r="K537" t="str">
            <v>天将星</v>
          </cell>
        </row>
        <row r="538">
          <cell r="H538" t="str">
            <v>9+14</v>
          </cell>
          <cell r="I538" t="str">
            <v>－</v>
          </cell>
          <cell r="J538" t="str">
            <v>司禄星</v>
          </cell>
          <cell r="K538" t="str">
            <v>天堂星</v>
          </cell>
        </row>
        <row r="539">
          <cell r="H539" t="str">
            <v>9+15</v>
          </cell>
          <cell r="I539" t="str">
            <v>天剋地冲</v>
          </cell>
          <cell r="J539" t="str">
            <v>車騎星</v>
          </cell>
          <cell r="K539" t="str">
            <v>天胡星</v>
          </cell>
        </row>
        <row r="540">
          <cell r="H540" t="str">
            <v>9+16</v>
          </cell>
          <cell r="I540" t="str">
            <v>－</v>
          </cell>
          <cell r="J540" t="str">
            <v>牽牛星</v>
          </cell>
          <cell r="K540" t="str">
            <v>天極星</v>
          </cell>
        </row>
        <row r="541">
          <cell r="H541" t="str">
            <v>9+17</v>
          </cell>
          <cell r="I541" t="str">
            <v>半会</v>
          </cell>
          <cell r="J541" t="str">
            <v>龍高星</v>
          </cell>
          <cell r="K541" t="str">
            <v>天庫星</v>
          </cell>
        </row>
        <row r="542">
          <cell r="H542" t="str">
            <v>9+18</v>
          </cell>
          <cell r="I542" t="str">
            <v>支合</v>
          </cell>
          <cell r="J542" t="str">
            <v>玉堂星</v>
          </cell>
          <cell r="K542" t="str">
            <v>天馳星</v>
          </cell>
        </row>
        <row r="543">
          <cell r="H543" t="str">
            <v>9+19</v>
          </cell>
          <cell r="I543" t="str">
            <v>－</v>
          </cell>
          <cell r="J543" t="str">
            <v>貫索星</v>
          </cell>
          <cell r="K543" t="str">
            <v>天報星</v>
          </cell>
        </row>
        <row r="544">
          <cell r="H544" t="str">
            <v>9+20</v>
          </cell>
          <cell r="I544" t="str">
            <v>－</v>
          </cell>
          <cell r="J544" t="str">
            <v>石門星</v>
          </cell>
          <cell r="K544" t="str">
            <v>天印星</v>
          </cell>
        </row>
        <row r="545">
          <cell r="H545" t="str">
            <v>9+21</v>
          </cell>
          <cell r="I545" t="str">
            <v>同</v>
          </cell>
          <cell r="J545" t="str">
            <v>鳳閣星</v>
          </cell>
          <cell r="K545" t="str">
            <v>天貴星</v>
          </cell>
        </row>
        <row r="546">
          <cell r="H546" t="str">
            <v>9+22</v>
          </cell>
          <cell r="I546" t="str">
            <v>準方位</v>
          </cell>
          <cell r="J546" t="str">
            <v>調舒星</v>
          </cell>
          <cell r="K546" t="str">
            <v>天恍星</v>
          </cell>
        </row>
        <row r="547">
          <cell r="H547" t="str">
            <v>9+23</v>
          </cell>
          <cell r="I547" t="str">
            <v>準方位</v>
          </cell>
          <cell r="J547" t="str">
            <v>禄存星</v>
          </cell>
          <cell r="K547" t="str">
            <v>天南星</v>
          </cell>
        </row>
        <row r="548">
          <cell r="H548" t="str">
            <v>9+24</v>
          </cell>
          <cell r="I548" t="str">
            <v>害</v>
          </cell>
          <cell r="J548" t="str">
            <v>司禄星</v>
          </cell>
          <cell r="K548" t="str">
            <v>天禄星</v>
          </cell>
        </row>
        <row r="549">
          <cell r="H549" t="str">
            <v>9+25</v>
          </cell>
          <cell r="I549" t="str">
            <v>半会</v>
          </cell>
          <cell r="J549" t="str">
            <v>車騎星</v>
          </cell>
          <cell r="K549" t="str">
            <v>天将星</v>
          </cell>
        </row>
        <row r="550">
          <cell r="H550" t="str">
            <v>9+26</v>
          </cell>
          <cell r="I550" t="str">
            <v>－</v>
          </cell>
          <cell r="J550" t="str">
            <v>牽牛星</v>
          </cell>
          <cell r="K550" t="str">
            <v>天堂星</v>
          </cell>
        </row>
        <row r="551">
          <cell r="H551" t="str">
            <v>9+27</v>
          </cell>
          <cell r="I551" t="str">
            <v>対冲</v>
          </cell>
          <cell r="J551" t="str">
            <v>龍高星</v>
          </cell>
          <cell r="K551" t="str">
            <v>天胡星</v>
          </cell>
        </row>
        <row r="552">
          <cell r="H552" t="str">
            <v>9+28</v>
          </cell>
          <cell r="I552" t="str">
            <v>－</v>
          </cell>
          <cell r="J552" t="str">
            <v>玉堂星</v>
          </cell>
          <cell r="K552" t="str">
            <v>天極星</v>
          </cell>
        </row>
        <row r="553">
          <cell r="H553" t="str">
            <v>9+29</v>
          </cell>
          <cell r="I553" t="str">
            <v>大半会</v>
          </cell>
          <cell r="J553" t="str">
            <v>貫索星</v>
          </cell>
          <cell r="K553" t="str">
            <v>天庫星</v>
          </cell>
        </row>
        <row r="554">
          <cell r="H554" t="str">
            <v>9+30</v>
          </cell>
          <cell r="I554" t="str">
            <v>支合</v>
          </cell>
          <cell r="J554" t="str">
            <v>石門星</v>
          </cell>
          <cell r="K554" t="str">
            <v>天馳星</v>
          </cell>
        </row>
        <row r="555">
          <cell r="H555" t="str">
            <v>9+31</v>
          </cell>
          <cell r="I555" t="str">
            <v>－</v>
          </cell>
          <cell r="J555" t="str">
            <v>鳳閣星</v>
          </cell>
          <cell r="K555" t="str">
            <v>天報星</v>
          </cell>
        </row>
        <row r="556">
          <cell r="H556" t="str">
            <v>9+32</v>
          </cell>
          <cell r="I556" t="str">
            <v>－</v>
          </cell>
          <cell r="J556" t="str">
            <v>調舒星</v>
          </cell>
          <cell r="K556" t="str">
            <v>天印星</v>
          </cell>
        </row>
        <row r="557">
          <cell r="H557" t="str">
            <v>9+33</v>
          </cell>
          <cell r="I557" t="str">
            <v>同</v>
          </cell>
          <cell r="J557" t="str">
            <v>禄存星</v>
          </cell>
          <cell r="K557" t="str">
            <v>天貴星</v>
          </cell>
        </row>
        <row r="558">
          <cell r="H558" t="str">
            <v>9+34</v>
          </cell>
          <cell r="I558" t="str">
            <v>準方位</v>
          </cell>
          <cell r="J558" t="str">
            <v>司禄星</v>
          </cell>
          <cell r="K558" t="str">
            <v>天恍星</v>
          </cell>
        </row>
        <row r="559">
          <cell r="H559" t="str">
            <v>9+35</v>
          </cell>
          <cell r="I559" t="str">
            <v>準方位</v>
          </cell>
          <cell r="J559" t="str">
            <v>車騎星</v>
          </cell>
          <cell r="K559" t="str">
            <v>天南星</v>
          </cell>
        </row>
        <row r="560">
          <cell r="H560" t="str">
            <v>9+36</v>
          </cell>
          <cell r="I560" t="str">
            <v>害</v>
          </cell>
          <cell r="J560" t="str">
            <v>牽牛星</v>
          </cell>
          <cell r="K560" t="str">
            <v>天禄星</v>
          </cell>
        </row>
        <row r="561">
          <cell r="H561" t="str">
            <v>9+37</v>
          </cell>
          <cell r="I561" t="str">
            <v>半会</v>
          </cell>
          <cell r="J561" t="str">
            <v>龍高星</v>
          </cell>
          <cell r="K561" t="str">
            <v>天将星</v>
          </cell>
        </row>
        <row r="562">
          <cell r="H562" t="str">
            <v>9+38</v>
          </cell>
          <cell r="I562" t="str">
            <v>－</v>
          </cell>
          <cell r="J562" t="str">
            <v>玉堂星</v>
          </cell>
          <cell r="K562" t="str">
            <v>天堂星</v>
          </cell>
        </row>
        <row r="563">
          <cell r="H563" t="str">
            <v>9+39</v>
          </cell>
          <cell r="I563" t="str">
            <v>納音</v>
          </cell>
          <cell r="J563" t="str">
            <v>貫索星</v>
          </cell>
          <cell r="K563" t="str">
            <v>天胡星</v>
          </cell>
        </row>
        <row r="564">
          <cell r="H564" t="str">
            <v>9+40</v>
          </cell>
          <cell r="I564" t="str">
            <v>－</v>
          </cell>
          <cell r="J564" t="str">
            <v>石門星</v>
          </cell>
          <cell r="K564" t="str">
            <v>天極星</v>
          </cell>
        </row>
        <row r="565">
          <cell r="H565" t="str">
            <v>9+41</v>
          </cell>
          <cell r="I565" t="str">
            <v>半会</v>
          </cell>
          <cell r="J565" t="str">
            <v>鳳閣星</v>
          </cell>
          <cell r="K565" t="str">
            <v>天庫星</v>
          </cell>
        </row>
        <row r="566">
          <cell r="H566" t="str">
            <v>9+42</v>
          </cell>
          <cell r="I566" t="str">
            <v>支合</v>
          </cell>
          <cell r="J566" t="str">
            <v>調舒星</v>
          </cell>
          <cell r="K566" t="str">
            <v>天馳星</v>
          </cell>
        </row>
        <row r="567">
          <cell r="H567" t="str">
            <v>9+43</v>
          </cell>
          <cell r="I567" t="str">
            <v>－</v>
          </cell>
          <cell r="J567" t="str">
            <v>禄存星</v>
          </cell>
          <cell r="K567" t="str">
            <v>天報星</v>
          </cell>
        </row>
        <row r="568">
          <cell r="H568" t="str">
            <v>9+44</v>
          </cell>
          <cell r="I568" t="str">
            <v>－</v>
          </cell>
          <cell r="J568" t="str">
            <v>司禄星</v>
          </cell>
          <cell r="K568" t="str">
            <v>天印星</v>
          </cell>
        </row>
        <row r="569">
          <cell r="H569" t="str">
            <v>9+45</v>
          </cell>
          <cell r="I569" t="str">
            <v>同</v>
          </cell>
          <cell r="J569" t="str">
            <v>車騎星</v>
          </cell>
          <cell r="K569" t="str">
            <v>天貴星</v>
          </cell>
        </row>
        <row r="570">
          <cell r="H570" t="str">
            <v>9+46</v>
          </cell>
          <cell r="I570" t="str">
            <v>準方位</v>
          </cell>
          <cell r="J570" t="str">
            <v>牽牛星</v>
          </cell>
          <cell r="K570" t="str">
            <v>天恍星</v>
          </cell>
        </row>
        <row r="571">
          <cell r="H571" t="str">
            <v>9+47</v>
          </cell>
          <cell r="I571" t="str">
            <v>準方位</v>
          </cell>
          <cell r="J571" t="str">
            <v>龍高星</v>
          </cell>
          <cell r="K571" t="str">
            <v>天南星</v>
          </cell>
        </row>
        <row r="572">
          <cell r="H572" t="str">
            <v>9+48</v>
          </cell>
          <cell r="I572" t="str">
            <v>害</v>
          </cell>
          <cell r="J572" t="str">
            <v>玉堂星</v>
          </cell>
          <cell r="K572" t="str">
            <v>天禄星</v>
          </cell>
        </row>
        <row r="573">
          <cell r="H573" t="str">
            <v>9+49</v>
          </cell>
          <cell r="I573" t="str">
            <v>大半会</v>
          </cell>
          <cell r="J573" t="str">
            <v>貫索星</v>
          </cell>
          <cell r="K573" t="str">
            <v>天将星</v>
          </cell>
        </row>
        <row r="574">
          <cell r="H574" t="str">
            <v>9+50</v>
          </cell>
          <cell r="I574" t="str">
            <v>－</v>
          </cell>
          <cell r="J574" t="str">
            <v>石門星</v>
          </cell>
          <cell r="K574" t="str">
            <v>天堂星</v>
          </cell>
        </row>
        <row r="575">
          <cell r="H575" t="str">
            <v>9+51</v>
          </cell>
          <cell r="I575" t="str">
            <v>対冲</v>
          </cell>
          <cell r="J575" t="str">
            <v>鳳閣星</v>
          </cell>
          <cell r="K575" t="str">
            <v>天胡星</v>
          </cell>
        </row>
        <row r="576">
          <cell r="H576" t="str">
            <v>9+52</v>
          </cell>
          <cell r="I576" t="str">
            <v>－</v>
          </cell>
          <cell r="J576" t="str">
            <v>調舒星</v>
          </cell>
          <cell r="K576" t="str">
            <v>天極星</v>
          </cell>
        </row>
        <row r="577">
          <cell r="H577" t="str">
            <v>9+53</v>
          </cell>
          <cell r="I577" t="str">
            <v>半会</v>
          </cell>
          <cell r="J577" t="str">
            <v>禄存星</v>
          </cell>
          <cell r="K577" t="str">
            <v>天庫星</v>
          </cell>
        </row>
        <row r="578">
          <cell r="H578" t="str">
            <v>9+54</v>
          </cell>
          <cell r="I578" t="str">
            <v>支合</v>
          </cell>
          <cell r="J578" t="str">
            <v>司禄星</v>
          </cell>
          <cell r="K578" t="str">
            <v>天馳星</v>
          </cell>
        </row>
        <row r="579">
          <cell r="H579" t="str">
            <v>9+55</v>
          </cell>
          <cell r="I579" t="str">
            <v>－</v>
          </cell>
          <cell r="J579" t="str">
            <v>車騎星</v>
          </cell>
          <cell r="K579" t="str">
            <v>天報星</v>
          </cell>
        </row>
        <row r="580">
          <cell r="H580" t="str">
            <v>9+56</v>
          </cell>
          <cell r="I580" t="str">
            <v>－</v>
          </cell>
          <cell r="J580" t="str">
            <v>牽牛星</v>
          </cell>
          <cell r="K580" t="str">
            <v>天印星</v>
          </cell>
        </row>
        <row r="581">
          <cell r="H581" t="str">
            <v>9+57</v>
          </cell>
          <cell r="I581" t="str">
            <v>同</v>
          </cell>
          <cell r="J581" t="str">
            <v>龍高星</v>
          </cell>
          <cell r="K581" t="str">
            <v>天貴星</v>
          </cell>
        </row>
        <row r="582">
          <cell r="H582" t="str">
            <v>9+58</v>
          </cell>
          <cell r="I582" t="str">
            <v>準方位</v>
          </cell>
          <cell r="J582" t="str">
            <v>玉堂星</v>
          </cell>
          <cell r="K582" t="str">
            <v>天恍星</v>
          </cell>
        </row>
        <row r="583">
          <cell r="H583" t="str">
            <v>9+59</v>
          </cell>
          <cell r="I583" t="str">
            <v>準方位</v>
          </cell>
          <cell r="J583" t="str">
            <v>貫索星</v>
          </cell>
          <cell r="K583" t="str">
            <v>天南星</v>
          </cell>
        </row>
        <row r="584">
          <cell r="H584" t="str">
            <v>9+60</v>
          </cell>
          <cell r="I584" t="str">
            <v>害</v>
          </cell>
          <cell r="J584" t="str">
            <v>石門星</v>
          </cell>
          <cell r="K584" t="str">
            <v>天禄星</v>
          </cell>
        </row>
        <row r="585">
          <cell r="H585" t="str">
            <v>10+1</v>
          </cell>
          <cell r="I585" t="str">
            <v>破</v>
          </cell>
          <cell r="J585" t="str">
            <v>調舒星</v>
          </cell>
          <cell r="K585" t="str">
            <v>天禄星</v>
          </cell>
        </row>
        <row r="586">
          <cell r="H586" t="str">
            <v>10+2</v>
          </cell>
          <cell r="I586" t="str">
            <v>半会</v>
          </cell>
          <cell r="J586" t="str">
            <v>鳳閣星</v>
          </cell>
          <cell r="K586" t="str">
            <v>天南星</v>
          </cell>
        </row>
        <row r="587">
          <cell r="H587" t="str">
            <v>10+3</v>
          </cell>
          <cell r="I587" t="str">
            <v>－</v>
          </cell>
          <cell r="J587" t="str">
            <v>司禄星</v>
          </cell>
          <cell r="K587" t="str">
            <v>天恍星</v>
          </cell>
        </row>
        <row r="588">
          <cell r="H588" t="str">
            <v>10+4</v>
          </cell>
          <cell r="I588" t="str">
            <v>天剋地冲</v>
          </cell>
          <cell r="J588" t="str">
            <v>禄存星</v>
          </cell>
          <cell r="K588" t="str">
            <v>天貴星</v>
          </cell>
        </row>
        <row r="589">
          <cell r="H589" t="str">
            <v>10+5</v>
          </cell>
          <cell r="I589" t="str">
            <v>支合</v>
          </cell>
          <cell r="J589" t="str">
            <v>牽牛星</v>
          </cell>
          <cell r="K589" t="str">
            <v>天印星</v>
          </cell>
        </row>
        <row r="590">
          <cell r="H590" t="str">
            <v>10+6</v>
          </cell>
          <cell r="I590" t="str">
            <v>半会</v>
          </cell>
          <cell r="J590" t="str">
            <v>車騎星</v>
          </cell>
          <cell r="K590" t="str">
            <v>天報星</v>
          </cell>
        </row>
        <row r="591">
          <cell r="H591" t="str">
            <v>10+7</v>
          </cell>
          <cell r="I591" t="str">
            <v>－</v>
          </cell>
          <cell r="J591" t="str">
            <v>玉堂星</v>
          </cell>
          <cell r="K591" t="str">
            <v>天馳星</v>
          </cell>
        </row>
        <row r="592">
          <cell r="H592" t="str">
            <v>10+8</v>
          </cell>
          <cell r="I592" t="str">
            <v>－</v>
          </cell>
          <cell r="J592" t="str">
            <v>龍高星</v>
          </cell>
          <cell r="K592" t="str">
            <v>天庫星</v>
          </cell>
        </row>
        <row r="593">
          <cell r="H593" t="str">
            <v>10+9</v>
          </cell>
          <cell r="I593" t="str">
            <v>準方位</v>
          </cell>
          <cell r="J593" t="str">
            <v>石門星</v>
          </cell>
          <cell r="K593" t="str">
            <v>天極星</v>
          </cell>
        </row>
        <row r="594">
          <cell r="H594" t="str">
            <v>10+10</v>
          </cell>
          <cell r="I594" t="str">
            <v>律音</v>
          </cell>
          <cell r="J594" t="str">
            <v>貫索星</v>
          </cell>
          <cell r="K594" t="str">
            <v>天胡星</v>
          </cell>
        </row>
        <row r="595">
          <cell r="H595" t="str">
            <v>10+11</v>
          </cell>
          <cell r="I595" t="str">
            <v>害</v>
          </cell>
          <cell r="J595" t="str">
            <v>調舒星</v>
          </cell>
          <cell r="K595" t="str">
            <v>天堂星</v>
          </cell>
        </row>
        <row r="596">
          <cell r="H596" t="str">
            <v>10+12</v>
          </cell>
          <cell r="I596" t="str">
            <v>－</v>
          </cell>
          <cell r="J596" t="str">
            <v>鳳閣星</v>
          </cell>
          <cell r="K596" t="str">
            <v>天将星</v>
          </cell>
        </row>
        <row r="597">
          <cell r="H597" t="str">
            <v>10+13</v>
          </cell>
          <cell r="I597" t="str">
            <v>破</v>
          </cell>
          <cell r="J597" t="str">
            <v>司禄星</v>
          </cell>
          <cell r="K597" t="str">
            <v>天禄星</v>
          </cell>
        </row>
        <row r="598">
          <cell r="H598" t="str">
            <v>10+14</v>
          </cell>
          <cell r="I598" t="str">
            <v>半会</v>
          </cell>
          <cell r="J598" t="str">
            <v>禄存星</v>
          </cell>
          <cell r="K598" t="str">
            <v>天南星</v>
          </cell>
        </row>
        <row r="599">
          <cell r="H599" t="str">
            <v>10+15</v>
          </cell>
          <cell r="I599" t="str">
            <v>－</v>
          </cell>
          <cell r="J599" t="str">
            <v>牽牛星</v>
          </cell>
          <cell r="K599" t="str">
            <v>天恍星</v>
          </cell>
        </row>
        <row r="600">
          <cell r="H600" t="str">
            <v>10+16</v>
          </cell>
          <cell r="I600" t="str">
            <v>天剋地冲</v>
          </cell>
          <cell r="J600" t="str">
            <v>車騎星</v>
          </cell>
          <cell r="K600" t="str">
            <v>天貴星</v>
          </cell>
        </row>
        <row r="601">
          <cell r="H601" t="str">
            <v>10+17</v>
          </cell>
          <cell r="I601" t="str">
            <v>支合</v>
          </cell>
          <cell r="J601" t="str">
            <v>玉堂星</v>
          </cell>
          <cell r="K601" t="str">
            <v>天印星</v>
          </cell>
        </row>
        <row r="602">
          <cell r="H602" t="str">
            <v>10+18</v>
          </cell>
          <cell r="I602" t="str">
            <v>半会</v>
          </cell>
          <cell r="J602" t="str">
            <v>龍高星</v>
          </cell>
          <cell r="K602" t="str">
            <v>天報星</v>
          </cell>
        </row>
        <row r="603">
          <cell r="H603" t="str">
            <v>10+19</v>
          </cell>
          <cell r="I603" t="str">
            <v>－</v>
          </cell>
          <cell r="J603" t="str">
            <v>石門星</v>
          </cell>
          <cell r="K603" t="str">
            <v>天馳星</v>
          </cell>
        </row>
        <row r="604">
          <cell r="H604" t="str">
            <v>10+20</v>
          </cell>
          <cell r="I604" t="str">
            <v>－</v>
          </cell>
          <cell r="J604" t="str">
            <v>貫索星</v>
          </cell>
          <cell r="K604" t="str">
            <v>天庫星</v>
          </cell>
        </row>
        <row r="605">
          <cell r="H605" t="str">
            <v>10+21</v>
          </cell>
          <cell r="I605" t="str">
            <v>準方位</v>
          </cell>
          <cell r="J605" t="str">
            <v>調舒星</v>
          </cell>
          <cell r="K605" t="str">
            <v>天極星</v>
          </cell>
        </row>
        <row r="606">
          <cell r="H606" t="str">
            <v>10+22</v>
          </cell>
          <cell r="I606" t="str">
            <v>自刑</v>
          </cell>
          <cell r="J606" t="str">
            <v>鳳閣星</v>
          </cell>
          <cell r="K606" t="str">
            <v>天胡星</v>
          </cell>
        </row>
        <row r="607">
          <cell r="H607" t="str">
            <v>10+23</v>
          </cell>
          <cell r="I607" t="str">
            <v>害</v>
          </cell>
          <cell r="J607" t="str">
            <v>司禄星</v>
          </cell>
          <cell r="K607" t="str">
            <v>天堂星</v>
          </cell>
        </row>
        <row r="608">
          <cell r="H608" t="str">
            <v>10+24</v>
          </cell>
          <cell r="I608" t="str">
            <v>－</v>
          </cell>
          <cell r="J608" t="str">
            <v>禄存星</v>
          </cell>
          <cell r="K608" t="str">
            <v>天将星</v>
          </cell>
        </row>
        <row r="609">
          <cell r="H609" t="str">
            <v>10+25</v>
          </cell>
          <cell r="I609" t="str">
            <v>破</v>
          </cell>
          <cell r="J609" t="str">
            <v>牽牛星</v>
          </cell>
          <cell r="K609" t="str">
            <v>天禄星</v>
          </cell>
        </row>
        <row r="610">
          <cell r="H610" t="str">
            <v>10+26</v>
          </cell>
          <cell r="I610" t="str">
            <v>半会</v>
          </cell>
          <cell r="J610" t="str">
            <v>車騎星</v>
          </cell>
          <cell r="K610" t="str">
            <v>天南星</v>
          </cell>
        </row>
        <row r="611">
          <cell r="H611" t="str">
            <v>10+27</v>
          </cell>
          <cell r="I611" t="str">
            <v>－</v>
          </cell>
          <cell r="J611" t="str">
            <v>玉堂星</v>
          </cell>
          <cell r="K611" t="str">
            <v>天恍星</v>
          </cell>
        </row>
        <row r="612">
          <cell r="H612" t="str">
            <v>10+28</v>
          </cell>
          <cell r="I612" t="str">
            <v>対冲</v>
          </cell>
          <cell r="J612" t="str">
            <v>龍高星</v>
          </cell>
          <cell r="K612" t="str">
            <v>天貴星</v>
          </cell>
        </row>
        <row r="613">
          <cell r="H613" t="str">
            <v>10+29</v>
          </cell>
          <cell r="I613" t="str">
            <v>支合</v>
          </cell>
          <cell r="J613" t="str">
            <v>石門星</v>
          </cell>
          <cell r="K613" t="str">
            <v>天印星</v>
          </cell>
        </row>
        <row r="614">
          <cell r="H614" t="str">
            <v>10+30</v>
          </cell>
          <cell r="I614" t="str">
            <v>大半会</v>
          </cell>
          <cell r="J614" t="str">
            <v>貫索星</v>
          </cell>
          <cell r="K614" t="str">
            <v>天報星</v>
          </cell>
        </row>
        <row r="615">
          <cell r="H615" t="str">
            <v>10+31</v>
          </cell>
          <cell r="I615" t="str">
            <v>－</v>
          </cell>
          <cell r="J615" t="str">
            <v>調舒星</v>
          </cell>
          <cell r="K615" t="str">
            <v>天馳星</v>
          </cell>
        </row>
        <row r="616">
          <cell r="H616" t="str">
            <v>10+32</v>
          </cell>
          <cell r="I616" t="str">
            <v>－</v>
          </cell>
          <cell r="J616" t="str">
            <v>鳳閣星</v>
          </cell>
          <cell r="K616" t="str">
            <v>天庫星</v>
          </cell>
        </row>
        <row r="617">
          <cell r="H617" t="str">
            <v>10+33</v>
          </cell>
          <cell r="I617" t="str">
            <v>準方位</v>
          </cell>
          <cell r="J617" t="str">
            <v>司禄星</v>
          </cell>
          <cell r="K617" t="str">
            <v>天極星</v>
          </cell>
        </row>
        <row r="618">
          <cell r="H618" t="str">
            <v>10+34</v>
          </cell>
          <cell r="I618" t="str">
            <v>自刑</v>
          </cell>
          <cell r="J618" t="str">
            <v>禄存星</v>
          </cell>
          <cell r="K618" t="str">
            <v>天胡星</v>
          </cell>
        </row>
        <row r="619">
          <cell r="H619" t="str">
            <v>10+35</v>
          </cell>
          <cell r="I619" t="str">
            <v>害</v>
          </cell>
          <cell r="J619" t="str">
            <v>牽牛星</v>
          </cell>
          <cell r="K619" t="str">
            <v>天堂星</v>
          </cell>
        </row>
        <row r="620">
          <cell r="H620" t="str">
            <v>10+36</v>
          </cell>
          <cell r="I620" t="str">
            <v>－</v>
          </cell>
          <cell r="J620" t="str">
            <v>車騎星</v>
          </cell>
          <cell r="K620" t="str">
            <v>天将星</v>
          </cell>
        </row>
        <row r="621">
          <cell r="H621" t="str">
            <v>10+37</v>
          </cell>
          <cell r="I621" t="str">
            <v>破</v>
          </cell>
          <cell r="J621" t="str">
            <v>玉堂星</v>
          </cell>
          <cell r="K621" t="str">
            <v>天禄星</v>
          </cell>
        </row>
        <row r="622">
          <cell r="H622" t="str">
            <v>10+38</v>
          </cell>
          <cell r="I622" t="str">
            <v>半会</v>
          </cell>
          <cell r="J622" t="str">
            <v>龍高星</v>
          </cell>
          <cell r="K622" t="str">
            <v>天南星</v>
          </cell>
        </row>
        <row r="623">
          <cell r="H623" t="str">
            <v>10+39</v>
          </cell>
          <cell r="I623" t="str">
            <v>－</v>
          </cell>
          <cell r="J623" t="str">
            <v>石門星</v>
          </cell>
          <cell r="K623" t="str">
            <v>天恍星</v>
          </cell>
        </row>
        <row r="624">
          <cell r="H624" t="str">
            <v>10+40</v>
          </cell>
          <cell r="I624" t="str">
            <v>納音</v>
          </cell>
          <cell r="J624" t="str">
            <v>貫索星</v>
          </cell>
          <cell r="K624" t="str">
            <v>天貴星</v>
          </cell>
        </row>
        <row r="625">
          <cell r="H625" t="str">
            <v>10+41</v>
          </cell>
          <cell r="I625" t="str">
            <v>支合</v>
          </cell>
          <cell r="J625" t="str">
            <v>調舒星</v>
          </cell>
          <cell r="K625" t="str">
            <v>天印星</v>
          </cell>
        </row>
        <row r="626">
          <cell r="H626" t="str">
            <v>10+42</v>
          </cell>
          <cell r="I626" t="str">
            <v>半会</v>
          </cell>
          <cell r="J626" t="str">
            <v>鳳閣星</v>
          </cell>
          <cell r="K626" t="str">
            <v>天報星</v>
          </cell>
        </row>
        <row r="627">
          <cell r="H627" t="str">
            <v>10+43</v>
          </cell>
          <cell r="I627" t="str">
            <v>－</v>
          </cell>
          <cell r="J627" t="str">
            <v>司禄星</v>
          </cell>
          <cell r="K627" t="str">
            <v>天馳星</v>
          </cell>
        </row>
        <row r="628">
          <cell r="H628" t="str">
            <v>10+44</v>
          </cell>
          <cell r="I628" t="str">
            <v>－</v>
          </cell>
          <cell r="J628" t="str">
            <v>禄存星</v>
          </cell>
          <cell r="K628" t="str">
            <v>天庫星</v>
          </cell>
        </row>
        <row r="629">
          <cell r="H629" t="str">
            <v>10+45</v>
          </cell>
          <cell r="I629" t="str">
            <v>準方位</v>
          </cell>
          <cell r="J629" t="str">
            <v>牽牛星</v>
          </cell>
          <cell r="K629" t="str">
            <v>天極星</v>
          </cell>
        </row>
        <row r="630">
          <cell r="H630" t="str">
            <v>10+46</v>
          </cell>
          <cell r="I630" t="str">
            <v>自刑</v>
          </cell>
          <cell r="J630" t="str">
            <v>車騎星</v>
          </cell>
          <cell r="K630" t="str">
            <v>天胡星</v>
          </cell>
        </row>
        <row r="631">
          <cell r="H631" t="str">
            <v>10+47</v>
          </cell>
          <cell r="I631" t="str">
            <v>害</v>
          </cell>
          <cell r="J631" t="str">
            <v>玉堂星</v>
          </cell>
          <cell r="K631" t="str">
            <v>天堂星</v>
          </cell>
        </row>
        <row r="632">
          <cell r="H632" t="str">
            <v>10+48</v>
          </cell>
          <cell r="I632" t="str">
            <v>－</v>
          </cell>
          <cell r="J632" t="str">
            <v>龍高星</v>
          </cell>
          <cell r="K632" t="str">
            <v>天将星</v>
          </cell>
        </row>
        <row r="633">
          <cell r="H633" t="str">
            <v>10+49</v>
          </cell>
          <cell r="I633" t="str">
            <v>破</v>
          </cell>
          <cell r="J633" t="str">
            <v>石門星</v>
          </cell>
          <cell r="K633" t="str">
            <v>天禄星</v>
          </cell>
        </row>
        <row r="634">
          <cell r="H634" t="str">
            <v>10+50</v>
          </cell>
          <cell r="I634" t="str">
            <v>大半会</v>
          </cell>
          <cell r="J634" t="str">
            <v>貫索星</v>
          </cell>
          <cell r="K634" t="str">
            <v>天南星</v>
          </cell>
        </row>
        <row r="635">
          <cell r="H635" t="str">
            <v>10+51</v>
          </cell>
          <cell r="I635" t="str">
            <v>－</v>
          </cell>
          <cell r="J635" t="str">
            <v>調舒星</v>
          </cell>
          <cell r="K635" t="str">
            <v>天恍星</v>
          </cell>
        </row>
        <row r="636">
          <cell r="H636" t="str">
            <v>10+52</v>
          </cell>
          <cell r="I636" t="str">
            <v>対冲</v>
          </cell>
          <cell r="J636" t="str">
            <v>鳳閣星</v>
          </cell>
          <cell r="K636" t="str">
            <v>天貴星</v>
          </cell>
        </row>
        <row r="637">
          <cell r="H637" t="str">
            <v>10+53</v>
          </cell>
          <cell r="I637" t="str">
            <v>支合</v>
          </cell>
          <cell r="J637" t="str">
            <v>司禄星</v>
          </cell>
          <cell r="K637" t="str">
            <v>天印星</v>
          </cell>
        </row>
        <row r="638">
          <cell r="H638" t="str">
            <v>10+54</v>
          </cell>
          <cell r="I638" t="str">
            <v>半会</v>
          </cell>
          <cell r="J638" t="str">
            <v>禄存星</v>
          </cell>
          <cell r="K638" t="str">
            <v>天報星</v>
          </cell>
        </row>
        <row r="639">
          <cell r="H639" t="str">
            <v>10+55</v>
          </cell>
          <cell r="I639" t="str">
            <v>－</v>
          </cell>
          <cell r="J639" t="str">
            <v>牽牛星</v>
          </cell>
          <cell r="K639" t="str">
            <v>天馳星</v>
          </cell>
        </row>
        <row r="640">
          <cell r="H640" t="str">
            <v>10+56</v>
          </cell>
          <cell r="I640" t="str">
            <v>－</v>
          </cell>
          <cell r="J640" t="str">
            <v>車騎星</v>
          </cell>
          <cell r="K640" t="str">
            <v>天庫星</v>
          </cell>
        </row>
        <row r="641">
          <cell r="H641" t="str">
            <v>10+57</v>
          </cell>
          <cell r="I641" t="str">
            <v>準方位</v>
          </cell>
          <cell r="J641" t="str">
            <v>玉堂星</v>
          </cell>
          <cell r="K641" t="str">
            <v>天極星</v>
          </cell>
        </row>
        <row r="642">
          <cell r="H642" t="str">
            <v>10+58</v>
          </cell>
          <cell r="I642" t="str">
            <v>自刑</v>
          </cell>
          <cell r="J642" t="str">
            <v>龍高星</v>
          </cell>
          <cell r="K642" t="str">
            <v>天胡星</v>
          </cell>
        </row>
        <row r="643">
          <cell r="H643" t="str">
            <v>10+59</v>
          </cell>
          <cell r="I643" t="str">
            <v>害</v>
          </cell>
          <cell r="J643" t="str">
            <v>石門星</v>
          </cell>
          <cell r="K643" t="str">
            <v>天堂星</v>
          </cell>
        </row>
        <row r="644">
          <cell r="H644" t="str">
            <v>10+60</v>
          </cell>
          <cell r="I644" t="str">
            <v>－</v>
          </cell>
          <cell r="J644" t="str">
            <v>貫索星</v>
          </cell>
          <cell r="K644" t="str">
            <v>天将星</v>
          </cell>
        </row>
        <row r="645">
          <cell r="H645" t="str">
            <v>11+1</v>
          </cell>
          <cell r="I645" t="str">
            <v>－</v>
          </cell>
          <cell r="J645" t="str">
            <v>貫索星</v>
          </cell>
          <cell r="K645" t="str">
            <v>天恍星</v>
          </cell>
        </row>
        <row r="646">
          <cell r="H646" t="str">
            <v>11+2</v>
          </cell>
          <cell r="I646" t="str">
            <v>刑</v>
          </cell>
          <cell r="J646" t="str">
            <v>石門星</v>
          </cell>
          <cell r="K646" t="str">
            <v>天南星</v>
          </cell>
        </row>
        <row r="647">
          <cell r="H647" t="str">
            <v>11+3</v>
          </cell>
          <cell r="I647" t="str">
            <v>半会</v>
          </cell>
          <cell r="J647" t="str">
            <v>鳳閣星</v>
          </cell>
          <cell r="K647" t="str">
            <v>天禄星</v>
          </cell>
        </row>
        <row r="648">
          <cell r="H648" t="str">
            <v>11+4</v>
          </cell>
          <cell r="I648" t="str">
            <v>支合</v>
          </cell>
          <cell r="J648" t="str">
            <v>調舒星</v>
          </cell>
          <cell r="K648" t="str">
            <v>天将星</v>
          </cell>
        </row>
        <row r="649">
          <cell r="H649" t="str">
            <v>11+5</v>
          </cell>
          <cell r="I649" t="str">
            <v>天剋地冲</v>
          </cell>
          <cell r="J649" t="str">
            <v>禄存星</v>
          </cell>
          <cell r="K649" t="str">
            <v>天堂星</v>
          </cell>
        </row>
        <row r="650">
          <cell r="H650" t="str">
            <v>11+6</v>
          </cell>
          <cell r="I650" t="str">
            <v>－</v>
          </cell>
          <cell r="J650" t="str">
            <v>司禄星</v>
          </cell>
          <cell r="K650" t="str">
            <v>天胡星</v>
          </cell>
        </row>
        <row r="651">
          <cell r="H651" t="str">
            <v>11+7</v>
          </cell>
          <cell r="I651" t="str">
            <v>半会</v>
          </cell>
          <cell r="J651" t="str">
            <v>車騎星</v>
          </cell>
          <cell r="K651" t="str">
            <v>天極星</v>
          </cell>
        </row>
        <row r="652">
          <cell r="H652" t="str">
            <v>11+8</v>
          </cell>
          <cell r="I652" t="str">
            <v>刑</v>
          </cell>
          <cell r="J652" t="str">
            <v>牽牛星</v>
          </cell>
          <cell r="K652" t="str">
            <v>天庫星</v>
          </cell>
        </row>
        <row r="653">
          <cell r="H653" t="str">
            <v>11+9</v>
          </cell>
          <cell r="I653" t="str">
            <v>準方位</v>
          </cell>
          <cell r="J653" t="str">
            <v>龍高星</v>
          </cell>
          <cell r="K653" t="str">
            <v>天馳星</v>
          </cell>
        </row>
        <row r="654">
          <cell r="H654" t="str">
            <v>11+10</v>
          </cell>
          <cell r="I654" t="str">
            <v>害</v>
          </cell>
          <cell r="J654" t="str">
            <v>玉堂星</v>
          </cell>
          <cell r="K654" t="str">
            <v>天報星</v>
          </cell>
        </row>
        <row r="655">
          <cell r="H655" t="str">
            <v>11+11</v>
          </cell>
          <cell r="I655" t="str">
            <v>律音</v>
          </cell>
          <cell r="J655" t="str">
            <v>貫索星</v>
          </cell>
          <cell r="K655" t="str">
            <v>天印星</v>
          </cell>
        </row>
        <row r="656">
          <cell r="H656" t="str">
            <v>11+12</v>
          </cell>
          <cell r="I656" t="str">
            <v>－</v>
          </cell>
          <cell r="J656" t="str">
            <v>石門星</v>
          </cell>
          <cell r="K656" t="str">
            <v>天貴星</v>
          </cell>
        </row>
        <row r="657">
          <cell r="H657" t="str">
            <v>11+13</v>
          </cell>
          <cell r="I657" t="str">
            <v>－</v>
          </cell>
          <cell r="J657" t="str">
            <v>鳳閣星</v>
          </cell>
          <cell r="K657" t="str">
            <v>天恍星</v>
          </cell>
        </row>
        <row r="658">
          <cell r="H658" t="str">
            <v>11+14</v>
          </cell>
          <cell r="I658" t="str">
            <v>刑</v>
          </cell>
          <cell r="J658" t="str">
            <v>調舒星</v>
          </cell>
          <cell r="K658" t="str">
            <v>天南星</v>
          </cell>
        </row>
        <row r="659">
          <cell r="H659" t="str">
            <v>11+15</v>
          </cell>
          <cell r="I659" t="str">
            <v>半会</v>
          </cell>
          <cell r="J659" t="str">
            <v>禄存星</v>
          </cell>
          <cell r="K659" t="str">
            <v>天禄星</v>
          </cell>
        </row>
        <row r="660">
          <cell r="H660" t="str">
            <v>11+16</v>
          </cell>
          <cell r="I660" t="str">
            <v>支合</v>
          </cell>
          <cell r="J660" t="str">
            <v>司禄星</v>
          </cell>
          <cell r="K660" t="str">
            <v>天将星</v>
          </cell>
        </row>
        <row r="661">
          <cell r="H661" t="str">
            <v>11+17</v>
          </cell>
          <cell r="I661" t="str">
            <v>天剋地冲</v>
          </cell>
          <cell r="J661" t="str">
            <v>車騎星</v>
          </cell>
          <cell r="K661" t="str">
            <v>天堂星</v>
          </cell>
        </row>
        <row r="662">
          <cell r="H662" t="str">
            <v>11+18</v>
          </cell>
          <cell r="I662" t="str">
            <v>－</v>
          </cell>
          <cell r="J662" t="str">
            <v>牽牛星</v>
          </cell>
          <cell r="K662" t="str">
            <v>天胡星</v>
          </cell>
        </row>
        <row r="663">
          <cell r="H663" t="str">
            <v>11+19</v>
          </cell>
          <cell r="I663" t="str">
            <v>半会</v>
          </cell>
          <cell r="J663" t="str">
            <v>龍高星</v>
          </cell>
          <cell r="K663" t="str">
            <v>天極星</v>
          </cell>
        </row>
        <row r="664">
          <cell r="H664" t="str">
            <v>11+20</v>
          </cell>
          <cell r="I664" t="str">
            <v>刑</v>
          </cell>
          <cell r="J664" t="str">
            <v>玉堂星</v>
          </cell>
          <cell r="K664" t="str">
            <v>天庫星</v>
          </cell>
        </row>
        <row r="665">
          <cell r="H665" t="str">
            <v>11+21</v>
          </cell>
          <cell r="I665" t="str">
            <v>準方位</v>
          </cell>
          <cell r="J665" t="str">
            <v>貫索星</v>
          </cell>
          <cell r="K665" t="str">
            <v>天馳星</v>
          </cell>
        </row>
        <row r="666">
          <cell r="H666" t="str">
            <v>11+22</v>
          </cell>
          <cell r="I666" t="str">
            <v>害</v>
          </cell>
          <cell r="J666" t="str">
            <v>石門星</v>
          </cell>
          <cell r="K666" t="str">
            <v>天報星</v>
          </cell>
        </row>
        <row r="667">
          <cell r="H667" t="str">
            <v>11+23</v>
          </cell>
          <cell r="I667" t="str">
            <v>同</v>
          </cell>
          <cell r="J667" t="str">
            <v>鳳閣星</v>
          </cell>
          <cell r="K667" t="str">
            <v>天印星</v>
          </cell>
        </row>
        <row r="668">
          <cell r="H668" t="str">
            <v>11+24</v>
          </cell>
          <cell r="I668" t="str">
            <v>－</v>
          </cell>
          <cell r="J668" t="str">
            <v>調舒星</v>
          </cell>
          <cell r="K668" t="str">
            <v>天貴星</v>
          </cell>
        </row>
        <row r="669">
          <cell r="H669" t="str">
            <v>11+25</v>
          </cell>
          <cell r="I669" t="str">
            <v>－</v>
          </cell>
          <cell r="J669" t="str">
            <v>禄存星</v>
          </cell>
          <cell r="K669" t="str">
            <v>天恍星</v>
          </cell>
        </row>
        <row r="670">
          <cell r="H670" t="str">
            <v>11+26</v>
          </cell>
          <cell r="I670" t="str">
            <v>刑</v>
          </cell>
          <cell r="J670" t="str">
            <v>司禄星</v>
          </cell>
          <cell r="K670" t="str">
            <v>天南星</v>
          </cell>
        </row>
        <row r="671">
          <cell r="H671" t="str">
            <v>11+27</v>
          </cell>
          <cell r="I671" t="str">
            <v>半会</v>
          </cell>
          <cell r="J671" t="str">
            <v>車騎星</v>
          </cell>
          <cell r="K671" t="str">
            <v>天禄星</v>
          </cell>
        </row>
        <row r="672">
          <cell r="H672" t="str">
            <v>11+28</v>
          </cell>
          <cell r="I672" t="str">
            <v>支合</v>
          </cell>
          <cell r="J672" t="str">
            <v>牽牛星</v>
          </cell>
          <cell r="K672" t="str">
            <v>天将星</v>
          </cell>
        </row>
        <row r="673">
          <cell r="H673" t="str">
            <v>11+29</v>
          </cell>
          <cell r="I673" t="str">
            <v>対冲</v>
          </cell>
          <cell r="J673" t="str">
            <v>龍高星</v>
          </cell>
          <cell r="K673" t="str">
            <v>天堂星</v>
          </cell>
        </row>
        <row r="674">
          <cell r="H674" t="str">
            <v>11+30</v>
          </cell>
          <cell r="I674" t="str">
            <v>－</v>
          </cell>
          <cell r="J674" t="str">
            <v>玉堂星</v>
          </cell>
          <cell r="K674" t="str">
            <v>天胡星</v>
          </cell>
        </row>
        <row r="675">
          <cell r="H675" t="str">
            <v>11+31</v>
          </cell>
          <cell r="I675" t="str">
            <v>大半会</v>
          </cell>
          <cell r="J675" t="str">
            <v>貫索星</v>
          </cell>
          <cell r="K675" t="str">
            <v>天極星</v>
          </cell>
        </row>
        <row r="676">
          <cell r="H676" t="str">
            <v>11+32</v>
          </cell>
          <cell r="I676" t="str">
            <v>刑</v>
          </cell>
          <cell r="J676" t="str">
            <v>石門星</v>
          </cell>
          <cell r="K676" t="str">
            <v>天庫星</v>
          </cell>
        </row>
        <row r="677">
          <cell r="H677" t="str">
            <v>11+33</v>
          </cell>
          <cell r="I677" t="str">
            <v>準方位</v>
          </cell>
          <cell r="J677" t="str">
            <v>鳳閣星</v>
          </cell>
          <cell r="K677" t="str">
            <v>天馳星</v>
          </cell>
        </row>
        <row r="678">
          <cell r="H678" t="str">
            <v>11+34</v>
          </cell>
          <cell r="I678" t="str">
            <v>害</v>
          </cell>
          <cell r="J678" t="str">
            <v>調舒星</v>
          </cell>
          <cell r="K678" t="str">
            <v>天報星</v>
          </cell>
        </row>
        <row r="679">
          <cell r="H679" t="str">
            <v>11+35</v>
          </cell>
          <cell r="I679" t="str">
            <v>同</v>
          </cell>
          <cell r="J679" t="str">
            <v>禄存星</v>
          </cell>
          <cell r="K679" t="str">
            <v>天印星</v>
          </cell>
        </row>
        <row r="680">
          <cell r="H680" t="str">
            <v>11+36</v>
          </cell>
          <cell r="I680" t="str">
            <v>－</v>
          </cell>
          <cell r="J680" t="str">
            <v>司禄星</v>
          </cell>
          <cell r="K680" t="str">
            <v>天貴星</v>
          </cell>
        </row>
        <row r="681">
          <cell r="H681" t="str">
            <v>11+37</v>
          </cell>
          <cell r="I681" t="str">
            <v>－</v>
          </cell>
          <cell r="J681" t="str">
            <v>車騎星</v>
          </cell>
          <cell r="K681" t="str">
            <v>天恍星</v>
          </cell>
        </row>
        <row r="682">
          <cell r="H682" t="str">
            <v>11+38</v>
          </cell>
          <cell r="I682" t="str">
            <v>刑</v>
          </cell>
          <cell r="J682" t="str">
            <v>牽牛星</v>
          </cell>
          <cell r="K682" t="str">
            <v>天南星</v>
          </cell>
        </row>
        <row r="683">
          <cell r="H683" t="str">
            <v>11+39</v>
          </cell>
          <cell r="I683" t="str">
            <v>半会</v>
          </cell>
          <cell r="J683" t="str">
            <v>龍高星</v>
          </cell>
          <cell r="K683" t="str">
            <v>天禄星</v>
          </cell>
        </row>
        <row r="684">
          <cell r="H684" t="str">
            <v>11+40</v>
          </cell>
          <cell r="I684" t="str">
            <v>支合</v>
          </cell>
          <cell r="J684" t="str">
            <v>玉堂星</v>
          </cell>
          <cell r="K684" t="str">
            <v>天将星</v>
          </cell>
        </row>
        <row r="685">
          <cell r="H685" t="str">
            <v>11+41</v>
          </cell>
          <cell r="I685" t="str">
            <v>納音</v>
          </cell>
          <cell r="J685" t="str">
            <v>貫索星</v>
          </cell>
          <cell r="K685" t="str">
            <v>天堂星</v>
          </cell>
        </row>
        <row r="686">
          <cell r="H686" t="str">
            <v>11+42</v>
          </cell>
          <cell r="I686" t="str">
            <v>－</v>
          </cell>
          <cell r="J686" t="str">
            <v>石門星</v>
          </cell>
          <cell r="K686" t="str">
            <v>天胡星</v>
          </cell>
        </row>
        <row r="687">
          <cell r="H687" t="str">
            <v>11+43</v>
          </cell>
          <cell r="I687" t="str">
            <v>半会</v>
          </cell>
          <cell r="J687" t="str">
            <v>鳳閣星</v>
          </cell>
          <cell r="K687" t="str">
            <v>天極星</v>
          </cell>
        </row>
        <row r="688">
          <cell r="H688" t="str">
            <v>11+44</v>
          </cell>
          <cell r="I688" t="str">
            <v>刑</v>
          </cell>
          <cell r="J688" t="str">
            <v>調舒星</v>
          </cell>
          <cell r="K688" t="str">
            <v>天庫星</v>
          </cell>
        </row>
        <row r="689">
          <cell r="H689" t="str">
            <v>11+45</v>
          </cell>
          <cell r="I689" t="str">
            <v>準方位</v>
          </cell>
          <cell r="J689" t="str">
            <v>禄存星</v>
          </cell>
          <cell r="K689" t="str">
            <v>天馳星</v>
          </cell>
        </row>
        <row r="690">
          <cell r="H690" t="str">
            <v>11+46</v>
          </cell>
          <cell r="I690" t="str">
            <v>害</v>
          </cell>
          <cell r="J690" t="str">
            <v>司禄星</v>
          </cell>
          <cell r="K690" t="str">
            <v>天報星</v>
          </cell>
        </row>
        <row r="691">
          <cell r="H691" t="str">
            <v>11+47</v>
          </cell>
          <cell r="I691" t="str">
            <v>同</v>
          </cell>
          <cell r="J691" t="str">
            <v>車騎星</v>
          </cell>
          <cell r="K691" t="str">
            <v>天印星</v>
          </cell>
        </row>
        <row r="692">
          <cell r="H692" t="str">
            <v>11+48</v>
          </cell>
          <cell r="I692" t="str">
            <v>－</v>
          </cell>
          <cell r="J692" t="str">
            <v>牽牛星</v>
          </cell>
          <cell r="K692" t="str">
            <v>天貴星</v>
          </cell>
        </row>
        <row r="693">
          <cell r="H693" t="str">
            <v>11+49</v>
          </cell>
          <cell r="I693" t="str">
            <v>－</v>
          </cell>
          <cell r="J693" t="str">
            <v>龍高星</v>
          </cell>
          <cell r="K693" t="str">
            <v>天恍星</v>
          </cell>
        </row>
        <row r="694">
          <cell r="H694" t="str">
            <v>11+50</v>
          </cell>
          <cell r="I694" t="str">
            <v>刑</v>
          </cell>
          <cell r="J694" t="str">
            <v>玉堂星</v>
          </cell>
          <cell r="K694" t="str">
            <v>天南星</v>
          </cell>
        </row>
        <row r="695">
          <cell r="H695" t="str">
            <v>11+51</v>
          </cell>
          <cell r="I695" t="str">
            <v>大半会</v>
          </cell>
          <cell r="J695" t="str">
            <v>貫索星</v>
          </cell>
          <cell r="K695" t="str">
            <v>天禄星</v>
          </cell>
        </row>
        <row r="696">
          <cell r="H696" t="str">
            <v>11+52</v>
          </cell>
          <cell r="I696" t="str">
            <v>支合</v>
          </cell>
          <cell r="J696" t="str">
            <v>石門星</v>
          </cell>
          <cell r="K696" t="str">
            <v>天将星</v>
          </cell>
        </row>
        <row r="697">
          <cell r="H697" t="str">
            <v>11+53</v>
          </cell>
          <cell r="I697" t="str">
            <v>対冲</v>
          </cell>
          <cell r="J697" t="str">
            <v>鳳閣星</v>
          </cell>
          <cell r="K697" t="str">
            <v>天堂星</v>
          </cell>
        </row>
        <row r="698">
          <cell r="H698" t="str">
            <v>11+54</v>
          </cell>
          <cell r="I698" t="str">
            <v>－</v>
          </cell>
          <cell r="J698" t="str">
            <v>調舒星</v>
          </cell>
          <cell r="K698" t="str">
            <v>天胡星</v>
          </cell>
        </row>
        <row r="699">
          <cell r="H699" t="str">
            <v>11+55</v>
          </cell>
          <cell r="I699" t="str">
            <v>半会</v>
          </cell>
          <cell r="J699" t="str">
            <v>禄存星</v>
          </cell>
          <cell r="K699" t="str">
            <v>天極星</v>
          </cell>
        </row>
        <row r="700">
          <cell r="H700" t="str">
            <v>11+56</v>
          </cell>
          <cell r="I700" t="str">
            <v>刑</v>
          </cell>
          <cell r="J700" t="str">
            <v>司禄星</v>
          </cell>
          <cell r="K700" t="str">
            <v>天庫星</v>
          </cell>
        </row>
        <row r="701">
          <cell r="H701" t="str">
            <v>11+57</v>
          </cell>
          <cell r="I701" t="str">
            <v>準方位</v>
          </cell>
          <cell r="J701" t="str">
            <v>車騎星</v>
          </cell>
          <cell r="K701" t="str">
            <v>天馳星</v>
          </cell>
        </row>
        <row r="702">
          <cell r="H702" t="str">
            <v>11+58</v>
          </cell>
          <cell r="I702" t="str">
            <v>害</v>
          </cell>
          <cell r="J702" t="str">
            <v>牽牛星</v>
          </cell>
          <cell r="K702" t="str">
            <v>天報星</v>
          </cell>
        </row>
        <row r="703">
          <cell r="H703" t="str">
            <v>11+59</v>
          </cell>
          <cell r="I703" t="str">
            <v>同</v>
          </cell>
          <cell r="J703" t="str">
            <v>龍高星</v>
          </cell>
          <cell r="K703" t="str">
            <v>天印星</v>
          </cell>
        </row>
        <row r="704">
          <cell r="H704" t="str">
            <v>11+60</v>
          </cell>
          <cell r="I704" t="str">
            <v>－</v>
          </cell>
          <cell r="J704" t="str">
            <v>玉堂星</v>
          </cell>
          <cell r="K704" t="str">
            <v>天貴星</v>
          </cell>
        </row>
        <row r="705">
          <cell r="H705" t="str">
            <v>12+1</v>
          </cell>
          <cell r="I705" t="str">
            <v>準方位</v>
          </cell>
          <cell r="J705" t="str">
            <v>石門星</v>
          </cell>
          <cell r="K705" t="str">
            <v>天胡星</v>
          </cell>
        </row>
        <row r="706">
          <cell r="H706" t="str">
            <v>12+2</v>
          </cell>
          <cell r="I706" t="str">
            <v>準方位</v>
          </cell>
          <cell r="J706" t="str">
            <v>貫索星</v>
          </cell>
          <cell r="K706" t="str">
            <v>天堂星</v>
          </cell>
        </row>
        <row r="707">
          <cell r="H707" t="str">
            <v>12+3</v>
          </cell>
          <cell r="I707" t="str">
            <v>支合</v>
          </cell>
          <cell r="J707" t="str">
            <v>調舒星</v>
          </cell>
          <cell r="K707" t="str">
            <v>天将星</v>
          </cell>
        </row>
        <row r="708">
          <cell r="H708" t="str">
            <v>12+4</v>
          </cell>
          <cell r="I708" t="str">
            <v>半会</v>
          </cell>
          <cell r="J708" t="str">
            <v>鳳閣星</v>
          </cell>
          <cell r="K708" t="str">
            <v>天禄星</v>
          </cell>
        </row>
        <row r="709">
          <cell r="H709" t="str">
            <v>12+5</v>
          </cell>
          <cell r="I709" t="str">
            <v>－</v>
          </cell>
          <cell r="J709" t="str">
            <v>司禄星</v>
          </cell>
          <cell r="K709" t="str">
            <v>天南星</v>
          </cell>
        </row>
        <row r="710">
          <cell r="H710" t="str">
            <v>12+6</v>
          </cell>
          <cell r="I710" t="str">
            <v>天剋地冲</v>
          </cell>
          <cell r="J710" t="str">
            <v>禄存星</v>
          </cell>
          <cell r="K710" t="str">
            <v>天恍星</v>
          </cell>
        </row>
        <row r="711">
          <cell r="H711" t="str">
            <v>12+7</v>
          </cell>
          <cell r="I711" t="str">
            <v>－</v>
          </cell>
          <cell r="J711" t="str">
            <v>牽牛星</v>
          </cell>
          <cell r="K711" t="str">
            <v>天貴星</v>
          </cell>
        </row>
        <row r="712">
          <cell r="H712" t="str">
            <v>12+8</v>
          </cell>
          <cell r="I712" t="str">
            <v>半会</v>
          </cell>
          <cell r="J712" t="str">
            <v>車騎星</v>
          </cell>
          <cell r="K712" t="str">
            <v>天印星</v>
          </cell>
        </row>
        <row r="713">
          <cell r="H713" t="str">
            <v>12+9</v>
          </cell>
          <cell r="I713" t="str">
            <v>害</v>
          </cell>
          <cell r="J713" t="str">
            <v>玉堂星</v>
          </cell>
          <cell r="K713" t="str">
            <v>天報星</v>
          </cell>
        </row>
        <row r="714">
          <cell r="H714" t="str">
            <v>12+10</v>
          </cell>
          <cell r="I714" t="str">
            <v>－</v>
          </cell>
          <cell r="J714" t="str">
            <v>龍高星</v>
          </cell>
          <cell r="K714" t="str">
            <v>天馳星</v>
          </cell>
        </row>
        <row r="715">
          <cell r="H715" t="str">
            <v>12+11</v>
          </cell>
          <cell r="I715" t="str">
            <v>－</v>
          </cell>
          <cell r="J715" t="str">
            <v>石門星</v>
          </cell>
          <cell r="K715" t="str">
            <v>天庫星</v>
          </cell>
        </row>
        <row r="716">
          <cell r="H716" t="str">
            <v>12+12</v>
          </cell>
          <cell r="I716" t="str">
            <v>律音</v>
          </cell>
          <cell r="J716" t="str">
            <v>貫索星</v>
          </cell>
          <cell r="K716" t="str">
            <v>天極星</v>
          </cell>
        </row>
        <row r="717">
          <cell r="H717" t="str">
            <v>12+13</v>
          </cell>
          <cell r="I717" t="str">
            <v>準方位</v>
          </cell>
          <cell r="J717" t="str">
            <v>調舒星</v>
          </cell>
          <cell r="K717" t="str">
            <v>天胡星</v>
          </cell>
        </row>
        <row r="718">
          <cell r="H718" t="str">
            <v>12+14</v>
          </cell>
          <cell r="I718" t="str">
            <v>準方位</v>
          </cell>
          <cell r="J718" t="str">
            <v>鳳閣星</v>
          </cell>
          <cell r="K718" t="str">
            <v>天堂星</v>
          </cell>
        </row>
        <row r="719">
          <cell r="H719" t="str">
            <v>12+15</v>
          </cell>
          <cell r="I719" t="str">
            <v>支合</v>
          </cell>
          <cell r="J719" t="str">
            <v>司禄星</v>
          </cell>
          <cell r="K719" t="str">
            <v>天将星</v>
          </cell>
        </row>
        <row r="720">
          <cell r="H720" t="str">
            <v>12+16</v>
          </cell>
          <cell r="I720" t="str">
            <v>半会</v>
          </cell>
          <cell r="J720" t="str">
            <v>禄存星</v>
          </cell>
          <cell r="K720" t="str">
            <v>天禄星</v>
          </cell>
        </row>
        <row r="721">
          <cell r="H721" t="str">
            <v>12+17</v>
          </cell>
          <cell r="I721" t="str">
            <v>－</v>
          </cell>
          <cell r="J721" t="str">
            <v>牽牛星</v>
          </cell>
          <cell r="K721" t="str">
            <v>天南星</v>
          </cell>
        </row>
        <row r="722">
          <cell r="H722" t="str">
            <v>12+18</v>
          </cell>
          <cell r="I722" t="str">
            <v>天剋地冲</v>
          </cell>
          <cell r="J722" t="str">
            <v>車騎星</v>
          </cell>
          <cell r="K722" t="str">
            <v>天恍星</v>
          </cell>
        </row>
        <row r="723">
          <cell r="H723" t="str">
            <v>12+19</v>
          </cell>
          <cell r="I723" t="str">
            <v>－</v>
          </cell>
          <cell r="J723" t="str">
            <v>玉堂星</v>
          </cell>
          <cell r="K723" t="str">
            <v>天貴星</v>
          </cell>
        </row>
        <row r="724">
          <cell r="H724" t="str">
            <v>12+20</v>
          </cell>
          <cell r="I724" t="str">
            <v>半会</v>
          </cell>
          <cell r="J724" t="str">
            <v>龍高星</v>
          </cell>
          <cell r="K724" t="str">
            <v>天印星</v>
          </cell>
        </row>
        <row r="725">
          <cell r="H725" t="str">
            <v>12+21</v>
          </cell>
          <cell r="I725" t="str">
            <v>害</v>
          </cell>
          <cell r="J725" t="str">
            <v>石門星</v>
          </cell>
          <cell r="K725" t="str">
            <v>天報星</v>
          </cell>
        </row>
        <row r="726">
          <cell r="H726" t="str">
            <v>12+22</v>
          </cell>
          <cell r="I726" t="str">
            <v>－</v>
          </cell>
          <cell r="J726" t="str">
            <v>貫索星</v>
          </cell>
          <cell r="K726" t="str">
            <v>天馳星</v>
          </cell>
        </row>
        <row r="727">
          <cell r="H727" t="str">
            <v>12+23</v>
          </cell>
          <cell r="I727" t="str">
            <v>－</v>
          </cell>
          <cell r="J727" t="str">
            <v>調舒星</v>
          </cell>
          <cell r="K727" t="str">
            <v>天庫星</v>
          </cell>
        </row>
        <row r="728">
          <cell r="H728" t="str">
            <v>12+24</v>
          </cell>
          <cell r="I728" t="str">
            <v>自刑</v>
          </cell>
          <cell r="J728" t="str">
            <v>鳳閣星</v>
          </cell>
          <cell r="K728" t="str">
            <v>天極星</v>
          </cell>
        </row>
        <row r="729">
          <cell r="H729" t="str">
            <v>12+25</v>
          </cell>
          <cell r="I729" t="str">
            <v>準方位</v>
          </cell>
          <cell r="J729" t="str">
            <v>司禄星</v>
          </cell>
          <cell r="K729" t="str">
            <v>天胡星</v>
          </cell>
        </row>
        <row r="730">
          <cell r="H730" t="str">
            <v>12+26</v>
          </cell>
          <cell r="I730" t="str">
            <v>準方位</v>
          </cell>
          <cell r="J730" t="str">
            <v>禄存星</v>
          </cell>
          <cell r="K730" t="str">
            <v>天堂星</v>
          </cell>
        </row>
        <row r="731">
          <cell r="H731" t="str">
            <v>12+27</v>
          </cell>
          <cell r="I731" t="str">
            <v>支合</v>
          </cell>
          <cell r="J731" t="str">
            <v>牽牛星</v>
          </cell>
          <cell r="K731" t="str">
            <v>天将星</v>
          </cell>
        </row>
        <row r="732">
          <cell r="H732" t="str">
            <v>12+28</v>
          </cell>
          <cell r="I732" t="str">
            <v>半会</v>
          </cell>
          <cell r="J732" t="str">
            <v>車騎星</v>
          </cell>
          <cell r="K732" t="str">
            <v>天禄星</v>
          </cell>
        </row>
        <row r="733">
          <cell r="H733" t="str">
            <v>12+29</v>
          </cell>
          <cell r="I733" t="str">
            <v>－</v>
          </cell>
          <cell r="J733" t="str">
            <v>玉堂星</v>
          </cell>
          <cell r="K733" t="str">
            <v>天南星</v>
          </cell>
        </row>
        <row r="734">
          <cell r="H734" t="str">
            <v>12+30</v>
          </cell>
          <cell r="I734" t="str">
            <v>対冲</v>
          </cell>
          <cell r="J734" t="str">
            <v>龍高星</v>
          </cell>
          <cell r="K734" t="str">
            <v>天恍星</v>
          </cell>
        </row>
        <row r="735">
          <cell r="H735" t="str">
            <v>12+31</v>
          </cell>
          <cell r="I735" t="str">
            <v>－</v>
          </cell>
          <cell r="J735" t="str">
            <v>石門星</v>
          </cell>
          <cell r="K735" t="str">
            <v>天貴星</v>
          </cell>
        </row>
        <row r="736">
          <cell r="H736" t="str">
            <v>12+32</v>
          </cell>
          <cell r="I736" t="str">
            <v>大半会</v>
          </cell>
          <cell r="J736" t="str">
            <v>貫索星</v>
          </cell>
          <cell r="K736" t="str">
            <v>天印星</v>
          </cell>
        </row>
        <row r="737">
          <cell r="H737" t="str">
            <v>12+33</v>
          </cell>
          <cell r="I737" t="str">
            <v>害</v>
          </cell>
          <cell r="J737" t="str">
            <v>調舒星</v>
          </cell>
          <cell r="K737" t="str">
            <v>天報星</v>
          </cell>
        </row>
        <row r="738">
          <cell r="H738" t="str">
            <v>12+34</v>
          </cell>
          <cell r="I738" t="str">
            <v>－</v>
          </cell>
          <cell r="J738" t="str">
            <v>鳳閣星</v>
          </cell>
          <cell r="K738" t="str">
            <v>天馳星</v>
          </cell>
        </row>
        <row r="739">
          <cell r="H739" t="str">
            <v>12+35</v>
          </cell>
          <cell r="I739" t="str">
            <v>－</v>
          </cell>
          <cell r="J739" t="str">
            <v>司禄星</v>
          </cell>
          <cell r="K739" t="str">
            <v>天庫星</v>
          </cell>
        </row>
        <row r="740">
          <cell r="H740" t="str">
            <v>12+36</v>
          </cell>
          <cell r="I740" t="str">
            <v>自刑</v>
          </cell>
          <cell r="J740" t="str">
            <v>禄存星</v>
          </cell>
          <cell r="K740" t="str">
            <v>天極星</v>
          </cell>
        </row>
        <row r="741">
          <cell r="H741" t="str">
            <v>12+37</v>
          </cell>
          <cell r="I741" t="str">
            <v>準方位</v>
          </cell>
          <cell r="J741" t="str">
            <v>牽牛星</v>
          </cell>
          <cell r="K741" t="str">
            <v>天胡星</v>
          </cell>
        </row>
        <row r="742">
          <cell r="H742" t="str">
            <v>12+38</v>
          </cell>
          <cell r="I742" t="str">
            <v>準方位</v>
          </cell>
          <cell r="J742" t="str">
            <v>車騎星</v>
          </cell>
          <cell r="K742" t="str">
            <v>天堂星</v>
          </cell>
        </row>
        <row r="743">
          <cell r="H743" t="str">
            <v>12+39</v>
          </cell>
          <cell r="I743" t="str">
            <v>支合</v>
          </cell>
          <cell r="J743" t="str">
            <v>玉堂星</v>
          </cell>
          <cell r="K743" t="str">
            <v>天将星</v>
          </cell>
        </row>
        <row r="744">
          <cell r="H744" t="str">
            <v>12+40</v>
          </cell>
          <cell r="I744" t="str">
            <v>半会</v>
          </cell>
          <cell r="J744" t="str">
            <v>龍高星</v>
          </cell>
          <cell r="K744" t="str">
            <v>天禄星</v>
          </cell>
        </row>
        <row r="745">
          <cell r="H745" t="str">
            <v>12+41</v>
          </cell>
          <cell r="I745" t="str">
            <v>－</v>
          </cell>
          <cell r="J745" t="str">
            <v>石門星</v>
          </cell>
          <cell r="K745" t="str">
            <v>天南星</v>
          </cell>
        </row>
        <row r="746">
          <cell r="H746" t="str">
            <v>12+42</v>
          </cell>
          <cell r="I746" t="str">
            <v>納音</v>
          </cell>
          <cell r="J746" t="str">
            <v>貫索星</v>
          </cell>
          <cell r="K746" t="str">
            <v>天恍星</v>
          </cell>
        </row>
        <row r="747">
          <cell r="H747" t="str">
            <v>12+43</v>
          </cell>
          <cell r="I747" t="str">
            <v>－</v>
          </cell>
          <cell r="J747" t="str">
            <v>調舒星</v>
          </cell>
          <cell r="K747" t="str">
            <v>天貴星</v>
          </cell>
        </row>
        <row r="748">
          <cell r="H748" t="str">
            <v>12+44</v>
          </cell>
          <cell r="I748" t="str">
            <v>半会</v>
          </cell>
          <cell r="J748" t="str">
            <v>鳳閣星</v>
          </cell>
          <cell r="K748" t="str">
            <v>天印星</v>
          </cell>
        </row>
        <row r="749">
          <cell r="H749" t="str">
            <v>12+45</v>
          </cell>
          <cell r="I749" t="str">
            <v>害</v>
          </cell>
          <cell r="J749" t="str">
            <v>司禄星</v>
          </cell>
          <cell r="K749" t="str">
            <v>天報星</v>
          </cell>
        </row>
        <row r="750">
          <cell r="H750" t="str">
            <v>12+46</v>
          </cell>
          <cell r="I750" t="str">
            <v>－</v>
          </cell>
          <cell r="J750" t="str">
            <v>禄存星</v>
          </cell>
          <cell r="K750" t="str">
            <v>天馳星</v>
          </cell>
        </row>
        <row r="751">
          <cell r="H751" t="str">
            <v>12+47</v>
          </cell>
          <cell r="I751" t="str">
            <v>－</v>
          </cell>
          <cell r="J751" t="str">
            <v>牽牛星</v>
          </cell>
          <cell r="K751" t="str">
            <v>天庫星</v>
          </cell>
        </row>
        <row r="752">
          <cell r="H752" t="str">
            <v>12+48</v>
          </cell>
          <cell r="I752" t="str">
            <v>自刑</v>
          </cell>
          <cell r="J752" t="str">
            <v>車騎星</v>
          </cell>
          <cell r="K752" t="str">
            <v>天極星</v>
          </cell>
        </row>
        <row r="753">
          <cell r="H753" t="str">
            <v>12+49</v>
          </cell>
          <cell r="I753" t="str">
            <v>準方位</v>
          </cell>
          <cell r="J753" t="str">
            <v>玉堂星</v>
          </cell>
          <cell r="K753" t="str">
            <v>天胡星</v>
          </cell>
        </row>
        <row r="754">
          <cell r="H754" t="str">
            <v>12+50</v>
          </cell>
          <cell r="I754" t="str">
            <v>準方位</v>
          </cell>
          <cell r="J754" t="str">
            <v>龍高星</v>
          </cell>
          <cell r="K754" t="str">
            <v>天堂星</v>
          </cell>
        </row>
        <row r="755">
          <cell r="H755" t="str">
            <v>12+51</v>
          </cell>
          <cell r="I755" t="str">
            <v>支合</v>
          </cell>
          <cell r="J755" t="str">
            <v>石門星</v>
          </cell>
          <cell r="K755" t="str">
            <v>天将星</v>
          </cell>
        </row>
        <row r="756">
          <cell r="H756" t="str">
            <v>12+52</v>
          </cell>
          <cell r="I756" t="str">
            <v>大半会</v>
          </cell>
          <cell r="J756" t="str">
            <v>貫索星</v>
          </cell>
          <cell r="K756" t="str">
            <v>天禄星</v>
          </cell>
        </row>
        <row r="757">
          <cell r="H757" t="str">
            <v>12+53</v>
          </cell>
          <cell r="I757" t="str">
            <v>－</v>
          </cell>
          <cell r="J757" t="str">
            <v>調舒星</v>
          </cell>
          <cell r="K757" t="str">
            <v>天南星</v>
          </cell>
        </row>
        <row r="758">
          <cell r="H758" t="str">
            <v>12+54</v>
          </cell>
          <cell r="I758" t="str">
            <v>対冲</v>
          </cell>
          <cell r="J758" t="str">
            <v>鳳閣星</v>
          </cell>
          <cell r="K758" t="str">
            <v>天恍星</v>
          </cell>
        </row>
        <row r="759">
          <cell r="H759" t="str">
            <v>12+55</v>
          </cell>
          <cell r="I759" t="str">
            <v>－</v>
          </cell>
          <cell r="J759" t="str">
            <v>司禄星</v>
          </cell>
          <cell r="K759" t="str">
            <v>天貴星</v>
          </cell>
        </row>
        <row r="760">
          <cell r="H760" t="str">
            <v>12+56</v>
          </cell>
          <cell r="I760" t="str">
            <v>半会</v>
          </cell>
          <cell r="J760" t="str">
            <v>禄存星</v>
          </cell>
          <cell r="K760" t="str">
            <v>天印星</v>
          </cell>
        </row>
        <row r="761">
          <cell r="H761" t="str">
            <v>12+57</v>
          </cell>
          <cell r="I761" t="str">
            <v>害</v>
          </cell>
          <cell r="J761" t="str">
            <v>牽牛星</v>
          </cell>
          <cell r="K761" t="str">
            <v>天報星</v>
          </cell>
        </row>
        <row r="762">
          <cell r="H762" t="str">
            <v>12+58</v>
          </cell>
          <cell r="I762" t="str">
            <v>－</v>
          </cell>
          <cell r="J762" t="str">
            <v>車騎星</v>
          </cell>
          <cell r="K762" t="str">
            <v>天馳星</v>
          </cell>
        </row>
        <row r="763">
          <cell r="H763" t="str">
            <v>12+59</v>
          </cell>
          <cell r="I763" t="str">
            <v>－</v>
          </cell>
          <cell r="J763" t="str">
            <v>玉堂星</v>
          </cell>
          <cell r="K763" t="str">
            <v>天庫星</v>
          </cell>
        </row>
        <row r="764">
          <cell r="H764" t="str">
            <v>12+60</v>
          </cell>
          <cell r="I764" t="str">
            <v>自刑</v>
          </cell>
          <cell r="J764" t="str">
            <v>龍高星</v>
          </cell>
          <cell r="K764" t="str">
            <v>天極星</v>
          </cell>
        </row>
        <row r="765">
          <cell r="H765" t="str">
            <v>13+1</v>
          </cell>
          <cell r="I765" t="str">
            <v>同</v>
          </cell>
          <cell r="J765" t="str">
            <v>龍高星</v>
          </cell>
          <cell r="K765" t="str">
            <v>天報星</v>
          </cell>
        </row>
        <row r="766">
          <cell r="H766" t="str">
            <v>13+2</v>
          </cell>
          <cell r="I766" t="str">
            <v>支合</v>
          </cell>
          <cell r="J766" t="str">
            <v>玉堂星</v>
          </cell>
          <cell r="K766" t="str">
            <v>天印星</v>
          </cell>
        </row>
        <row r="767">
          <cell r="H767" t="str">
            <v>13+3</v>
          </cell>
          <cell r="I767" t="str">
            <v>－</v>
          </cell>
          <cell r="J767" t="str">
            <v>貫索星</v>
          </cell>
          <cell r="K767" t="str">
            <v>天貴星</v>
          </cell>
        </row>
        <row r="768">
          <cell r="H768" t="str">
            <v>13+4</v>
          </cell>
          <cell r="I768" t="str">
            <v>刑</v>
          </cell>
          <cell r="J768" t="str">
            <v>石門星</v>
          </cell>
          <cell r="K768" t="str">
            <v>天恍星</v>
          </cell>
        </row>
        <row r="769">
          <cell r="H769" t="str">
            <v>13+5</v>
          </cell>
          <cell r="I769" t="str">
            <v>半会</v>
          </cell>
          <cell r="J769" t="str">
            <v>鳳閣星</v>
          </cell>
          <cell r="K769" t="str">
            <v>天南星</v>
          </cell>
        </row>
        <row r="770">
          <cell r="H770" t="str">
            <v>13+6</v>
          </cell>
          <cell r="I770" t="str">
            <v>－</v>
          </cell>
          <cell r="J770" t="str">
            <v>調舒星</v>
          </cell>
          <cell r="K770" t="str">
            <v>天禄星</v>
          </cell>
        </row>
        <row r="771">
          <cell r="H771" t="str">
            <v>13+7</v>
          </cell>
          <cell r="I771" t="str">
            <v>天剋地冲</v>
          </cell>
          <cell r="J771" t="str">
            <v>禄存星</v>
          </cell>
          <cell r="K771" t="str">
            <v>天将星</v>
          </cell>
        </row>
        <row r="772">
          <cell r="H772" t="str">
            <v>13+8</v>
          </cell>
          <cell r="I772" t="str">
            <v>害</v>
          </cell>
          <cell r="J772" t="str">
            <v>司禄星</v>
          </cell>
          <cell r="K772" t="str">
            <v>天堂星</v>
          </cell>
        </row>
        <row r="773">
          <cell r="H773" t="str">
            <v>13+9</v>
          </cell>
          <cell r="I773" t="str">
            <v>半会</v>
          </cell>
          <cell r="J773" t="str">
            <v>車騎星</v>
          </cell>
          <cell r="K773" t="str">
            <v>天胡星</v>
          </cell>
        </row>
        <row r="774">
          <cell r="H774" t="str">
            <v>13+10</v>
          </cell>
          <cell r="I774" t="str">
            <v>破</v>
          </cell>
          <cell r="J774" t="str">
            <v>牽牛星</v>
          </cell>
          <cell r="K774" t="str">
            <v>天極星</v>
          </cell>
        </row>
        <row r="775">
          <cell r="H775" t="str">
            <v>13+11</v>
          </cell>
          <cell r="I775" t="str">
            <v>－</v>
          </cell>
          <cell r="J775" t="str">
            <v>龍高星</v>
          </cell>
          <cell r="K775" t="str">
            <v>天庫星</v>
          </cell>
        </row>
        <row r="776">
          <cell r="H776" t="str">
            <v>13+12</v>
          </cell>
          <cell r="I776" t="str">
            <v>準方位</v>
          </cell>
          <cell r="J776" t="str">
            <v>玉堂星</v>
          </cell>
          <cell r="K776" t="str">
            <v>天馳星</v>
          </cell>
        </row>
        <row r="777">
          <cell r="H777" t="str">
            <v>13+13</v>
          </cell>
          <cell r="I777" t="str">
            <v>律音</v>
          </cell>
          <cell r="J777" t="str">
            <v>貫索星</v>
          </cell>
          <cell r="K777" t="str">
            <v>天報星</v>
          </cell>
        </row>
        <row r="778">
          <cell r="H778" t="str">
            <v>13+14</v>
          </cell>
          <cell r="I778" t="str">
            <v>支合</v>
          </cell>
          <cell r="J778" t="str">
            <v>石門星</v>
          </cell>
          <cell r="K778" t="str">
            <v>天印星</v>
          </cell>
        </row>
        <row r="779">
          <cell r="H779" t="str">
            <v>13+15</v>
          </cell>
          <cell r="I779" t="str">
            <v>－</v>
          </cell>
          <cell r="J779" t="str">
            <v>鳳閣星</v>
          </cell>
          <cell r="K779" t="str">
            <v>天貴星</v>
          </cell>
        </row>
        <row r="780">
          <cell r="H780" t="str">
            <v>13+16</v>
          </cell>
          <cell r="I780" t="str">
            <v>刑</v>
          </cell>
          <cell r="J780" t="str">
            <v>調舒星</v>
          </cell>
          <cell r="K780" t="str">
            <v>天恍星</v>
          </cell>
        </row>
        <row r="781">
          <cell r="H781" t="str">
            <v>13+17</v>
          </cell>
          <cell r="I781" t="str">
            <v>半会</v>
          </cell>
          <cell r="J781" t="str">
            <v>禄存星</v>
          </cell>
          <cell r="K781" t="str">
            <v>天南星</v>
          </cell>
        </row>
        <row r="782">
          <cell r="H782" t="str">
            <v>13+18</v>
          </cell>
          <cell r="I782" t="str">
            <v>－</v>
          </cell>
          <cell r="J782" t="str">
            <v>司禄星</v>
          </cell>
          <cell r="K782" t="str">
            <v>天禄星</v>
          </cell>
        </row>
        <row r="783">
          <cell r="H783" t="str">
            <v>13+19</v>
          </cell>
          <cell r="I783" t="str">
            <v>天剋地冲</v>
          </cell>
          <cell r="J783" t="str">
            <v>車騎星</v>
          </cell>
          <cell r="K783" t="str">
            <v>天将星</v>
          </cell>
        </row>
        <row r="784">
          <cell r="H784" t="str">
            <v>13+20</v>
          </cell>
          <cell r="I784" t="str">
            <v>害</v>
          </cell>
          <cell r="J784" t="str">
            <v>牽牛星</v>
          </cell>
          <cell r="K784" t="str">
            <v>天堂星</v>
          </cell>
        </row>
        <row r="785">
          <cell r="H785" t="str">
            <v>13+21</v>
          </cell>
          <cell r="I785" t="str">
            <v>半会</v>
          </cell>
          <cell r="J785" t="str">
            <v>龍高星</v>
          </cell>
          <cell r="K785" t="str">
            <v>天胡星</v>
          </cell>
        </row>
        <row r="786">
          <cell r="H786" t="str">
            <v>13+22</v>
          </cell>
          <cell r="I786" t="str">
            <v>破</v>
          </cell>
          <cell r="J786" t="str">
            <v>玉堂星</v>
          </cell>
          <cell r="K786" t="str">
            <v>天極星</v>
          </cell>
        </row>
        <row r="787">
          <cell r="H787" t="str">
            <v>13+23</v>
          </cell>
          <cell r="I787" t="str">
            <v>－</v>
          </cell>
          <cell r="J787" t="str">
            <v>貫索星</v>
          </cell>
          <cell r="K787" t="str">
            <v>天庫星</v>
          </cell>
        </row>
        <row r="788">
          <cell r="H788" t="str">
            <v>13+24</v>
          </cell>
          <cell r="I788" t="str">
            <v>準方位</v>
          </cell>
          <cell r="J788" t="str">
            <v>石門星</v>
          </cell>
          <cell r="K788" t="str">
            <v>天馳星</v>
          </cell>
        </row>
        <row r="789">
          <cell r="H789" t="str">
            <v>13+25</v>
          </cell>
          <cell r="I789" t="str">
            <v>同</v>
          </cell>
          <cell r="J789" t="str">
            <v>鳳閣星</v>
          </cell>
          <cell r="K789" t="str">
            <v>天報星</v>
          </cell>
        </row>
        <row r="790">
          <cell r="H790" t="str">
            <v>13+26</v>
          </cell>
          <cell r="I790" t="str">
            <v>支合</v>
          </cell>
          <cell r="J790" t="str">
            <v>調舒星</v>
          </cell>
          <cell r="K790" t="str">
            <v>天印星</v>
          </cell>
        </row>
        <row r="791">
          <cell r="H791" t="str">
            <v>13+27</v>
          </cell>
          <cell r="I791" t="str">
            <v>－</v>
          </cell>
          <cell r="J791" t="str">
            <v>禄存星</v>
          </cell>
          <cell r="K791" t="str">
            <v>天貴星</v>
          </cell>
        </row>
        <row r="792">
          <cell r="H792" t="str">
            <v>13+28</v>
          </cell>
          <cell r="I792" t="str">
            <v>刑</v>
          </cell>
          <cell r="J792" t="str">
            <v>司禄星</v>
          </cell>
          <cell r="K792" t="str">
            <v>天恍星</v>
          </cell>
        </row>
        <row r="793">
          <cell r="H793" t="str">
            <v>13+29</v>
          </cell>
          <cell r="I793" t="str">
            <v>半会</v>
          </cell>
          <cell r="J793" t="str">
            <v>車騎星</v>
          </cell>
          <cell r="K793" t="str">
            <v>天南星</v>
          </cell>
        </row>
        <row r="794">
          <cell r="H794" t="str">
            <v>13+30</v>
          </cell>
          <cell r="I794" t="str">
            <v>－</v>
          </cell>
          <cell r="J794" t="str">
            <v>牽牛星</v>
          </cell>
          <cell r="K794" t="str">
            <v>天禄星</v>
          </cell>
        </row>
        <row r="795">
          <cell r="H795" t="str">
            <v>13+31</v>
          </cell>
          <cell r="I795" t="str">
            <v>対冲</v>
          </cell>
          <cell r="J795" t="str">
            <v>龍高星</v>
          </cell>
          <cell r="K795" t="str">
            <v>天将星</v>
          </cell>
        </row>
        <row r="796">
          <cell r="H796" t="str">
            <v>13+32</v>
          </cell>
          <cell r="I796" t="str">
            <v>害</v>
          </cell>
          <cell r="J796" t="str">
            <v>玉堂星</v>
          </cell>
          <cell r="K796" t="str">
            <v>天堂星</v>
          </cell>
        </row>
        <row r="797">
          <cell r="H797" t="str">
            <v>13+33</v>
          </cell>
          <cell r="I797" t="str">
            <v>大半会</v>
          </cell>
          <cell r="J797" t="str">
            <v>貫索星</v>
          </cell>
          <cell r="K797" t="str">
            <v>天胡星</v>
          </cell>
        </row>
        <row r="798">
          <cell r="H798" t="str">
            <v>13+34</v>
          </cell>
          <cell r="I798" t="str">
            <v>破</v>
          </cell>
          <cell r="J798" t="str">
            <v>石門星</v>
          </cell>
          <cell r="K798" t="str">
            <v>天極星</v>
          </cell>
        </row>
        <row r="799">
          <cell r="H799" t="str">
            <v>13+35</v>
          </cell>
          <cell r="I799" t="str">
            <v>－</v>
          </cell>
          <cell r="J799" t="str">
            <v>鳳閣星</v>
          </cell>
          <cell r="K799" t="str">
            <v>天庫星</v>
          </cell>
        </row>
        <row r="800">
          <cell r="H800" t="str">
            <v>13+36</v>
          </cell>
          <cell r="I800" t="str">
            <v>準方位</v>
          </cell>
          <cell r="J800" t="str">
            <v>調舒星</v>
          </cell>
          <cell r="K800" t="str">
            <v>天馳星</v>
          </cell>
        </row>
        <row r="801">
          <cell r="H801" t="str">
            <v>13+37</v>
          </cell>
          <cell r="I801" t="str">
            <v>同</v>
          </cell>
          <cell r="J801" t="str">
            <v>禄存星</v>
          </cell>
          <cell r="K801" t="str">
            <v>天報星</v>
          </cell>
        </row>
        <row r="802">
          <cell r="H802" t="str">
            <v>13+38</v>
          </cell>
          <cell r="I802" t="str">
            <v>支合</v>
          </cell>
          <cell r="J802" t="str">
            <v>司禄星</v>
          </cell>
          <cell r="K802" t="str">
            <v>天印星</v>
          </cell>
        </row>
        <row r="803">
          <cell r="H803" t="str">
            <v>13+39</v>
          </cell>
          <cell r="I803" t="str">
            <v>－</v>
          </cell>
          <cell r="J803" t="str">
            <v>車騎星</v>
          </cell>
          <cell r="K803" t="str">
            <v>天貴星</v>
          </cell>
        </row>
        <row r="804">
          <cell r="H804" t="str">
            <v>13+40</v>
          </cell>
          <cell r="I804" t="str">
            <v>刑</v>
          </cell>
          <cell r="J804" t="str">
            <v>牽牛星</v>
          </cell>
          <cell r="K804" t="str">
            <v>天恍星</v>
          </cell>
        </row>
        <row r="805">
          <cell r="H805" t="str">
            <v>13+41</v>
          </cell>
          <cell r="I805" t="str">
            <v>半会</v>
          </cell>
          <cell r="J805" t="str">
            <v>龍高星</v>
          </cell>
          <cell r="K805" t="str">
            <v>天南星</v>
          </cell>
        </row>
        <row r="806">
          <cell r="H806" t="str">
            <v>13+42</v>
          </cell>
          <cell r="I806" t="str">
            <v>－</v>
          </cell>
          <cell r="J806" t="str">
            <v>玉堂星</v>
          </cell>
          <cell r="K806" t="str">
            <v>天禄星</v>
          </cell>
        </row>
        <row r="807">
          <cell r="H807" t="str">
            <v>13+43</v>
          </cell>
          <cell r="I807" t="str">
            <v>納音</v>
          </cell>
          <cell r="J807" t="str">
            <v>貫索星</v>
          </cell>
          <cell r="K807" t="str">
            <v>天将星</v>
          </cell>
        </row>
        <row r="808">
          <cell r="H808" t="str">
            <v>13+44</v>
          </cell>
          <cell r="I808" t="str">
            <v>害</v>
          </cell>
          <cell r="J808" t="str">
            <v>石門星</v>
          </cell>
          <cell r="K808" t="str">
            <v>天堂星</v>
          </cell>
        </row>
        <row r="809">
          <cell r="H809" t="str">
            <v>13+45</v>
          </cell>
          <cell r="I809" t="str">
            <v>半会</v>
          </cell>
          <cell r="J809" t="str">
            <v>鳳閣星</v>
          </cell>
          <cell r="K809" t="str">
            <v>天胡星</v>
          </cell>
        </row>
        <row r="810">
          <cell r="H810" t="str">
            <v>13+46</v>
          </cell>
          <cell r="I810" t="str">
            <v>破</v>
          </cell>
          <cell r="J810" t="str">
            <v>調舒星</v>
          </cell>
          <cell r="K810" t="str">
            <v>天極星</v>
          </cell>
        </row>
        <row r="811">
          <cell r="H811" t="str">
            <v>13+47</v>
          </cell>
          <cell r="I811" t="str">
            <v>－</v>
          </cell>
          <cell r="J811" t="str">
            <v>禄存星</v>
          </cell>
          <cell r="K811" t="str">
            <v>天庫星</v>
          </cell>
        </row>
        <row r="812">
          <cell r="H812" t="str">
            <v>13+48</v>
          </cell>
          <cell r="I812" t="str">
            <v>準方位</v>
          </cell>
          <cell r="J812" t="str">
            <v>司禄星</v>
          </cell>
          <cell r="K812" t="str">
            <v>天馳星</v>
          </cell>
        </row>
        <row r="813">
          <cell r="H813" t="str">
            <v>13+49</v>
          </cell>
          <cell r="I813" t="str">
            <v>同</v>
          </cell>
          <cell r="J813" t="str">
            <v>車騎星</v>
          </cell>
          <cell r="K813" t="str">
            <v>天報星</v>
          </cell>
        </row>
        <row r="814">
          <cell r="H814" t="str">
            <v>13+50</v>
          </cell>
          <cell r="I814" t="str">
            <v>支合</v>
          </cell>
          <cell r="J814" t="str">
            <v>牽牛星</v>
          </cell>
          <cell r="K814" t="str">
            <v>天印星</v>
          </cell>
        </row>
        <row r="815">
          <cell r="H815" t="str">
            <v>13+51</v>
          </cell>
          <cell r="I815" t="str">
            <v>－</v>
          </cell>
          <cell r="J815" t="str">
            <v>龍高星</v>
          </cell>
          <cell r="K815" t="str">
            <v>天貴星</v>
          </cell>
        </row>
        <row r="816">
          <cell r="H816" t="str">
            <v>13+52</v>
          </cell>
          <cell r="I816" t="str">
            <v>刑</v>
          </cell>
          <cell r="J816" t="str">
            <v>玉堂星</v>
          </cell>
          <cell r="K816" t="str">
            <v>天恍星</v>
          </cell>
        </row>
        <row r="817">
          <cell r="H817" t="str">
            <v>13+53</v>
          </cell>
          <cell r="I817" t="str">
            <v>大半会</v>
          </cell>
          <cell r="J817" t="str">
            <v>貫索星</v>
          </cell>
          <cell r="K817" t="str">
            <v>天南星</v>
          </cell>
        </row>
        <row r="818">
          <cell r="H818" t="str">
            <v>13+54</v>
          </cell>
          <cell r="I818" t="str">
            <v>－</v>
          </cell>
          <cell r="J818" t="str">
            <v>石門星</v>
          </cell>
          <cell r="K818" t="str">
            <v>天禄星</v>
          </cell>
        </row>
        <row r="819">
          <cell r="H819" t="str">
            <v>13+55</v>
          </cell>
          <cell r="I819" t="str">
            <v>対冲</v>
          </cell>
          <cell r="J819" t="str">
            <v>鳳閣星</v>
          </cell>
          <cell r="K819" t="str">
            <v>天将星</v>
          </cell>
        </row>
        <row r="820">
          <cell r="H820" t="str">
            <v>13+56</v>
          </cell>
          <cell r="I820" t="str">
            <v>害</v>
          </cell>
          <cell r="J820" t="str">
            <v>調舒星</v>
          </cell>
          <cell r="K820" t="str">
            <v>天堂星</v>
          </cell>
        </row>
        <row r="821">
          <cell r="H821" t="str">
            <v>13+57</v>
          </cell>
          <cell r="I821" t="str">
            <v>半会</v>
          </cell>
          <cell r="J821" t="str">
            <v>禄存星</v>
          </cell>
          <cell r="K821" t="str">
            <v>天胡星</v>
          </cell>
        </row>
        <row r="822">
          <cell r="H822" t="str">
            <v>13+58</v>
          </cell>
          <cell r="I822" t="str">
            <v>破</v>
          </cell>
          <cell r="J822" t="str">
            <v>司禄星</v>
          </cell>
          <cell r="K822" t="str">
            <v>天極星</v>
          </cell>
        </row>
        <row r="823">
          <cell r="H823" t="str">
            <v>13+59</v>
          </cell>
          <cell r="I823" t="str">
            <v>－</v>
          </cell>
          <cell r="J823" t="str">
            <v>車騎星</v>
          </cell>
          <cell r="K823" t="str">
            <v>天庫星</v>
          </cell>
        </row>
        <row r="824">
          <cell r="H824" t="str">
            <v>13+60</v>
          </cell>
          <cell r="I824" t="str">
            <v>準方位</v>
          </cell>
          <cell r="J824" t="str">
            <v>牽牛星</v>
          </cell>
          <cell r="K824" t="str">
            <v>天馳星</v>
          </cell>
        </row>
        <row r="825">
          <cell r="H825" t="str">
            <v>14+1</v>
          </cell>
          <cell r="I825" t="str">
            <v>支合</v>
          </cell>
          <cell r="J825" t="str">
            <v>玉堂星</v>
          </cell>
          <cell r="K825" t="str">
            <v>天馳星</v>
          </cell>
        </row>
        <row r="826">
          <cell r="H826" t="str">
            <v>14+2</v>
          </cell>
          <cell r="I826" t="str">
            <v>同</v>
          </cell>
          <cell r="J826" t="str">
            <v>龍高星</v>
          </cell>
          <cell r="K826" t="str">
            <v>天庫星</v>
          </cell>
        </row>
        <row r="827">
          <cell r="H827" t="str">
            <v>14+3</v>
          </cell>
          <cell r="I827" t="str">
            <v>－</v>
          </cell>
          <cell r="J827" t="str">
            <v>石門星</v>
          </cell>
          <cell r="K827" t="str">
            <v>天極星</v>
          </cell>
        </row>
        <row r="828">
          <cell r="H828" t="str">
            <v>14+4</v>
          </cell>
          <cell r="I828" t="str">
            <v>－</v>
          </cell>
          <cell r="J828" t="str">
            <v>貫索星</v>
          </cell>
          <cell r="K828" t="str">
            <v>天胡星</v>
          </cell>
        </row>
        <row r="829">
          <cell r="H829" t="str">
            <v>14+5</v>
          </cell>
          <cell r="I829" t="str">
            <v>破</v>
          </cell>
          <cell r="J829" t="str">
            <v>調舒星</v>
          </cell>
          <cell r="K829" t="str">
            <v>天堂星</v>
          </cell>
        </row>
        <row r="830">
          <cell r="H830" t="str">
            <v>14+6</v>
          </cell>
          <cell r="I830" t="str">
            <v>半会</v>
          </cell>
          <cell r="J830" t="str">
            <v>鳳閣星</v>
          </cell>
          <cell r="K830" t="str">
            <v>天将星</v>
          </cell>
        </row>
        <row r="831">
          <cell r="H831" t="str">
            <v>14+7</v>
          </cell>
          <cell r="I831" t="str">
            <v>害</v>
          </cell>
          <cell r="J831" t="str">
            <v>司禄星</v>
          </cell>
          <cell r="K831" t="str">
            <v>天禄星</v>
          </cell>
        </row>
        <row r="832">
          <cell r="H832" t="str">
            <v>14+8</v>
          </cell>
          <cell r="I832" t="str">
            <v>天剋地冲</v>
          </cell>
          <cell r="J832" t="str">
            <v>禄存星</v>
          </cell>
          <cell r="K832" t="str">
            <v>天南星</v>
          </cell>
        </row>
        <row r="833">
          <cell r="H833" t="str">
            <v>14+9</v>
          </cell>
          <cell r="I833" t="str">
            <v>－</v>
          </cell>
          <cell r="J833" t="str">
            <v>牽牛星</v>
          </cell>
          <cell r="K833" t="str">
            <v>天恍星</v>
          </cell>
        </row>
        <row r="834">
          <cell r="H834" t="str">
            <v>14+10</v>
          </cell>
          <cell r="I834" t="str">
            <v>半会</v>
          </cell>
          <cell r="J834" t="str">
            <v>車騎星</v>
          </cell>
          <cell r="K834" t="str">
            <v>天貴星</v>
          </cell>
        </row>
        <row r="835">
          <cell r="H835" t="str">
            <v>14+11</v>
          </cell>
          <cell r="I835" t="str">
            <v>刑</v>
          </cell>
          <cell r="J835" t="str">
            <v>玉堂星</v>
          </cell>
          <cell r="K835" t="str">
            <v>天印星</v>
          </cell>
        </row>
        <row r="836">
          <cell r="H836" t="str">
            <v>14+12</v>
          </cell>
          <cell r="I836" t="str">
            <v>準方位</v>
          </cell>
          <cell r="J836" t="str">
            <v>龍高星</v>
          </cell>
          <cell r="K836" t="str">
            <v>天報星</v>
          </cell>
        </row>
        <row r="837">
          <cell r="H837" t="str">
            <v>14+13</v>
          </cell>
          <cell r="I837" t="str">
            <v>支合</v>
          </cell>
          <cell r="J837" t="str">
            <v>石門星</v>
          </cell>
          <cell r="K837" t="str">
            <v>天馳星</v>
          </cell>
        </row>
        <row r="838">
          <cell r="H838" t="str">
            <v>14+14</v>
          </cell>
          <cell r="I838" t="str">
            <v>律音</v>
          </cell>
          <cell r="J838" t="str">
            <v>貫索星</v>
          </cell>
          <cell r="K838" t="str">
            <v>天庫星</v>
          </cell>
        </row>
        <row r="839">
          <cell r="H839" t="str">
            <v>14+15</v>
          </cell>
          <cell r="I839" t="str">
            <v>－</v>
          </cell>
          <cell r="J839" t="str">
            <v>調舒星</v>
          </cell>
          <cell r="K839" t="str">
            <v>天極星</v>
          </cell>
        </row>
        <row r="840">
          <cell r="H840" t="str">
            <v>14+16</v>
          </cell>
          <cell r="I840" t="str">
            <v>－</v>
          </cell>
          <cell r="J840" t="str">
            <v>鳳閣星</v>
          </cell>
          <cell r="K840" t="str">
            <v>天胡星</v>
          </cell>
        </row>
        <row r="841">
          <cell r="H841" t="str">
            <v>14+17</v>
          </cell>
          <cell r="I841" t="str">
            <v>破</v>
          </cell>
          <cell r="J841" t="str">
            <v>司禄星</v>
          </cell>
          <cell r="K841" t="str">
            <v>天堂星</v>
          </cell>
        </row>
        <row r="842">
          <cell r="H842" t="str">
            <v>14+18</v>
          </cell>
          <cell r="I842" t="str">
            <v>半会</v>
          </cell>
          <cell r="J842" t="str">
            <v>禄存星</v>
          </cell>
          <cell r="K842" t="str">
            <v>天将星</v>
          </cell>
        </row>
        <row r="843">
          <cell r="H843" t="str">
            <v>14+19</v>
          </cell>
          <cell r="I843" t="str">
            <v>害</v>
          </cell>
          <cell r="J843" t="str">
            <v>牽牛星</v>
          </cell>
          <cell r="K843" t="str">
            <v>天禄星</v>
          </cell>
        </row>
        <row r="844">
          <cell r="H844" t="str">
            <v>14+20</v>
          </cell>
          <cell r="I844" t="str">
            <v>天剋地冲</v>
          </cell>
          <cell r="J844" t="str">
            <v>車騎星</v>
          </cell>
          <cell r="K844" t="str">
            <v>天南星</v>
          </cell>
        </row>
        <row r="845">
          <cell r="H845" t="str">
            <v>14+21</v>
          </cell>
          <cell r="I845" t="str">
            <v>－</v>
          </cell>
          <cell r="J845" t="str">
            <v>玉堂星</v>
          </cell>
          <cell r="K845" t="str">
            <v>天恍星</v>
          </cell>
        </row>
        <row r="846">
          <cell r="H846" t="str">
            <v>14+22</v>
          </cell>
          <cell r="I846" t="str">
            <v>半会</v>
          </cell>
          <cell r="J846" t="str">
            <v>龍高星</v>
          </cell>
          <cell r="K846" t="str">
            <v>天貴星</v>
          </cell>
        </row>
        <row r="847">
          <cell r="H847" t="str">
            <v>14+23</v>
          </cell>
          <cell r="I847" t="str">
            <v>刑</v>
          </cell>
          <cell r="J847" t="str">
            <v>石門星</v>
          </cell>
          <cell r="K847" t="str">
            <v>天印星</v>
          </cell>
        </row>
        <row r="848">
          <cell r="H848" t="str">
            <v>14+24</v>
          </cell>
          <cell r="I848" t="str">
            <v>準方位</v>
          </cell>
          <cell r="J848" t="str">
            <v>貫索星</v>
          </cell>
          <cell r="K848" t="str">
            <v>天報星</v>
          </cell>
        </row>
        <row r="849">
          <cell r="H849" t="str">
            <v>14+25</v>
          </cell>
          <cell r="I849" t="str">
            <v>支合</v>
          </cell>
          <cell r="J849" t="str">
            <v>調舒星</v>
          </cell>
          <cell r="K849" t="str">
            <v>天馳星</v>
          </cell>
        </row>
        <row r="850">
          <cell r="H850" t="str">
            <v>14+26</v>
          </cell>
          <cell r="I850" t="str">
            <v>同</v>
          </cell>
          <cell r="J850" t="str">
            <v>鳳閣星</v>
          </cell>
          <cell r="K850" t="str">
            <v>天庫星</v>
          </cell>
        </row>
        <row r="851">
          <cell r="H851" t="str">
            <v>14+27</v>
          </cell>
          <cell r="I851" t="str">
            <v>－</v>
          </cell>
          <cell r="J851" t="str">
            <v>司禄星</v>
          </cell>
          <cell r="K851" t="str">
            <v>天極星</v>
          </cell>
        </row>
        <row r="852">
          <cell r="H852" t="str">
            <v>14+28</v>
          </cell>
          <cell r="I852" t="str">
            <v>－</v>
          </cell>
          <cell r="J852" t="str">
            <v>禄存星</v>
          </cell>
          <cell r="K852" t="str">
            <v>天胡星</v>
          </cell>
        </row>
        <row r="853">
          <cell r="H853" t="str">
            <v>14+29</v>
          </cell>
          <cell r="I853" t="str">
            <v>破</v>
          </cell>
          <cell r="J853" t="str">
            <v>牽牛星</v>
          </cell>
          <cell r="K853" t="str">
            <v>天堂星</v>
          </cell>
        </row>
        <row r="854">
          <cell r="H854" t="str">
            <v>14+30</v>
          </cell>
          <cell r="I854" t="str">
            <v>半会</v>
          </cell>
          <cell r="J854" t="str">
            <v>車騎星</v>
          </cell>
          <cell r="K854" t="str">
            <v>天将星</v>
          </cell>
        </row>
        <row r="855">
          <cell r="H855" t="str">
            <v>14+31</v>
          </cell>
          <cell r="I855" t="str">
            <v>害</v>
          </cell>
          <cell r="J855" t="str">
            <v>玉堂星</v>
          </cell>
          <cell r="K855" t="str">
            <v>天禄星</v>
          </cell>
        </row>
        <row r="856">
          <cell r="H856" t="str">
            <v>14+32</v>
          </cell>
          <cell r="I856" t="str">
            <v>対冲</v>
          </cell>
          <cell r="J856" t="str">
            <v>龍高星</v>
          </cell>
          <cell r="K856" t="str">
            <v>天南星</v>
          </cell>
        </row>
        <row r="857">
          <cell r="H857" t="str">
            <v>14+33</v>
          </cell>
          <cell r="I857" t="str">
            <v>－</v>
          </cell>
          <cell r="J857" t="str">
            <v>石門星</v>
          </cell>
          <cell r="K857" t="str">
            <v>天恍星</v>
          </cell>
        </row>
        <row r="858">
          <cell r="H858" t="str">
            <v>14+34</v>
          </cell>
          <cell r="I858" t="str">
            <v>大半会</v>
          </cell>
          <cell r="J858" t="str">
            <v>貫索星</v>
          </cell>
          <cell r="K858" t="str">
            <v>天貴星</v>
          </cell>
        </row>
        <row r="859">
          <cell r="H859" t="str">
            <v>14+35</v>
          </cell>
          <cell r="I859" t="str">
            <v>刑</v>
          </cell>
          <cell r="J859" t="str">
            <v>調舒星</v>
          </cell>
          <cell r="K859" t="str">
            <v>天印星</v>
          </cell>
        </row>
        <row r="860">
          <cell r="H860" t="str">
            <v>14+36</v>
          </cell>
          <cell r="I860" t="str">
            <v>準方位</v>
          </cell>
          <cell r="J860" t="str">
            <v>鳳閣星</v>
          </cell>
          <cell r="K860" t="str">
            <v>天報星</v>
          </cell>
        </row>
        <row r="861">
          <cell r="H861" t="str">
            <v>14+37</v>
          </cell>
          <cell r="I861" t="str">
            <v>支合</v>
          </cell>
          <cell r="J861" t="str">
            <v>司禄星</v>
          </cell>
          <cell r="K861" t="str">
            <v>天馳星</v>
          </cell>
        </row>
        <row r="862">
          <cell r="H862" t="str">
            <v>14+38</v>
          </cell>
          <cell r="I862" t="str">
            <v>同</v>
          </cell>
          <cell r="J862" t="str">
            <v>禄存星</v>
          </cell>
          <cell r="K862" t="str">
            <v>天庫星</v>
          </cell>
        </row>
        <row r="863">
          <cell r="H863" t="str">
            <v>14+39</v>
          </cell>
          <cell r="I863" t="str">
            <v>－</v>
          </cell>
          <cell r="J863" t="str">
            <v>牽牛星</v>
          </cell>
          <cell r="K863" t="str">
            <v>天極星</v>
          </cell>
        </row>
        <row r="864">
          <cell r="H864" t="str">
            <v>14+40</v>
          </cell>
          <cell r="I864" t="str">
            <v>－</v>
          </cell>
          <cell r="J864" t="str">
            <v>車騎星</v>
          </cell>
          <cell r="K864" t="str">
            <v>天胡星</v>
          </cell>
        </row>
        <row r="865">
          <cell r="H865" t="str">
            <v>14+41</v>
          </cell>
          <cell r="I865" t="str">
            <v>破</v>
          </cell>
          <cell r="J865" t="str">
            <v>玉堂星</v>
          </cell>
          <cell r="K865" t="str">
            <v>天堂星</v>
          </cell>
        </row>
        <row r="866">
          <cell r="H866" t="str">
            <v>14+42</v>
          </cell>
          <cell r="I866" t="str">
            <v>半会</v>
          </cell>
          <cell r="J866" t="str">
            <v>龍高星</v>
          </cell>
          <cell r="K866" t="str">
            <v>天将星</v>
          </cell>
        </row>
        <row r="867">
          <cell r="H867" t="str">
            <v>14+43</v>
          </cell>
          <cell r="I867" t="str">
            <v>害</v>
          </cell>
          <cell r="J867" t="str">
            <v>石門星</v>
          </cell>
          <cell r="K867" t="str">
            <v>天禄星</v>
          </cell>
        </row>
        <row r="868">
          <cell r="H868" t="str">
            <v>14+44</v>
          </cell>
          <cell r="I868" t="str">
            <v>納音</v>
          </cell>
          <cell r="J868" t="str">
            <v>貫索星</v>
          </cell>
          <cell r="K868" t="str">
            <v>天南星</v>
          </cell>
        </row>
        <row r="869">
          <cell r="H869" t="str">
            <v>14+45</v>
          </cell>
          <cell r="I869" t="str">
            <v>－</v>
          </cell>
          <cell r="J869" t="str">
            <v>調舒星</v>
          </cell>
          <cell r="K869" t="str">
            <v>天恍星</v>
          </cell>
        </row>
        <row r="870">
          <cell r="H870" t="str">
            <v>14+46</v>
          </cell>
          <cell r="I870" t="str">
            <v>半会</v>
          </cell>
          <cell r="J870" t="str">
            <v>鳳閣星</v>
          </cell>
          <cell r="K870" t="str">
            <v>天貴星</v>
          </cell>
        </row>
        <row r="871">
          <cell r="H871" t="str">
            <v>14+47</v>
          </cell>
          <cell r="I871" t="str">
            <v>刑</v>
          </cell>
          <cell r="J871" t="str">
            <v>司禄星</v>
          </cell>
          <cell r="K871" t="str">
            <v>天印星</v>
          </cell>
        </row>
        <row r="872">
          <cell r="H872" t="str">
            <v>14+48</v>
          </cell>
          <cell r="I872" t="str">
            <v>準方位</v>
          </cell>
          <cell r="J872" t="str">
            <v>禄存星</v>
          </cell>
          <cell r="K872" t="str">
            <v>天報星</v>
          </cell>
        </row>
        <row r="873">
          <cell r="H873" t="str">
            <v>14+49</v>
          </cell>
          <cell r="I873" t="str">
            <v>支合</v>
          </cell>
          <cell r="J873" t="str">
            <v>牽牛星</v>
          </cell>
          <cell r="K873" t="str">
            <v>天馳星</v>
          </cell>
        </row>
        <row r="874">
          <cell r="H874" t="str">
            <v>14+50</v>
          </cell>
          <cell r="I874" t="str">
            <v>同</v>
          </cell>
          <cell r="J874" t="str">
            <v>車騎星</v>
          </cell>
          <cell r="K874" t="str">
            <v>天庫星</v>
          </cell>
        </row>
        <row r="875">
          <cell r="H875" t="str">
            <v>14+51</v>
          </cell>
          <cell r="I875" t="str">
            <v>－</v>
          </cell>
          <cell r="J875" t="str">
            <v>玉堂星</v>
          </cell>
          <cell r="K875" t="str">
            <v>天極星</v>
          </cell>
        </row>
        <row r="876">
          <cell r="H876" t="str">
            <v>14+52</v>
          </cell>
          <cell r="I876" t="str">
            <v>－</v>
          </cell>
          <cell r="J876" t="str">
            <v>龍高星</v>
          </cell>
          <cell r="K876" t="str">
            <v>天胡星</v>
          </cell>
        </row>
        <row r="877">
          <cell r="H877" t="str">
            <v>14+53</v>
          </cell>
          <cell r="I877" t="str">
            <v>破</v>
          </cell>
          <cell r="J877" t="str">
            <v>石門星</v>
          </cell>
          <cell r="K877" t="str">
            <v>天堂星</v>
          </cell>
        </row>
        <row r="878">
          <cell r="H878" t="str">
            <v>14+54</v>
          </cell>
          <cell r="I878" t="str">
            <v>大半会</v>
          </cell>
          <cell r="J878" t="str">
            <v>貫索星</v>
          </cell>
          <cell r="K878" t="str">
            <v>天将星</v>
          </cell>
        </row>
        <row r="879">
          <cell r="H879" t="str">
            <v>14+55</v>
          </cell>
          <cell r="I879" t="str">
            <v>害</v>
          </cell>
          <cell r="J879" t="str">
            <v>調舒星</v>
          </cell>
          <cell r="K879" t="str">
            <v>天禄星</v>
          </cell>
        </row>
        <row r="880">
          <cell r="H880" t="str">
            <v>14+56</v>
          </cell>
          <cell r="I880" t="str">
            <v>対冲</v>
          </cell>
          <cell r="J880" t="str">
            <v>鳳閣星</v>
          </cell>
          <cell r="K880" t="str">
            <v>天南星</v>
          </cell>
        </row>
        <row r="881">
          <cell r="H881" t="str">
            <v>14+57</v>
          </cell>
          <cell r="I881" t="str">
            <v>－</v>
          </cell>
          <cell r="J881" t="str">
            <v>司禄星</v>
          </cell>
          <cell r="K881" t="str">
            <v>天恍星</v>
          </cell>
        </row>
        <row r="882">
          <cell r="H882" t="str">
            <v>14+58</v>
          </cell>
          <cell r="I882" t="str">
            <v>半会</v>
          </cell>
          <cell r="J882" t="str">
            <v>禄存星</v>
          </cell>
          <cell r="K882" t="str">
            <v>天貴星</v>
          </cell>
        </row>
        <row r="883">
          <cell r="H883" t="str">
            <v>14+59</v>
          </cell>
          <cell r="I883" t="str">
            <v>刑</v>
          </cell>
          <cell r="J883" t="str">
            <v>牽牛星</v>
          </cell>
          <cell r="K883" t="str">
            <v>天印星</v>
          </cell>
        </row>
        <row r="884">
          <cell r="H884" t="str">
            <v>14+60</v>
          </cell>
          <cell r="I884" t="str">
            <v>準方位</v>
          </cell>
          <cell r="J884" t="str">
            <v>車騎星</v>
          </cell>
          <cell r="K884" t="str">
            <v>天報星</v>
          </cell>
        </row>
        <row r="885">
          <cell r="H885" t="str">
            <v>15+1</v>
          </cell>
          <cell r="I885" t="str">
            <v>－</v>
          </cell>
          <cell r="J885" t="str">
            <v>車騎星</v>
          </cell>
          <cell r="K885" t="str">
            <v>天報星</v>
          </cell>
        </row>
        <row r="886">
          <cell r="H886" t="str">
            <v>15+2</v>
          </cell>
          <cell r="I886" t="str">
            <v>－</v>
          </cell>
          <cell r="J886" t="str">
            <v>牽牛星</v>
          </cell>
          <cell r="K886" t="str">
            <v>天印星</v>
          </cell>
        </row>
        <row r="887">
          <cell r="H887" t="str">
            <v>15+3</v>
          </cell>
          <cell r="I887" t="str">
            <v>同</v>
          </cell>
          <cell r="J887" t="str">
            <v>龍高星</v>
          </cell>
          <cell r="K887" t="str">
            <v>天貴星</v>
          </cell>
        </row>
        <row r="888">
          <cell r="H888" t="str">
            <v>15+4</v>
          </cell>
          <cell r="I888" t="str">
            <v>準方位</v>
          </cell>
          <cell r="J888" t="str">
            <v>玉堂星</v>
          </cell>
          <cell r="K888" t="str">
            <v>天恍星</v>
          </cell>
        </row>
        <row r="889">
          <cell r="H889" t="str">
            <v>15+5</v>
          </cell>
          <cell r="I889" t="str">
            <v>準方位</v>
          </cell>
          <cell r="J889" t="str">
            <v>貫索星</v>
          </cell>
          <cell r="K889" t="str">
            <v>天南星</v>
          </cell>
        </row>
        <row r="890">
          <cell r="H890" t="str">
            <v>15+6</v>
          </cell>
          <cell r="I890" t="str">
            <v>害</v>
          </cell>
          <cell r="J890" t="str">
            <v>石門星</v>
          </cell>
          <cell r="K890" t="str">
            <v>天禄星</v>
          </cell>
        </row>
        <row r="891">
          <cell r="H891" t="str">
            <v>15+7</v>
          </cell>
          <cell r="I891" t="str">
            <v>半会</v>
          </cell>
          <cell r="J891" t="str">
            <v>鳳閣星</v>
          </cell>
          <cell r="K891" t="str">
            <v>天将星</v>
          </cell>
        </row>
        <row r="892">
          <cell r="H892" t="str">
            <v>15+8</v>
          </cell>
          <cell r="I892" t="str">
            <v>－</v>
          </cell>
          <cell r="J892" t="str">
            <v>調舒星</v>
          </cell>
          <cell r="K892" t="str">
            <v>天堂星</v>
          </cell>
        </row>
        <row r="893">
          <cell r="H893" t="str">
            <v>15+9</v>
          </cell>
          <cell r="I893" t="str">
            <v>天剋地冲</v>
          </cell>
          <cell r="J893" t="str">
            <v>禄存星</v>
          </cell>
          <cell r="K893" t="str">
            <v>天胡星</v>
          </cell>
        </row>
        <row r="894">
          <cell r="H894" t="str">
            <v>15+10</v>
          </cell>
          <cell r="I894" t="str">
            <v>－</v>
          </cell>
          <cell r="J894" t="str">
            <v>司禄星</v>
          </cell>
          <cell r="K894" t="str">
            <v>天極星</v>
          </cell>
        </row>
        <row r="895">
          <cell r="H895" t="str">
            <v>15+11</v>
          </cell>
          <cell r="I895" t="str">
            <v>半会</v>
          </cell>
          <cell r="J895" t="str">
            <v>車騎星</v>
          </cell>
          <cell r="K895" t="str">
            <v>天庫星</v>
          </cell>
        </row>
        <row r="896">
          <cell r="H896" t="str">
            <v>15+12</v>
          </cell>
          <cell r="I896" t="str">
            <v>支合</v>
          </cell>
          <cell r="J896" t="str">
            <v>牽牛星</v>
          </cell>
          <cell r="K896" t="str">
            <v>天馳星</v>
          </cell>
        </row>
        <row r="897">
          <cell r="H897" t="str">
            <v>15+13</v>
          </cell>
          <cell r="I897" t="str">
            <v>－</v>
          </cell>
          <cell r="J897" t="str">
            <v>龍高星</v>
          </cell>
          <cell r="K897" t="str">
            <v>天報星</v>
          </cell>
        </row>
        <row r="898">
          <cell r="H898" t="str">
            <v>15+14</v>
          </cell>
          <cell r="I898" t="str">
            <v>－</v>
          </cell>
          <cell r="J898" t="str">
            <v>玉堂星</v>
          </cell>
          <cell r="K898" t="str">
            <v>天印星</v>
          </cell>
        </row>
        <row r="899">
          <cell r="H899" t="str">
            <v>15+15</v>
          </cell>
          <cell r="I899" t="str">
            <v>律音</v>
          </cell>
          <cell r="J899" t="str">
            <v>貫索星</v>
          </cell>
          <cell r="K899" t="str">
            <v>天貴星</v>
          </cell>
        </row>
        <row r="900">
          <cell r="H900" t="str">
            <v>15+16</v>
          </cell>
          <cell r="I900" t="str">
            <v>準方位</v>
          </cell>
          <cell r="J900" t="str">
            <v>石門星</v>
          </cell>
          <cell r="K900" t="str">
            <v>天恍星</v>
          </cell>
        </row>
        <row r="901">
          <cell r="H901" t="str">
            <v>15+17</v>
          </cell>
          <cell r="I901" t="str">
            <v>準方位</v>
          </cell>
          <cell r="J901" t="str">
            <v>鳳閣星</v>
          </cell>
          <cell r="K901" t="str">
            <v>天南星</v>
          </cell>
        </row>
        <row r="902">
          <cell r="H902" t="str">
            <v>15+18</v>
          </cell>
          <cell r="I902" t="str">
            <v>害</v>
          </cell>
          <cell r="J902" t="str">
            <v>調舒星</v>
          </cell>
          <cell r="K902" t="str">
            <v>天禄星</v>
          </cell>
        </row>
        <row r="903">
          <cell r="H903" t="str">
            <v>15+19</v>
          </cell>
          <cell r="I903" t="str">
            <v>半会</v>
          </cell>
          <cell r="J903" t="str">
            <v>禄存星</v>
          </cell>
          <cell r="K903" t="str">
            <v>天将星</v>
          </cell>
        </row>
        <row r="904">
          <cell r="H904" t="str">
            <v>15+20</v>
          </cell>
          <cell r="I904" t="str">
            <v>－</v>
          </cell>
          <cell r="J904" t="str">
            <v>司禄星</v>
          </cell>
          <cell r="K904" t="str">
            <v>天堂星</v>
          </cell>
        </row>
        <row r="905">
          <cell r="H905" t="str">
            <v>15+21</v>
          </cell>
          <cell r="I905" t="str">
            <v>天剋地冲</v>
          </cell>
          <cell r="J905" t="str">
            <v>車騎星</v>
          </cell>
          <cell r="K905" t="str">
            <v>天胡星</v>
          </cell>
        </row>
        <row r="906">
          <cell r="H906" t="str">
            <v>15+22</v>
          </cell>
          <cell r="I906" t="str">
            <v>－</v>
          </cell>
          <cell r="J906" t="str">
            <v>牽牛星</v>
          </cell>
          <cell r="K906" t="str">
            <v>天極星</v>
          </cell>
        </row>
        <row r="907">
          <cell r="H907" t="str">
            <v>15+23</v>
          </cell>
          <cell r="I907" t="str">
            <v>半会</v>
          </cell>
          <cell r="J907" t="str">
            <v>龍高星</v>
          </cell>
          <cell r="K907" t="str">
            <v>天庫星</v>
          </cell>
        </row>
        <row r="908">
          <cell r="H908" t="str">
            <v>15+24</v>
          </cell>
          <cell r="I908" t="str">
            <v>支合</v>
          </cell>
          <cell r="J908" t="str">
            <v>玉堂星</v>
          </cell>
          <cell r="K908" t="str">
            <v>天馳星</v>
          </cell>
        </row>
        <row r="909">
          <cell r="H909" t="str">
            <v>15+25</v>
          </cell>
          <cell r="I909" t="str">
            <v>－</v>
          </cell>
          <cell r="J909" t="str">
            <v>貫索星</v>
          </cell>
          <cell r="K909" t="str">
            <v>天報星</v>
          </cell>
        </row>
        <row r="910">
          <cell r="H910" t="str">
            <v>15+26</v>
          </cell>
          <cell r="I910" t="str">
            <v>－</v>
          </cell>
          <cell r="J910" t="str">
            <v>石門星</v>
          </cell>
          <cell r="K910" t="str">
            <v>天印星</v>
          </cell>
        </row>
        <row r="911">
          <cell r="H911" t="str">
            <v>15+27</v>
          </cell>
          <cell r="I911" t="str">
            <v>同</v>
          </cell>
          <cell r="J911" t="str">
            <v>鳳閣星</v>
          </cell>
          <cell r="K911" t="str">
            <v>天貴星</v>
          </cell>
        </row>
        <row r="912">
          <cell r="H912" t="str">
            <v>15+28</v>
          </cell>
          <cell r="I912" t="str">
            <v>準方位</v>
          </cell>
          <cell r="J912" t="str">
            <v>調舒星</v>
          </cell>
          <cell r="K912" t="str">
            <v>天恍星</v>
          </cell>
        </row>
        <row r="913">
          <cell r="H913" t="str">
            <v>15+29</v>
          </cell>
          <cell r="I913" t="str">
            <v>準方位</v>
          </cell>
          <cell r="J913" t="str">
            <v>禄存星</v>
          </cell>
          <cell r="K913" t="str">
            <v>天南星</v>
          </cell>
        </row>
        <row r="914">
          <cell r="H914" t="str">
            <v>15+30</v>
          </cell>
          <cell r="I914" t="str">
            <v>害</v>
          </cell>
          <cell r="J914" t="str">
            <v>司禄星</v>
          </cell>
          <cell r="K914" t="str">
            <v>天禄星</v>
          </cell>
        </row>
        <row r="915">
          <cell r="H915" t="str">
            <v>15+31</v>
          </cell>
          <cell r="I915" t="str">
            <v>半会</v>
          </cell>
          <cell r="J915" t="str">
            <v>車騎星</v>
          </cell>
          <cell r="K915" t="str">
            <v>天将星</v>
          </cell>
        </row>
        <row r="916">
          <cell r="H916" t="str">
            <v>15+32</v>
          </cell>
          <cell r="I916" t="str">
            <v>－</v>
          </cell>
          <cell r="J916" t="str">
            <v>牽牛星</v>
          </cell>
          <cell r="K916" t="str">
            <v>天堂星</v>
          </cell>
        </row>
        <row r="917">
          <cell r="H917" t="str">
            <v>15+33</v>
          </cell>
          <cell r="I917" t="str">
            <v>対冲</v>
          </cell>
          <cell r="J917" t="str">
            <v>龍高星</v>
          </cell>
          <cell r="K917" t="str">
            <v>天胡星</v>
          </cell>
        </row>
        <row r="918">
          <cell r="H918" t="str">
            <v>15+34</v>
          </cell>
          <cell r="I918" t="str">
            <v>－</v>
          </cell>
          <cell r="J918" t="str">
            <v>玉堂星</v>
          </cell>
          <cell r="K918" t="str">
            <v>天極星</v>
          </cell>
        </row>
        <row r="919">
          <cell r="H919" t="str">
            <v>15+35</v>
          </cell>
          <cell r="I919" t="str">
            <v>大半会</v>
          </cell>
          <cell r="J919" t="str">
            <v>貫索星</v>
          </cell>
          <cell r="K919" t="str">
            <v>天庫星</v>
          </cell>
        </row>
        <row r="920">
          <cell r="H920" t="str">
            <v>15+36</v>
          </cell>
          <cell r="I920" t="str">
            <v>支合</v>
          </cell>
          <cell r="J920" t="str">
            <v>石門星</v>
          </cell>
          <cell r="K920" t="str">
            <v>天馳星</v>
          </cell>
        </row>
        <row r="921">
          <cell r="H921" t="str">
            <v>15+37</v>
          </cell>
          <cell r="I921" t="str">
            <v>－</v>
          </cell>
          <cell r="J921" t="str">
            <v>鳳閣星</v>
          </cell>
          <cell r="K921" t="str">
            <v>天報星</v>
          </cell>
        </row>
        <row r="922">
          <cell r="H922" t="str">
            <v>15+38</v>
          </cell>
          <cell r="I922" t="str">
            <v>－</v>
          </cell>
          <cell r="J922" t="str">
            <v>調舒星</v>
          </cell>
          <cell r="K922" t="str">
            <v>天印星</v>
          </cell>
        </row>
        <row r="923">
          <cell r="H923" t="str">
            <v>15+39</v>
          </cell>
          <cell r="I923" t="str">
            <v>同</v>
          </cell>
          <cell r="J923" t="str">
            <v>禄存星</v>
          </cell>
          <cell r="K923" t="str">
            <v>天貴星</v>
          </cell>
        </row>
        <row r="924">
          <cell r="H924" t="str">
            <v>15+40</v>
          </cell>
          <cell r="I924" t="str">
            <v>準方位</v>
          </cell>
          <cell r="J924" t="str">
            <v>司禄星</v>
          </cell>
          <cell r="K924" t="str">
            <v>天恍星</v>
          </cell>
        </row>
        <row r="925">
          <cell r="H925" t="str">
            <v>15+41</v>
          </cell>
          <cell r="I925" t="str">
            <v>準方位</v>
          </cell>
          <cell r="J925" t="str">
            <v>車騎星</v>
          </cell>
          <cell r="K925" t="str">
            <v>天南星</v>
          </cell>
        </row>
        <row r="926">
          <cell r="H926" t="str">
            <v>15+42</v>
          </cell>
          <cell r="I926" t="str">
            <v>害</v>
          </cell>
          <cell r="J926" t="str">
            <v>牽牛星</v>
          </cell>
          <cell r="K926" t="str">
            <v>天禄星</v>
          </cell>
        </row>
        <row r="927">
          <cell r="H927" t="str">
            <v>15+43</v>
          </cell>
          <cell r="I927" t="str">
            <v>半会</v>
          </cell>
          <cell r="J927" t="str">
            <v>龍高星</v>
          </cell>
          <cell r="K927" t="str">
            <v>天将星</v>
          </cell>
        </row>
        <row r="928">
          <cell r="H928" t="str">
            <v>15+44</v>
          </cell>
          <cell r="I928" t="str">
            <v>－</v>
          </cell>
          <cell r="J928" t="str">
            <v>玉堂星</v>
          </cell>
          <cell r="K928" t="str">
            <v>天堂星</v>
          </cell>
        </row>
        <row r="929">
          <cell r="H929" t="str">
            <v>15+45</v>
          </cell>
          <cell r="I929" t="str">
            <v>納音</v>
          </cell>
          <cell r="J929" t="str">
            <v>貫索星</v>
          </cell>
          <cell r="K929" t="str">
            <v>天胡星</v>
          </cell>
        </row>
        <row r="930">
          <cell r="H930" t="str">
            <v>15+46</v>
          </cell>
          <cell r="I930" t="str">
            <v>－</v>
          </cell>
          <cell r="J930" t="str">
            <v>石門星</v>
          </cell>
          <cell r="K930" t="str">
            <v>天極星</v>
          </cell>
        </row>
        <row r="931">
          <cell r="H931" t="str">
            <v>15+47</v>
          </cell>
          <cell r="I931" t="str">
            <v>半会</v>
          </cell>
          <cell r="J931" t="str">
            <v>鳳閣星</v>
          </cell>
          <cell r="K931" t="str">
            <v>天庫星</v>
          </cell>
        </row>
        <row r="932">
          <cell r="H932" t="str">
            <v>15+48</v>
          </cell>
          <cell r="I932" t="str">
            <v>支合</v>
          </cell>
          <cell r="J932" t="str">
            <v>調舒星</v>
          </cell>
          <cell r="K932" t="str">
            <v>天馳星</v>
          </cell>
        </row>
        <row r="933">
          <cell r="H933" t="str">
            <v>15+49</v>
          </cell>
          <cell r="I933" t="str">
            <v>－</v>
          </cell>
          <cell r="J933" t="str">
            <v>禄存星</v>
          </cell>
          <cell r="K933" t="str">
            <v>天報星</v>
          </cell>
        </row>
        <row r="934">
          <cell r="H934" t="str">
            <v>15+50</v>
          </cell>
          <cell r="I934" t="str">
            <v>－</v>
          </cell>
          <cell r="J934" t="str">
            <v>司禄星</v>
          </cell>
          <cell r="K934" t="str">
            <v>天印星</v>
          </cell>
        </row>
        <row r="935">
          <cell r="H935" t="str">
            <v>15+51</v>
          </cell>
          <cell r="I935" t="str">
            <v>同</v>
          </cell>
          <cell r="J935" t="str">
            <v>車騎星</v>
          </cell>
          <cell r="K935" t="str">
            <v>天貴星</v>
          </cell>
        </row>
        <row r="936">
          <cell r="H936" t="str">
            <v>15+52</v>
          </cell>
          <cell r="I936" t="str">
            <v>準方位</v>
          </cell>
          <cell r="J936" t="str">
            <v>牽牛星</v>
          </cell>
          <cell r="K936" t="str">
            <v>天恍星</v>
          </cell>
        </row>
        <row r="937">
          <cell r="H937" t="str">
            <v>15+53</v>
          </cell>
          <cell r="I937" t="str">
            <v>準方位</v>
          </cell>
          <cell r="J937" t="str">
            <v>龍高星</v>
          </cell>
          <cell r="K937" t="str">
            <v>天南星</v>
          </cell>
        </row>
        <row r="938">
          <cell r="H938" t="str">
            <v>15+54</v>
          </cell>
          <cell r="I938" t="str">
            <v>害</v>
          </cell>
          <cell r="J938" t="str">
            <v>玉堂星</v>
          </cell>
          <cell r="K938" t="str">
            <v>天禄星</v>
          </cell>
        </row>
        <row r="939">
          <cell r="H939" t="str">
            <v>15+55</v>
          </cell>
          <cell r="I939" t="str">
            <v>大半会</v>
          </cell>
          <cell r="J939" t="str">
            <v>貫索星</v>
          </cell>
          <cell r="K939" t="str">
            <v>天将星</v>
          </cell>
        </row>
        <row r="940">
          <cell r="H940" t="str">
            <v>15+56</v>
          </cell>
          <cell r="I940" t="str">
            <v>－</v>
          </cell>
          <cell r="J940" t="str">
            <v>石門星</v>
          </cell>
          <cell r="K940" t="str">
            <v>天堂星</v>
          </cell>
        </row>
        <row r="941">
          <cell r="H941" t="str">
            <v>15+57</v>
          </cell>
          <cell r="I941" t="str">
            <v>対冲</v>
          </cell>
          <cell r="J941" t="str">
            <v>鳳閣星</v>
          </cell>
          <cell r="K941" t="str">
            <v>天胡星</v>
          </cell>
        </row>
        <row r="942">
          <cell r="H942" t="str">
            <v>15+58</v>
          </cell>
          <cell r="I942" t="str">
            <v>－</v>
          </cell>
          <cell r="J942" t="str">
            <v>調舒星</v>
          </cell>
          <cell r="K942" t="str">
            <v>天極星</v>
          </cell>
        </row>
        <row r="943">
          <cell r="H943" t="str">
            <v>15+59</v>
          </cell>
          <cell r="I943" t="str">
            <v>半会</v>
          </cell>
          <cell r="J943" t="str">
            <v>禄存星</v>
          </cell>
          <cell r="K943" t="str">
            <v>天庫星</v>
          </cell>
        </row>
        <row r="944">
          <cell r="H944" t="str">
            <v>15+60</v>
          </cell>
          <cell r="I944" t="str">
            <v>支合</v>
          </cell>
          <cell r="J944" t="str">
            <v>司禄星</v>
          </cell>
          <cell r="K944" t="str">
            <v>天馳星</v>
          </cell>
        </row>
        <row r="945">
          <cell r="H945" t="str">
            <v>16+1</v>
          </cell>
          <cell r="I945" t="str">
            <v>刑</v>
          </cell>
          <cell r="J945" t="str">
            <v>牽牛星</v>
          </cell>
          <cell r="K945" t="str">
            <v>天馳星</v>
          </cell>
        </row>
        <row r="946">
          <cell r="H946" t="str">
            <v>16+2</v>
          </cell>
          <cell r="I946" t="str">
            <v>－</v>
          </cell>
          <cell r="J946" t="str">
            <v>車騎星</v>
          </cell>
          <cell r="K946" t="str">
            <v>天庫星</v>
          </cell>
        </row>
        <row r="947">
          <cell r="H947" t="str">
            <v>16+3</v>
          </cell>
          <cell r="I947" t="str">
            <v>準方位</v>
          </cell>
          <cell r="J947" t="str">
            <v>玉堂星</v>
          </cell>
          <cell r="K947" t="str">
            <v>天極星</v>
          </cell>
        </row>
        <row r="948">
          <cell r="H948" t="str">
            <v>16+4</v>
          </cell>
          <cell r="I948" t="str">
            <v>同</v>
          </cell>
          <cell r="J948" t="str">
            <v>龍高星</v>
          </cell>
          <cell r="K948" t="str">
            <v>天胡星</v>
          </cell>
        </row>
        <row r="949">
          <cell r="H949" t="str">
            <v>16+5</v>
          </cell>
          <cell r="I949" t="str">
            <v>害</v>
          </cell>
          <cell r="J949" t="str">
            <v>石門星</v>
          </cell>
          <cell r="K949" t="str">
            <v>天堂星</v>
          </cell>
        </row>
        <row r="950">
          <cell r="H950" t="str">
            <v>16+6</v>
          </cell>
          <cell r="I950" t="str">
            <v>－</v>
          </cell>
          <cell r="J950" t="str">
            <v>貫索星</v>
          </cell>
          <cell r="K950" t="str">
            <v>天将星</v>
          </cell>
        </row>
        <row r="951">
          <cell r="H951" t="str">
            <v>16+7</v>
          </cell>
          <cell r="I951" t="str">
            <v>破</v>
          </cell>
          <cell r="J951" t="str">
            <v>調舒星</v>
          </cell>
          <cell r="K951" t="str">
            <v>天禄星</v>
          </cell>
        </row>
        <row r="952">
          <cell r="H952" t="str">
            <v>16+8</v>
          </cell>
          <cell r="I952" t="str">
            <v>半会</v>
          </cell>
          <cell r="J952" t="str">
            <v>鳳閣星</v>
          </cell>
          <cell r="K952" t="str">
            <v>天南星</v>
          </cell>
        </row>
        <row r="953">
          <cell r="H953" t="str">
            <v>16+9</v>
          </cell>
          <cell r="I953" t="str">
            <v>－</v>
          </cell>
          <cell r="J953" t="str">
            <v>司禄星</v>
          </cell>
          <cell r="K953" t="str">
            <v>天恍星</v>
          </cell>
        </row>
        <row r="954">
          <cell r="H954" t="str">
            <v>16+10</v>
          </cell>
          <cell r="I954" t="str">
            <v>天剋地冲</v>
          </cell>
          <cell r="J954" t="str">
            <v>禄存星</v>
          </cell>
          <cell r="K954" t="str">
            <v>天貴星</v>
          </cell>
        </row>
        <row r="955">
          <cell r="H955" t="str">
            <v>16+11</v>
          </cell>
          <cell r="I955" t="str">
            <v>支合</v>
          </cell>
          <cell r="J955" t="str">
            <v>牽牛星</v>
          </cell>
          <cell r="K955" t="str">
            <v>天印星</v>
          </cell>
        </row>
        <row r="956">
          <cell r="H956" t="str">
            <v>16+12</v>
          </cell>
          <cell r="I956" t="str">
            <v>半会</v>
          </cell>
          <cell r="J956" t="str">
            <v>車騎星</v>
          </cell>
          <cell r="K956" t="str">
            <v>天報星</v>
          </cell>
        </row>
        <row r="957">
          <cell r="H957" t="str">
            <v>16+13</v>
          </cell>
          <cell r="I957" t="str">
            <v>刑</v>
          </cell>
          <cell r="J957" t="str">
            <v>玉堂星</v>
          </cell>
          <cell r="K957" t="str">
            <v>天馳星</v>
          </cell>
        </row>
        <row r="958">
          <cell r="H958" t="str">
            <v>16+14</v>
          </cell>
          <cell r="I958" t="str">
            <v>－</v>
          </cell>
          <cell r="J958" t="str">
            <v>龍高星</v>
          </cell>
          <cell r="K958" t="str">
            <v>天庫星</v>
          </cell>
        </row>
        <row r="959">
          <cell r="H959" t="str">
            <v>16+15</v>
          </cell>
          <cell r="I959" t="str">
            <v>準方位</v>
          </cell>
          <cell r="J959" t="str">
            <v>石門星</v>
          </cell>
          <cell r="K959" t="str">
            <v>天極星</v>
          </cell>
        </row>
        <row r="960">
          <cell r="H960" t="str">
            <v>16+16</v>
          </cell>
          <cell r="I960" t="str">
            <v>律音</v>
          </cell>
          <cell r="J960" t="str">
            <v>貫索星</v>
          </cell>
          <cell r="K960" t="str">
            <v>天胡星</v>
          </cell>
        </row>
        <row r="961">
          <cell r="H961" t="str">
            <v>16+17</v>
          </cell>
          <cell r="I961" t="str">
            <v>害</v>
          </cell>
          <cell r="J961" t="str">
            <v>調舒星</v>
          </cell>
          <cell r="K961" t="str">
            <v>天堂星</v>
          </cell>
        </row>
        <row r="962">
          <cell r="H962" t="str">
            <v>16+18</v>
          </cell>
          <cell r="I962" t="str">
            <v>－</v>
          </cell>
          <cell r="J962" t="str">
            <v>鳳閣星</v>
          </cell>
          <cell r="K962" t="str">
            <v>天将星</v>
          </cell>
        </row>
        <row r="963">
          <cell r="H963" t="str">
            <v>16+19</v>
          </cell>
          <cell r="I963" t="str">
            <v>破</v>
          </cell>
          <cell r="J963" t="str">
            <v>司禄星</v>
          </cell>
          <cell r="K963" t="str">
            <v>天禄星</v>
          </cell>
        </row>
        <row r="964">
          <cell r="H964" t="str">
            <v>16+20</v>
          </cell>
          <cell r="I964" t="str">
            <v>半会</v>
          </cell>
          <cell r="J964" t="str">
            <v>禄存星</v>
          </cell>
          <cell r="K964" t="str">
            <v>天南星</v>
          </cell>
        </row>
        <row r="965">
          <cell r="H965" t="str">
            <v>16+21</v>
          </cell>
          <cell r="I965" t="str">
            <v>－</v>
          </cell>
          <cell r="J965" t="str">
            <v>牽牛星</v>
          </cell>
          <cell r="K965" t="str">
            <v>天恍星</v>
          </cell>
        </row>
        <row r="966">
          <cell r="H966" t="str">
            <v>16+22</v>
          </cell>
          <cell r="I966" t="str">
            <v>天剋地冲</v>
          </cell>
          <cell r="J966" t="str">
            <v>車騎星</v>
          </cell>
          <cell r="K966" t="str">
            <v>天貴星</v>
          </cell>
        </row>
        <row r="967">
          <cell r="H967" t="str">
            <v>16+23</v>
          </cell>
          <cell r="I967" t="str">
            <v>支合</v>
          </cell>
          <cell r="J967" t="str">
            <v>玉堂星</v>
          </cell>
          <cell r="K967" t="str">
            <v>天印星</v>
          </cell>
        </row>
        <row r="968">
          <cell r="H968" t="str">
            <v>16+24</v>
          </cell>
          <cell r="I968" t="str">
            <v>半会</v>
          </cell>
          <cell r="J968" t="str">
            <v>龍高星</v>
          </cell>
          <cell r="K968" t="str">
            <v>天報星</v>
          </cell>
        </row>
        <row r="969">
          <cell r="H969" t="str">
            <v>16+25</v>
          </cell>
          <cell r="I969" t="str">
            <v>刑</v>
          </cell>
          <cell r="J969" t="str">
            <v>石門星</v>
          </cell>
          <cell r="K969" t="str">
            <v>天馳星</v>
          </cell>
        </row>
        <row r="970">
          <cell r="H970" t="str">
            <v>16+26</v>
          </cell>
          <cell r="I970" t="str">
            <v>－</v>
          </cell>
          <cell r="J970" t="str">
            <v>貫索星</v>
          </cell>
          <cell r="K970" t="str">
            <v>天庫星</v>
          </cell>
        </row>
        <row r="971">
          <cell r="H971" t="str">
            <v>16+27</v>
          </cell>
          <cell r="I971" t="str">
            <v>準方位</v>
          </cell>
          <cell r="J971" t="str">
            <v>調舒星</v>
          </cell>
          <cell r="K971" t="str">
            <v>天極星</v>
          </cell>
        </row>
        <row r="972">
          <cell r="H972" t="str">
            <v>16+28</v>
          </cell>
          <cell r="I972" t="str">
            <v>同</v>
          </cell>
          <cell r="J972" t="str">
            <v>鳳閣星</v>
          </cell>
          <cell r="K972" t="str">
            <v>天胡星</v>
          </cell>
        </row>
        <row r="973">
          <cell r="H973" t="str">
            <v>16+29</v>
          </cell>
          <cell r="I973" t="str">
            <v>害</v>
          </cell>
          <cell r="J973" t="str">
            <v>司禄星</v>
          </cell>
          <cell r="K973" t="str">
            <v>天堂星</v>
          </cell>
        </row>
        <row r="974">
          <cell r="H974" t="str">
            <v>16+30</v>
          </cell>
          <cell r="I974" t="str">
            <v>－</v>
          </cell>
          <cell r="J974" t="str">
            <v>禄存星</v>
          </cell>
          <cell r="K974" t="str">
            <v>天将星</v>
          </cell>
        </row>
        <row r="975">
          <cell r="H975" t="str">
            <v>16+31</v>
          </cell>
          <cell r="I975" t="str">
            <v>破</v>
          </cell>
          <cell r="J975" t="str">
            <v>牽牛星</v>
          </cell>
          <cell r="K975" t="str">
            <v>天禄星</v>
          </cell>
        </row>
        <row r="976">
          <cell r="H976" t="str">
            <v>16+32</v>
          </cell>
          <cell r="I976" t="str">
            <v>半会</v>
          </cell>
          <cell r="J976" t="str">
            <v>車騎星</v>
          </cell>
          <cell r="K976" t="str">
            <v>天南星</v>
          </cell>
        </row>
        <row r="977">
          <cell r="H977" t="str">
            <v>16+33</v>
          </cell>
          <cell r="I977" t="str">
            <v>－</v>
          </cell>
          <cell r="J977" t="str">
            <v>玉堂星</v>
          </cell>
          <cell r="K977" t="str">
            <v>天恍星</v>
          </cell>
        </row>
        <row r="978">
          <cell r="H978" t="str">
            <v>16+34</v>
          </cell>
          <cell r="I978" t="str">
            <v>対冲</v>
          </cell>
          <cell r="J978" t="str">
            <v>龍高星</v>
          </cell>
          <cell r="K978" t="str">
            <v>天貴星</v>
          </cell>
        </row>
        <row r="979">
          <cell r="H979" t="str">
            <v>16+35</v>
          </cell>
          <cell r="I979" t="str">
            <v>支合</v>
          </cell>
          <cell r="J979" t="str">
            <v>石門星</v>
          </cell>
          <cell r="K979" t="str">
            <v>天印星</v>
          </cell>
        </row>
        <row r="980">
          <cell r="H980" t="str">
            <v>16+36</v>
          </cell>
          <cell r="I980" t="str">
            <v>大半会</v>
          </cell>
          <cell r="J980" t="str">
            <v>貫索星</v>
          </cell>
          <cell r="K980" t="str">
            <v>天報星</v>
          </cell>
        </row>
        <row r="981">
          <cell r="H981" t="str">
            <v>16+37</v>
          </cell>
          <cell r="I981" t="str">
            <v>刑</v>
          </cell>
          <cell r="J981" t="str">
            <v>調舒星</v>
          </cell>
          <cell r="K981" t="str">
            <v>天馳星</v>
          </cell>
        </row>
        <row r="982">
          <cell r="H982" t="str">
            <v>16+38</v>
          </cell>
          <cell r="I982" t="str">
            <v>－</v>
          </cell>
          <cell r="J982" t="str">
            <v>鳳閣星</v>
          </cell>
          <cell r="K982" t="str">
            <v>天庫星</v>
          </cell>
        </row>
        <row r="983">
          <cell r="H983" t="str">
            <v>16+39</v>
          </cell>
          <cell r="I983" t="str">
            <v>準方位</v>
          </cell>
          <cell r="J983" t="str">
            <v>司禄星</v>
          </cell>
          <cell r="K983" t="str">
            <v>天極星</v>
          </cell>
        </row>
        <row r="984">
          <cell r="H984" t="str">
            <v>16+40</v>
          </cell>
          <cell r="I984" t="str">
            <v>同</v>
          </cell>
          <cell r="J984" t="str">
            <v>禄存星</v>
          </cell>
          <cell r="K984" t="str">
            <v>天胡星</v>
          </cell>
        </row>
        <row r="985">
          <cell r="H985" t="str">
            <v>16+41</v>
          </cell>
          <cell r="I985" t="str">
            <v>害</v>
          </cell>
          <cell r="J985" t="str">
            <v>牽牛星</v>
          </cell>
          <cell r="K985" t="str">
            <v>天堂星</v>
          </cell>
        </row>
        <row r="986">
          <cell r="H986" t="str">
            <v>16+42</v>
          </cell>
          <cell r="I986" t="str">
            <v>－</v>
          </cell>
          <cell r="J986" t="str">
            <v>車騎星</v>
          </cell>
          <cell r="K986" t="str">
            <v>天将星</v>
          </cell>
        </row>
        <row r="987">
          <cell r="H987" t="str">
            <v>16+43</v>
          </cell>
          <cell r="I987" t="str">
            <v>破</v>
          </cell>
          <cell r="J987" t="str">
            <v>玉堂星</v>
          </cell>
          <cell r="K987" t="str">
            <v>天禄星</v>
          </cell>
        </row>
        <row r="988">
          <cell r="H988" t="str">
            <v>16+44</v>
          </cell>
          <cell r="I988" t="str">
            <v>半会</v>
          </cell>
          <cell r="J988" t="str">
            <v>龍高星</v>
          </cell>
          <cell r="K988" t="str">
            <v>天南星</v>
          </cell>
        </row>
        <row r="989">
          <cell r="H989" t="str">
            <v>16+45</v>
          </cell>
          <cell r="I989" t="str">
            <v>－</v>
          </cell>
          <cell r="J989" t="str">
            <v>石門星</v>
          </cell>
          <cell r="K989" t="str">
            <v>天恍星</v>
          </cell>
        </row>
        <row r="990">
          <cell r="H990" t="str">
            <v>16+46</v>
          </cell>
          <cell r="I990" t="str">
            <v>納音</v>
          </cell>
          <cell r="J990" t="str">
            <v>貫索星</v>
          </cell>
          <cell r="K990" t="str">
            <v>天貴星</v>
          </cell>
        </row>
        <row r="991">
          <cell r="H991" t="str">
            <v>16+47</v>
          </cell>
          <cell r="I991" t="str">
            <v>支合</v>
          </cell>
          <cell r="J991" t="str">
            <v>調舒星</v>
          </cell>
          <cell r="K991" t="str">
            <v>天印星</v>
          </cell>
        </row>
        <row r="992">
          <cell r="H992" t="str">
            <v>16+48</v>
          </cell>
          <cell r="I992" t="str">
            <v>半会</v>
          </cell>
          <cell r="J992" t="str">
            <v>鳳閣星</v>
          </cell>
          <cell r="K992" t="str">
            <v>天報星</v>
          </cell>
        </row>
        <row r="993">
          <cell r="H993" t="str">
            <v>16+49</v>
          </cell>
          <cell r="I993" t="str">
            <v>刑</v>
          </cell>
          <cell r="J993" t="str">
            <v>司禄星</v>
          </cell>
          <cell r="K993" t="str">
            <v>天馳星</v>
          </cell>
        </row>
        <row r="994">
          <cell r="H994" t="str">
            <v>16+50</v>
          </cell>
          <cell r="I994" t="str">
            <v>－</v>
          </cell>
          <cell r="J994" t="str">
            <v>禄存星</v>
          </cell>
          <cell r="K994" t="str">
            <v>天庫星</v>
          </cell>
        </row>
        <row r="995">
          <cell r="H995" t="str">
            <v>16+51</v>
          </cell>
          <cell r="I995" t="str">
            <v>準方位</v>
          </cell>
          <cell r="J995" t="str">
            <v>牽牛星</v>
          </cell>
          <cell r="K995" t="str">
            <v>天極星</v>
          </cell>
        </row>
        <row r="996">
          <cell r="H996" t="str">
            <v>16+52</v>
          </cell>
          <cell r="I996" t="str">
            <v>同</v>
          </cell>
          <cell r="J996" t="str">
            <v>車騎星</v>
          </cell>
          <cell r="K996" t="str">
            <v>天胡星</v>
          </cell>
        </row>
        <row r="997">
          <cell r="H997" t="str">
            <v>16+53</v>
          </cell>
          <cell r="I997" t="str">
            <v>害</v>
          </cell>
          <cell r="J997" t="str">
            <v>玉堂星</v>
          </cell>
          <cell r="K997" t="str">
            <v>天堂星</v>
          </cell>
        </row>
        <row r="998">
          <cell r="H998" t="str">
            <v>16+54</v>
          </cell>
          <cell r="I998" t="str">
            <v>－</v>
          </cell>
          <cell r="J998" t="str">
            <v>龍高星</v>
          </cell>
          <cell r="K998" t="str">
            <v>天将星</v>
          </cell>
        </row>
        <row r="999">
          <cell r="H999" t="str">
            <v>16+55</v>
          </cell>
          <cell r="I999" t="str">
            <v>破</v>
          </cell>
          <cell r="J999" t="str">
            <v>石門星</v>
          </cell>
          <cell r="K999" t="str">
            <v>天禄星</v>
          </cell>
        </row>
        <row r="1000">
          <cell r="H1000" t="str">
            <v>16+56</v>
          </cell>
          <cell r="I1000" t="str">
            <v>大半会</v>
          </cell>
          <cell r="J1000" t="str">
            <v>貫索星</v>
          </cell>
          <cell r="K1000" t="str">
            <v>天南星</v>
          </cell>
        </row>
        <row r="1001">
          <cell r="H1001" t="str">
            <v>16+57</v>
          </cell>
          <cell r="I1001" t="str">
            <v>－</v>
          </cell>
          <cell r="J1001" t="str">
            <v>調舒星</v>
          </cell>
          <cell r="K1001" t="str">
            <v>天恍星</v>
          </cell>
        </row>
        <row r="1002">
          <cell r="H1002" t="str">
            <v>16+58</v>
          </cell>
          <cell r="I1002" t="str">
            <v>対冲</v>
          </cell>
          <cell r="J1002" t="str">
            <v>鳳閣星</v>
          </cell>
          <cell r="K1002" t="str">
            <v>天貴星</v>
          </cell>
        </row>
        <row r="1003">
          <cell r="H1003" t="str">
            <v>16+59</v>
          </cell>
          <cell r="I1003" t="str">
            <v>支合</v>
          </cell>
          <cell r="J1003" t="str">
            <v>司禄星</v>
          </cell>
          <cell r="K1003" t="str">
            <v>天印星</v>
          </cell>
        </row>
        <row r="1004">
          <cell r="H1004" t="str">
            <v>16+60</v>
          </cell>
          <cell r="I1004" t="str">
            <v>半会</v>
          </cell>
          <cell r="J1004" t="str">
            <v>禄存星</v>
          </cell>
          <cell r="K1004" t="str">
            <v>天報星</v>
          </cell>
        </row>
        <row r="1005">
          <cell r="H1005" t="str">
            <v>17+1</v>
          </cell>
          <cell r="I1005" t="str">
            <v>半会</v>
          </cell>
          <cell r="J1005" t="str">
            <v>禄存星</v>
          </cell>
          <cell r="K1005" t="str">
            <v>天極星</v>
          </cell>
        </row>
        <row r="1006">
          <cell r="H1006" t="str">
            <v>17+2</v>
          </cell>
          <cell r="I1006" t="str">
            <v>破</v>
          </cell>
          <cell r="J1006" t="str">
            <v>司禄星</v>
          </cell>
          <cell r="K1006" t="str">
            <v>天庫星</v>
          </cell>
        </row>
        <row r="1007">
          <cell r="H1007" t="str">
            <v>17+3</v>
          </cell>
          <cell r="I1007" t="str">
            <v>準方位</v>
          </cell>
          <cell r="J1007" t="str">
            <v>車騎星</v>
          </cell>
          <cell r="K1007" t="str">
            <v>天馳星</v>
          </cell>
        </row>
        <row r="1008">
          <cell r="H1008" t="str">
            <v>17+4</v>
          </cell>
          <cell r="I1008" t="str">
            <v>害</v>
          </cell>
          <cell r="J1008" t="str">
            <v>牽牛星</v>
          </cell>
          <cell r="K1008" t="str">
            <v>天報星</v>
          </cell>
        </row>
        <row r="1009">
          <cell r="H1009" t="str">
            <v>17+5</v>
          </cell>
          <cell r="I1009" t="str">
            <v>自刑</v>
          </cell>
          <cell r="J1009" t="str">
            <v>龍高星</v>
          </cell>
          <cell r="K1009" t="str">
            <v>天印星</v>
          </cell>
        </row>
        <row r="1010">
          <cell r="H1010" t="str">
            <v>17+6</v>
          </cell>
          <cell r="I1010" t="str">
            <v>－</v>
          </cell>
          <cell r="J1010" t="str">
            <v>玉堂星</v>
          </cell>
          <cell r="K1010" t="str">
            <v>天貴星</v>
          </cell>
        </row>
        <row r="1011">
          <cell r="H1011" t="str">
            <v>17+7</v>
          </cell>
          <cell r="I1011" t="str">
            <v>－</v>
          </cell>
          <cell r="J1011" t="str">
            <v>貫索星</v>
          </cell>
          <cell r="K1011" t="str">
            <v>天恍星</v>
          </cell>
        </row>
        <row r="1012">
          <cell r="H1012" t="str">
            <v>17+8</v>
          </cell>
          <cell r="I1012" t="str">
            <v>－</v>
          </cell>
          <cell r="J1012" t="str">
            <v>石門星</v>
          </cell>
          <cell r="K1012" t="str">
            <v>天南星</v>
          </cell>
        </row>
        <row r="1013">
          <cell r="H1013" t="str">
            <v>17+9</v>
          </cell>
          <cell r="I1013" t="str">
            <v>半会</v>
          </cell>
          <cell r="J1013" t="str">
            <v>鳳閣星</v>
          </cell>
          <cell r="K1013" t="str">
            <v>天禄星</v>
          </cell>
        </row>
        <row r="1014">
          <cell r="H1014" t="str">
            <v>17+10</v>
          </cell>
          <cell r="I1014" t="str">
            <v>支合</v>
          </cell>
          <cell r="J1014" t="str">
            <v>調舒星</v>
          </cell>
          <cell r="K1014" t="str">
            <v>天将星</v>
          </cell>
        </row>
        <row r="1015">
          <cell r="H1015" t="str">
            <v>17+11</v>
          </cell>
          <cell r="I1015" t="str">
            <v>天剋地冲</v>
          </cell>
          <cell r="J1015" t="str">
            <v>禄存星</v>
          </cell>
          <cell r="K1015" t="str">
            <v>天堂星</v>
          </cell>
        </row>
        <row r="1016">
          <cell r="H1016" t="str">
            <v>17+12</v>
          </cell>
          <cell r="I1016" t="str">
            <v>－</v>
          </cell>
          <cell r="J1016" t="str">
            <v>司禄星</v>
          </cell>
          <cell r="K1016" t="str">
            <v>天胡星</v>
          </cell>
        </row>
        <row r="1017">
          <cell r="H1017" t="str">
            <v>17+13</v>
          </cell>
          <cell r="I1017" t="str">
            <v>半会</v>
          </cell>
          <cell r="J1017" t="str">
            <v>車騎星</v>
          </cell>
          <cell r="K1017" t="str">
            <v>天極星</v>
          </cell>
        </row>
        <row r="1018">
          <cell r="H1018" t="str">
            <v>17+14</v>
          </cell>
          <cell r="I1018" t="str">
            <v>破</v>
          </cell>
          <cell r="J1018" t="str">
            <v>牽牛星</v>
          </cell>
          <cell r="K1018" t="str">
            <v>天庫星</v>
          </cell>
        </row>
        <row r="1019">
          <cell r="H1019" t="str">
            <v>17+15</v>
          </cell>
          <cell r="I1019" t="str">
            <v>準方位</v>
          </cell>
          <cell r="J1019" t="str">
            <v>龍高星</v>
          </cell>
          <cell r="K1019" t="str">
            <v>天馳星</v>
          </cell>
        </row>
        <row r="1020">
          <cell r="H1020" t="str">
            <v>17+16</v>
          </cell>
          <cell r="I1020" t="str">
            <v>害</v>
          </cell>
          <cell r="J1020" t="str">
            <v>玉堂星</v>
          </cell>
          <cell r="K1020" t="str">
            <v>天報星</v>
          </cell>
        </row>
        <row r="1021">
          <cell r="H1021" t="str">
            <v>17+17</v>
          </cell>
          <cell r="I1021" t="str">
            <v>律音</v>
          </cell>
          <cell r="J1021" t="str">
            <v>貫索星</v>
          </cell>
          <cell r="K1021" t="str">
            <v>天印星</v>
          </cell>
        </row>
        <row r="1022">
          <cell r="H1022" t="str">
            <v>17+18</v>
          </cell>
          <cell r="I1022" t="str">
            <v>－</v>
          </cell>
          <cell r="J1022" t="str">
            <v>石門星</v>
          </cell>
          <cell r="K1022" t="str">
            <v>天貴星</v>
          </cell>
        </row>
        <row r="1023">
          <cell r="H1023" t="str">
            <v>17+19</v>
          </cell>
          <cell r="I1023" t="str">
            <v>－</v>
          </cell>
          <cell r="J1023" t="str">
            <v>鳳閣星</v>
          </cell>
          <cell r="K1023" t="str">
            <v>天恍星</v>
          </cell>
        </row>
        <row r="1024">
          <cell r="H1024" t="str">
            <v>17+20</v>
          </cell>
          <cell r="I1024" t="str">
            <v>－</v>
          </cell>
          <cell r="J1024" t="str">
            <v>調舒星</v>
          </cell>
          <cell r="K1024" t="str">
            <v>天南星</v>
          </cell>
        </row>
        <row r="1025">
          <cell r="H1025" t="str">
            <v>17+21</v>
          </cell>
          <cell r="I1025" t="str">
            <v>半会</v>
          </cell>
          <cell r="J1025" t="str">
            <v>禄存星</v>
          </cell>
          <cell r="K1025" t="str">
            <v>天禄星</v>
          </cell>
        </row>
        <row r="1026">
          <cell r="H1026" t="str">
            <v>17+22</v>
          </cell>
          <cell r="I1026" t="str">
            <v>支合</v>
          </cell>
          <cell r="J1026" t="str">
            <v>司禄星</v>
          </cell>
          <cell r="K1026" t="str">
            <v>天将星</v>
          </cell>
        </row>
        <row r="1027">
          <cell r="H1027" t="str">
            <v>17+23</v>
          </cell>
          <cell r="I1027" t="str">
            <v>天剋地冲</v>
          </cell>
          <cell r="J1027" t="str">
            <v>車騎星</v>
          </cell>
          <cell r="K1027" t="str">
            <v>天堂星</v>
          </cell>
        </row>
        <row r="1028">
          <cell r="H1028" t="str">
            <v>17+24</v>
          </cell>
          <cell r="I1028" t="str">
            <v>－</v>
          </cell>
          <cell r="J1028" t="str">
            <v>牽牛星</v>
          </cell>
          <cell r="K1028" t="str">
            <v>天胡星</v>
          </cell>
        </row>
        <row r="1029">
          <cell r="H1029" t="str">
            <v>17+25</v>
          </cell>
          <cell r="I1029" t="str">
            <v>半会</v>
          </cell>
          <cell r="J1029" t="str">
            <v>龍高星</v>
          </cell>
          <cell r="K1029" t="str">
            <v>天極星</v>
          </cell>
        </row>
        <row r="1030">
          <cell r="H1030" t="str">
            <v>17+26</v>
          </cell>
          <cell r="I1030" t="str">
            <v>破</v>
          </cell>
          <cell r="J1030" t="str">
            <v>玉堂星</v>
          </cell>
          <cell r="K1030" t="str">
            <v>天庫星</v>
          </cell>
        </row>
        <row r="1031">
          <cell r="H1031" t="str">
            <v>17+27</v>
          </cell>
          <cell r="I1031" t="str">
            <v>準方位</v>
          </cell>
          <cell r="J1031" t="str">
            <v>貫索星</v>
          </cell>
          <cell r="K1031" t="str">
            <v>天馳星</v>
          </cell>
        </row>
        <row r="1032">
          <cell r="H1032" t="str">
            <v>17+28</v>
          </cell>
          <cell r="I1032" t="str">
            <v>害</v>
          </cell>
          <cell r="J1032" t="str">
            <v>石門星</v>
          </cell>
          <cell r="K1032" t="str">
            <v>天報星</v>
          </cell>
        </row>
        <row r="1033">
          <cell r="H1033" t="str">
            <v>17+29</v>
          </cell>
          <cell r="I1033" t="str">
            <v>自刑</v>
          </cell>
          <cell r="J1033" t="str">
            <v>鳳閣星</v>
          </cell>
          <cell r="K1033" t="str">
            <v>天印星</v>
          </cell>
        </row>
        <row r="1034">
          <cell r="H1034" t="str">
            <v>17+30</v>
          </cell>
          <cell r="I1034" t="str">
            <v>－</v>
          </cell>
          <cell r="J1034" t="str">
            <v>調舒星</v>
          </cell>
          <cell r="K1034" t="str">
            <v>天貴星</v>
          </cell>
        </row>
        <row r="1035">
          <cell r="H1035" t="str">
            <v>17+31</v>
          </cell>
          <cell r="I1035" t="str">
            <v>－</v>
          </cell>
          <cell r="J1035" t="str">
            <v>禄存星</v>
          </cell>
          <cell r="K1035" t="str">
            <v>天恍星</v>
          </cell>
        </row>
        <row r="1036">
          <cell r="H1036" t="str">
            <v>17+32</v>
          </cell>
          <cell r="I1036" t="str">
            <v>－</v>
          </cell>
          <cell r="J1036" t="str">
            <v>司禄星</v>
          </cell>
          <cell r="K1036" t="str">
            <v>天南星</v>
          </cell>
        </row>
        <row r="1037">
          <cell r="H1037" t="str">
            <v>17+33</v>
          </cell>
          <cell r="I1037" t="str">
            <v>半会</v>
          </cell>
          <cell r="J1037" t="str">
            <v>車騎星</v>
          </cell>
          <cell r="K1037" t="str">
            <v>天禄星</v>
          </cell>
        </row>
        <row r="1038">
          <cell r="H1038" t="str">
            <v>17+34</v>
          </cell>
          <cell r="I1038" t="str">
            <v>支合</v>
          </cell>
          <cell r="J1038" t="str">
            <v>牽牛星</v>
          </cell>
          <cell r="K1038" t="str">
            <v>天将星</v>
          </cell>
        </row>
        <row r="1039">
          <cell r="H1039" t="str">
            <v>17+35</v>
          </cell>
          <cell r="I1039" t="str">
            <v>対冲</v>
          </cell>
          <cell r="J1039" t="str">
            <v>龍高星</v>
          </cell>
          <cell r="K1039" t="str">
            <v>天堂星</v>
          </cell>
        </row>
        <row r="1040">
          <cell r="H1040" t="str">
            <v>17+36</v>
          </cell>
          <cell r="I1040" t="str">
            <v>－</v>
          </cell>
          <cell r="J1040" t="str">
            <v>玉堂星</v>
          </cell>
          <cell r="K1040" t="str">
            <v>天胡星</v>
          </cell>
        </row>
        <row r="1041">
          <cell r="H1041" t="str">
            <v>17+37</v>
          </cell>
          <cell r="I1041" t="str">
            <v>大半会</v>
          </cell>
          <cell r="J1041" t="str">
            <v>貫索星</v>
          </cell>
          <cell r="K1041" t="str">
            <v>天極星</v>
          </cell>
        </row>
        <row r="1042">
          <cell r="H1042" t="str">
            <v>17+38</v>
          </cell>
          <cell r="I1042" t="str">
            <v>破</v>
          </cell>
          <cell r="J1042" t="str">
            <v>石門星</v>
          </cell>
          <cell r="K1042" t="str">
            <v>天庫星</v>
          </cell>
        </row>
        <row r="1043">
          <cell r="H1043" t="str">
            <v>17+39</v>
          </cell>
          <cell r="I1043" t="str">
            <v>準方位</v>
          </cell>
          <cell r="J1043" t="str">
            <v>鳳閣星</v>
          </cell>
          <cell r="K1043" t="str">
            <v>天馳星</v>
          </cell>
        </row>
        <row r="1044">
          <cell r="H1044" t="str">
            <v>17+40</v>
          </cell>
          <cell r="I1044" t="str">
            <v>害</v>
          </cell>
          <cell r="J1044" t="str">
            <v>調舒星</v>
          </cell>
          <cell r="K1044" t="str">
            <v>天報星</v>
          </cell>
        </row>
        <row r="1045">
          <cell r="H1045" t="str">
            <v>17+41</v>
          </cell>
          <cell r="I1045" t="str">
            <v>自刑</v>
          </cell>
          <cell r="J1045" t="str">
            <v>禄存星</v>
          </cell>
          <cell r="K1045" t="str">
            <v>天印星</v>
          </cell>
        </row>
        <row r="1046">
          <cell r="H1046" t="str">
            <v>17+42</v>
          </cell>
          <cell r="I1046" t="str">
            <v>－</v>
          </cell>
          <cell r="J1046" t="str">
            <v>司禄星</v>
          </cell>
          <cell r="K1046" t="str">
            <v>天貴星</v>
          </cell>
        </row>
        <row r="1047">
          <cell r="H1047" t="str">
            <v>17+43</v>
          </cell>
          <cell r="I1047" t="str">
            <v>－</v>
          </cell>
          <cell r="J1047" t="str">
            <v>車騎星</v>
          </cell>
          <cell r="K1047" t="str">
            <v>天恍星</v>
          </cell>
        </row>
        <row r="1048">
          <cell r="H1048" t="str">
            <v>17+44</v>
          </cell>
          <cell r="I1048" t="str">
            <v>－</v>
          </cell>
          <cell r="J1048" t="str">
            <v>牽牛星</v>
          </cell>
          <cell r="K1048" t="str">
            <v>天南星</v>
          </cell>
        </row>
        <row r="1049">
          <cell r="H1049" t="str">
            <v>17+45</v>
          </cell>
          <cell r="I1049" t="str">
            <v>半会</v>
          </cell>
          <cell r="J1049" t="str">
            <v>龍高星</v>
          </cell>
          <cell r="K1049" t="str">
            <v>天禄星</v>
          </cell>
        </row>
        <row r="1050">
          <cell r="H1050" t="str">
            <v>17+46</v>
          </cell>
          <cell r="I1050" t="str">
            <v>支合</v>
          </cell>
          <cell r="J1050" t="str">
            <v>玉堂星</v>
          </cell>
          <cell r="K1050" t="str">
            <v>天将星</v>
          </cell>
        </row>
        <row r="1051">
          <cell r="H1051" t="str">
            <v>17+47</v>
          </cell>
          <cell r="I1051" t="str">
            <v>納音</v>
          </cell>
          <cell r="J1051" t="str">
            <v>貫索星</v>
          </cell>
          <cell r="K1051" t="str">
            <v>天堂星</v>
          </cell>
        </row>
        <row r="1052">
          <cell r="H1052" t="str">
            <v>17+48</v>
          </cell>
          <cell r="I1052" t="str">
            <v>－</v>
          </cell>
          <cell r="J1052" t="str">
            <v>石門星</v>
          </cell>
          <cell r="K1052" t="str">
            <v>天胡星</v>
          </cell>
        </row>
        <row r="1053">
          <cell r="H1053" t="str">
            <v>17+49</v>
          </cell>
          <cell r="I1053" t="str">
            <v>半会</v>
          </cell>
          <cell r="J1053" t="str">
            <v>鳳閣星</v>
          </cell>
          <cell r="K1053" t="str">
            <v>天極星</v>
          </cell>
        </row>
        <row r="1054">
          <cell r="H1054" t="str">
            <v>17+50</v>
          </cell>
          <cell r="I1054" t="str">
            <v>破</v>
          </cell>
          <cell r="J1054" t="str">
            <v>調舒星</v>
          </cell>
          <cell r="K1054" t="str">
            <v>天庫星</v>
          </cell>
        </row>
        <row r="1055">
          <cell r="H1055" t="str">
            <v>17+51</v>
          </cell>
          <cell r="I1055" t="str">
            <v>準方位</v>
          </cell>
          <cell r="J1055" t="str">
            <v>禄存星</v>
          </cell>
          <cell r="K1055" t="str">
            <v>天馳星</v>
          </cell>
        </row>
        <row r="1056">
          <cell r="H1056" t="str">
            <v>17+52</v>
          </cell>
          <cell r="I1056" t="str">
            <v>害</v>
          </cell>
          <cell r="J1056" t="str">
            <v>司禄星</v>
          </cell>
          <cell r="K1056" t="str">
            <v>天報星</v>
          </cell>
        </row>
        <row r="1057">
          <cell r="H1057" t="str">
            <v>17+53</v>
          </cell>
          <cell r="I1057" t="str">
            <v>自刑</v>
          </cell>
          <cell r="J1057" t="str">
            <v>車騎星</v>
          </cell>
          <cell r="K1057" t="str">
            <v>天印星</v>
          </cell>
        </row>
        <row r="1058">
          <cell r="H1058" t="str">
            <v>17+54</v>
          </cell>
          <cell r="I1058" t="str">
            <v>－</v>
          </cell>
          <cell r="J1058" t="str">
            <v>牽牛星</v>
          </cell>
          <cell r="K1058" t="str">
            <v>天貴星</v>
          </cell>
        </row>
        <row r="1059">
          <cell r="H1059" t="str">
            <v>17+55</v>
          </cell>
          <cell r="I1059" t="str">
            <v>－</v>
          </cell>
          <cell r="J1059" t="str">
            <v>龍高星</v>
          </cell>
          <cell r="K1059" t="str">
            <v>天恍星</v>
          </cell>
        </row>
        <row r="1060">
          <cell r="H1060" t="str">
            <v>17+56</v>
          </cell>
          <cell r="I1060" t="str">
            <v>－</v>
          </cell>
          <cell r="J1060" t="str">
            <v>玉堂星</v>
          </cell>
          <cell r="K1060" t="str">
            <v>天南星</v>
          </cell>
        </row>
        <row r="1061">
          <cell r="H1061" t="str">
            <v>17+57</v>
          </cell>
          <cell r="I1061" t="str">
            <v>大半会</v>
          </cell>
          <cell r="J1061" t="str">
            <v>貫索星</v>
          </cell>
          <cell r="K1061" t="str">
            <v>天禄星</v>
          </cell>
        </row>
        <row r="1062">
          <cell r="H1062" t="str">
            <v>17+58</v>
          </cell>
          <cell r="I1062" t="str">
            <v>支合</v>
          </cell>
          <cell r="J1062" t="str">
            <v>石門星</v>
          </cell>
          <cell r="K1062" t="str">
            <v>天将星</v>
          </cell>
        </row>
        <row r="1063">
          <cell r="H1063" t="str">
            <v>17+59</v>
          </cell>
          <cell r="I1063" t="str">
            <v>対冲</v>
          </cell>
          <cell r="J1063" t="str">
            <v>鳳閣星</v>
          </cell>
          <cell r="K1063" t="str">
            <v>天堂星</v>
          </cell>
        </row>
        <row r="1064">
          <cell r="H1064" t="str">
            <v>17+60</v>
          </cell>
          <cell r="I1064" t="str">
            <v>－</v>
          </cell>
          <cell r="J1064" t="str">
            <v>調舒星</v>
          </cell>
          <cell r="K1064" t="str">
            <v>天胡星</v>
          </cell>
        </row>
        <row r="1065">
          <cell r="H1065" t="str">
            <v>18+1</v>
          </cell>
          <cell r="I1065" t="str">
            <v>－</v>
          </cell>
          <cell r="J1065" t="str">
            <v>司禄星</v>
          </cell>
          <cell r="K1065" t="str">
            <v>天貴星</v>
          </cell>
        </row>
        <row r="1066">
          <cell r="H1066" t="str">
            <v>18+2</v>
          </cell>
          <cell r="I1066" t="str">
            <v>半会</v>
          </cell>
          <cell r="J1066" t="str">
            <v>禄存星</v>
          </cell>
          <cell r="K1066" t="str">
            <v>天印星</v>
          </cell>
        </row>
        <row r="1067">
          <cell r="H1067" t="str">
            <v>18+3</v>
          </cell>
          <cell r="I1067" t="str">
            <v>害</v>
          </cell>
          <cell r="J1067" t="str">
            <v>牽牛星</v>
          </cell>
          <cell r="K1067" t="str">
            <v>天報星</v>
          </cell>
        </row>
        <row r="1068">
          <cell r="H1068" t="str">
            <v>18+4</v>
          </cell>
          <cell r="I1068" t="str">
            <v>－</v>
          </cell>
          <cell r="J1068" t="str">
            <v>車騎星</v>
          </cell>
          <cell r="K1068" t="str">
            <v>天馳星</v>
          </cell>
        </row>
        <row r="1069">
          <cell r="H1069" t="str">
            <v>18+5</v>
          </cell>
          <cell r="I1069" t="str">
            <v>－</v>
          </cell>
          <cell r="J1069" t="str">
            <v>玉堂星</v>
          </cell>
          <cell r="K1069" t="str">
            <v>天庫星</v>
          </cell>
        </row>
        <row r="1070">
          <cell r="H1070" t="str">
            <v>18+6</v>
          </cell>
          <cell r="I1070" t="str">
            <v>同</v>
          </cell>
          <cell r="J1070" t="str">
            <v>龍高星</v>
          </cell>
          <cell r="K1070" t="str">
            <v>天極星</v>
          </cell>
        </row>
        <row r="1071">
          <cell r="H1071" t="str">
            <v>18+7</v>
          </cell>
          <cell r="I1071" t="str">
            <v>準方位</v>
          </cell>
          <cell r="J1071" t="str">
            <v>石門星</v>
          </cell>
          <cell r="K1071" t="str">
            <v>天胡星</v>
          </cell>
        </row>
        <row r="1072">
          <cell r="H1072" t="str">
            <v>18+8</v>
          </cell>
          <cell r="I1072" t="str">
            <v>準方位</v>
          </cell>
          <cell r="J1072" t="str">
            <v>貫索星</v>
          </cell>
          <cell r="K1072" t="str">
            <v>天堂星</v>
          </cell>
        </row>
        <row r="1073">
          <cell r="H1073" t="str">
            <v>18+9</v>
          </cell>
          <cell r="I1073" t="str">
            <v>支合</v>
          </cell>
          <cell r="J1073" t="str">
            <v>調舒星</v>
          </cell>
          <cell r="K1073" t="str">
            <v>天将星</v>
          </cell>
        </row>
        <row r="1074">
          <cell r="H1074" t="str">
            <v>18+10</v>
          </cell>
          <cell r="I1074" t="str">
            <v>半会</v>
          </cell>
          <cell r="J1074" t="str">
            <v>鳳閣星</v>
          </cell>
          <cell r="K1074" t="str">
            <v>天禄星</v>
          </cell>
        </row>
        <row r="1075">
          <cell r="H1075" t="str">
            <v>18+11</v>
          </cell>
          <cell r="I1075" t="str">
            <v>－</v>
          </cell>
          <cell r="J1075" t="str">
            <v>司禄星</v>
          </cell>
          <cell r="K1075" t="str">
            <v>天南星</v>
          </cell>
        </row>
        <row r="1076">
          <cell r="H1076" t="str">
            <v>18+12</v>
          </cell>
          <cell r="I1076" t="str">
            <v>天剋地冲</v>
          </cell>
          <cell r="J1076" t="str">
            <v>禄存星</v>
          </cell>
          <cell r="K1076" t="str">
            <v>天恍星</v>
          </cell>
        </row>
        <row r="1077">
          <cell r="H1077" t="str">
            <v>18+13</v>
          </cell>
          <cell r="I1077" t="str">
            <v>－</v>
          </cell>
          <cell r="J1077" t="str">
            <v>牽牛星</v>
          </cell>
          <cell r="K1077" t="str">
            <v>天貴星</v>
          </cell>
        </row>
        <row r="1078">
          <cell r="H1078" t="str">
            <v>18+14</v>
          </cell>
          <cell r="I1078" t="str">
            <v>半会</v>
          </cell>
          <cell r="J1078" t="str">
            <v>車騎星</v>
          </cell>
          <cell r="K1078" t="str">
            <v>天印星</v>
          </cell>
        </row>
        <row r="1079">
          <cell r="H1079" t="str">
            <v>18+15</v>
          </cell>
          <cell r="I1079" t="str">
            <v>害</v>
          </cell>
          <cell r="J1079" t="str">
            <v>玉堂星</v>
          </cell>
          <cell r="K1079" t="str">
            <v>天報星</v>
          </cell>
        </row>
        <row r="1080">
          <cell r="H1080" t="str">
            <v>18+16</v>
          </cell>
          <cell r="I1080" t="str">
            <v>－</v>
          </cell>
          <cell r="J1080" t="str">
            <v>龍高星</v>
          </cell>
          <cell r="K1080" t="str">
            <v>天馳星</v>
          </cell>
        </row>
        <row r="1081">
          <cell r="H1081" t="str">
            <v>18+17</v>
          </cell>
          <cell r="I1081" t="str">
            <v>－</v>
          </cell>
          <cell r="J1081" t="str">
            <v>石門星</v>
          </cell>
          <cell r="K1081" t="str">
            <v>天庫星</v>
          </cell>
        </row>
        <row r="1082">
          <cell r="H1082" t="str">
            <v>18+18</v>
          </cell>
          <cell r="I1082" t="str">
            <v>律音</v>
          </cell>
          <cell r="J1082" t="str">
            <v>貫索星</v>
          </cell>
          <cell r="K1082" t="str">
            <v>天極星</v>
          </cell>
        </row>
        <row r="1083">
          <cell r="H1083" t="str">
            <v>18+19</v>
          </cell>
          <cell r="I1083" t="str">
            <v>準方位</v>
          </cell>
          <cell r="J1083" t="str">
            <v>調舒星</v>
          </cell>
          <cell r="K1083" t="str">
            <v>天胡星</v>
          </cell>
        </row>
        <row r="1084">
          <cell r="H1084" t="str">
            <v>18+20</v>
          </cell>
          <cell r="I1084" t="str">
            <v>準方位</v>
          </cell>
          <cell r="J1084" t="str">
            <v>鳳閣星</v>
          </cell>
          <cell r="K1084" t="str">
            <v>天堂星</v>
          </cell>
        </row>
        <row r="1085">
          <cell r="H1085" t="str">
            <v>18+21</v>
          </cell>
          <cell r="I1085" t="str">
            <v>支合</v>
          </cell>
          <cell r="J1085" t="str">
            <v>司禄星</v>
          </cell>
          <cell r="K1085" t="str">
            <v>天将星</v>
          </cell>
        </row>
        <row r="1086">
          <cell r="H1086" t="str">
            <v>18+22</v>
          </cell>
          <cell r="I1086" t="str">
            <v>半会</v>
          </cell>
          <cell r="J1086" t="str">
            <v>禄存星</v>
          </cell>
          <cell r="K1086" t="str">
            <v>天禄星</v>
          </cell>
        </row>
        <row r="1087">
          <cell r="H1087" t="str">
            <v>18+23</v>
          </cell>
          <cell r="I1087" t="str">
            <v>－</v>
          </cell>
          <cell r="J1087" t="str">
            <v>牽牛星</v>
          </cell>
          <cell r="K1087" t="str">
            <v>天南星</v>
          </cell>
        </row>
        <row r="1088">
          <cell r="H1088" t="str">
            <v>18+24</v>
          </cell>
          <cell r="I1088" t="str">
            <v>天剋地冲</v>
          </cell>
          <cell r="J1088" t="str">
            <v>車騎星</v>
          </cell>
          <cell r="K1088" t="str">
            <v>天恍星</v>
          </cell>
        </row>
        <row r="1089">
          <cell r="H1089" t="str">
            <v>18+25</v>
          </cell>
          <cell r="I1089" t="str">
            <v>－</v>
          </cell>
          <cell r="J1089" t="str">
            <v>玉堂星</v>
          </cell>
          <cell r="K1089" t="str">
            <v>天貴星</v>
          </cell>
        </row>
        <row r="1090">
          <cell r="H1090" t="str">
            <v>18+26</v>
          </cell>
          <cell r="I1090" t="str">
            <v>半会</v>
          </cell>
          <cell r="J1090" t="str">
            <v>龍高星</v>
          </cell>
          <cell r="K1090" t="str">
            <v>天印星</v>
          </cell>
        </row>
        <row r="1091">
          <cell r="H1091" t="str">
            <v>18+27</v>
          </cell>
          <cell r="I1091" t="str">
            <v>害</v>
          </cell>
          <cell r="J1091" t="str">
            <v>石門星</v>
          </cell>
          <cell r="K1091" t="str">
            <v>天報星</v>
          </cell>
        </row>
        <row r="1092">
          <cell r="H1092" t="str">
            <v>18+28</v>
          </cell>
          <cell r="I1092" t="str">
            <v>－</v>
          </cell>
          <cell r="J1092" t="str">
            <v>貫索星</v>
          </cell>
          <cell r="K1092" t="str">
            <v>天馳星</v>
          </cell>
        </row>
        <row r="1093">
          <cell r="H1093" t="str">
            <v>18+29</v>
          </cell>
          <cell r="I1093" t="str">
            <v>－</v>
          </cell>
          <cell r="J1093" t="str">
            <v>調舒星</v>
          </cell>
          <cell r="K1093" t="str">
            <v>天庫星</v>
          </cell>
        </row>
        <row r="1094">
          <cell r="H1094" t="str">
            <v>18+30</v>
          </cell>
          <cell r="I1094" t="str">
            <v>同</v>
          </cell>
          <cell r="J1094" t="str">
            <v>鳳閣星</v>
          </cell>
          <cell r="K1094" t="str">
            <v>天極星</v>
          </cell>
        </row>
        <row r="1095">
          <cell r="H1095" t="str">
            <v>18+31</v>
          </cell>
          <cell r="I1095" t="str">
            <v>準方位</v>
          </cell>
          <cell r="J1095" t="str">
            <v>司禄星</v>
          </cell>
          <cell r="K1095" t="str">
            <v>天胡星</v>
          </cell>
        </row>
        <row r="1096">
          <cell r="H1096" t="str">
            <v>18+32</v>
          </cell>
          <cell r="I1096" t="str">
            <v>準方位</v>
          </cell>
          <cell r="J1096" t="str">
            <v>禄存星</v>
          </cell>
          <cell r="K1096" t="str">
            <v>天堂星</v>
          </cell>
        </row>
        <row r="1097">
          <cell r="H1097" t="str">
            <v>18+33</v>
          </cell>
          <cell r="I1097" t="str">
            <v>支合</v>
          </cell>
          <cell r="J1097" t="str">
            <v>牽牛星</v>
          </cell>
          <cell r="K1097" t="str">
            <v>天将星</v>
          </cell>
        </row>
        <row r="1098">
          <cell r="H1098" t="str">
            <v>18+34</v>
          </cell>
          <cell r="I1098" t="str">
            <v>半会</v>
          </cell>
          <cell r="J1098" t="str">
            <v>車騎星</v>
          </cell>
          <cell r="K1098" t="str">
            <v>天禄星</v>
          </cell>
        </row>
        <row r="1099">
          <cell r="H1099" t="str">
            <v>18+35</v>
          </cell>
          <cell r="I1099" t="str">
            <v>－</v>
          </cell>
          <cell r="J1099" t="str">
            <v>玉堂星</v>
          </cell>
          <cell r="K1099" t="str">
            <v>天南星</v>
          </cell>
        </row>
        <row r="1100">
          <cell r="H1100" t="str">
            <v>18+36</v>
          </cell>
          <cell r="I1100" t="str">
            <v>対冲</v>
          </cell>
          <cell r="J1100" t="str">
            <v>龍高星</v>
          </cell>
          <cell r="K1100" t="str">
            <v>天恍星</v>
          </cell>
        </row>
        <row r="1101">
          <cell r="H1101" t="str">
            <v>18+37</v>
          </cell>
          <cell r="I1101" t="str">
            <v>－</v>
          </cell>
          <cell r="J1101" t="str">
            <v>石門星</v>
          </cell>
          <cell r="K1101" t="str">
            <v>天貴星</v>
          </cell>
        </row>
        <row r="1102">
          <cell r="H1102" t="str">
            <v>18+38</v>
          </cell>
          <cell r="I1102" t="str">
            <v>大半会</v>
          </cell>
          <cell r="J1102" t="str">
            <v>貫索星</v>
          </cell>
          <cell r="K1102" t="str">
            <v>天印星</v>
          </cell>
        </row>
        <row r="1103">
          <cell r="H1103" t="str">
            <v>18+39</v>
          </cell>
          <cell r="I1103" t="str">
            <v>害</v>
          </cell>
          <cell r="J1103" t="str">
            <v>調舒星</v>
          </cell>
          <cell r="K1103" t="str">
            <v>天報星</v>
          </cell>
        </row>
        <row r="1104">
          <cell r="H1104" t="str">
            <v>18+40</v>
          </cell>
          <cell r="I1104" t="str">
            <v>－</v>
          </cell>
          <cell r="J1104" t="str">
            <v>鳳閣星</v>
          </cell>
          <cell r="K1104" t="str">
            <v>天馳星</v>
          </cell>
        </row>
        <row r="1105">
          <cell r="H1105" t="str">
            <v>18+41</v>
          </cell>
          <cell r="I1105" t="str">
            <v>－</v>
          </cell>
          <cell r="J1105" t="str">
            <v>司禄星</v>
          </cell>
          <cell r="K1105" t="str">
            <v>天庫星</v>
          </cell>
        </row>
        <row r="1106">
          <cell r="H1106" t="str">
            <v>18+42</v>
          </cell>
          <cell r="I1106" t="str">
            <v>同</v>
          </cell>
          <cell r="J1106" t="str">
            <v>禄存星</v>
          </cell>
          <cell r="K1106" t="str">
            <v>天極星</v>
          </cell>
        </row>
        <row r="1107">
          <cell r="H1107" t="str">
            <v>18+43</v>
          </cell>
          <cell r="I1107" t="str">
            <v>準方位</v>
          </cell>
          <cell r="J1107" t="str">
            <v>牽牛星</v>
          </cell>
          <cell r="K1107" t="str">
            <v>天胡星</v>
          </cell>
        </row>
        <row r="1108">
          <cell r="H1108" t="str">
            <v>18+44</v>
          </cell>
          <cell r="I1108" t="str">
            <v>準方位</v>
          </cell>
          <cell r="J1108" t="str">
            <v>車騎星</v>
          </cell>
          <cell r="K1108" t="str">
            <v>天堂星</v>
          </cell>
        </row>
        <row r="1109">
          <cell r="H1109" t="str">
            <v>18+45</v>
          </cell>
          <cell r="I1109" t="str">
            <v>支合</v>
          </cell>
          <cell r="J1109" t="str">
            <v>玉堂星</v>
          </cell>
          <cell r="K1109" t="str">
            <v>天将星</v>
          </cell>
        </row>
        <row r="1110">
          <cell r="H1110" t="str">
            <v>18+46</v>
          </cell>
          <cell r="I1110" t="str">
            <v>半会</v>
          </cell>
          <cell r="J1110" t="str">
            <v>龍高星</v>
          </cell>
          <cell r="K1110" t="str">
            <v>天禄星</v>
          </cell>
        </row>
        <row r="1111">
          <cell r="H1111" t="str">
            <v>18+47</v>
          </cell>
          <cell r="I1111" t="str">
            <v>－</v>
          </cell>
          <cell r="J1111" t="str">
            <v>石門星</v>
          </cell>
          <cell r="K1111" t="str">
            <v>天南星</v>
          </cell>
        </row>
        <row r="1112">
          <cell r="H1112" t="str">
            <v>18+48</v>
          </cell>
          <cell r="I1112" t="str">
            <v>納音</v>
          </cell>
          <cell r="J1112" t="str">
            <v>貫索星</v>
          </cell>
          <cell r="K1112" t="str">
            <v>天恍星</v>
          </cell>
        </row>
        <row r="1113">
          <cell r="H1113" t="str">
            <v>18+49</v>
          </cell>
          <cell r="I1113" t="str">
            <v>－</v>
          </cell>
          <cell r="J1113" t="str">
            <v>調舒星</v>
          </cell>
          <cell r="K1113" t="str">
            <v>天貴星</v>
          </cell>
        </row>
        <row r="1114">
          <cell r="H1114" t="str">
            <v>18+50</v>
          </cell>
          <cell r="I1114" t="str">
            <v>半会</v>
          </cell>
          <cell r="J1114" t="str">
            <v>鳳閣星</v>
          </cell>
          <cell r="K1114" t="str">
            <v>天印星</v>
          </cell>
        </row>
        <row r="1115">
          <cell r="H1115" t="str">
            <v>18+51</v>
          </cell>
          <cell r="I1115" t="str">
            <v>害</v>
          </cell>
          <cell r="J1115" t="str">
            <v>司禄星</v>
          </cell>
          <cell r="K1115" t="str">
            <v>天報星</v>
          </cell>
        </row>
        <row r="1116">
          <cell r="H1116" t="str">
            <v>18+52</v>
          </cell>
          <cell r="I1116" t="str">
            <v>－</v>
          </cell>
          <cell r="J1116" t="str">
            <v>禄存星</v>
          </cell>
          <cell r="K1116" t="str">
            <v>天馳星</v>
          </cell>
        </row>
        <row r="1117">
          <cell r="H1117" t="str">
            <v>18+53</v>
          </cell>
          <cell r="I1117" t="str">
            <v>－</v>
          </cell>
          <cell r="J1117" t="str">
            <v>牽牛星</v>
          </cell>
          <cell r="K1117" t="str">
            <v>天庫星</v>
          </cell>
        </row>
        <row r="1118">
          <cell r="H1118" t="str">
            <v>18+54</v>
          </cell>
          <cell r="I1118" t="str">
            <v>同</v>
          </cell>
          <cell r="J1118" t="str">
            <v>車騎星</v>
          </cell>
          <cell r="K1118" t="str">
            <v>天極星</v>
          </cell>
        </row>
        <row r="1119">
          <cell r="H1119" t="str">
            <v>18+55</v>
          </cell>
          <cell r="I1119" t="str">
            <v>準方位</v>
          </cell>
          <cell r="J1119" t="str">
            <v>玉堂星</v>
          </cell>
          <cell r="K1119" t="str">
            <v>天胡星</v>
          </cell>
        </row>
        <row r="1120">
          <cell r="H1120" t="str">
            <v>18+56</v>
          </cell>
          <cell r="I1120" t="str">
            <v>準方位</v>
          </cell>
          <cell r="J1120" t="str">
            <v>龍高星</v>
          </cell>
          <cell r="K1120" t="str">
            <v>天堂星</v>
          </cell>
        </row>
        <row r="1121">
          <cell r="H1121" t="str">
            <v>18+57</v>
          </cell>
          <cell r="I1121" t="str">
            <v>支合</v>
          </cell>
          <cell r="J1121" t="str">
            <v>石門星</v>
          </cell>
          <cell r="K1121" t="str">
            <v>天将星</v>
          </cell>
        </row>
        <row r="1122">
          <cell r="H1122" t="str">
            <v>18+58</v>
          </cell>
          <cell r="I1122" t="str">
            <v>大半会</v>
          </cell>
          <cell r="J1122" t="str">
            <v>貫索星</v>
          </cell>
          <cell r="K1122" t="str">
            <v>天禄星</v>
          </cell>
        </row>
        <row r="1123">
          <cell r="H1123" t="str">
            <v>18+59</v>
          </cell>
          <cell r="I1123" t="str">
            <v>－</v>
          </cell>
          <cell r="J1123" t="str">
            <v>調舒星</v>
          </cell>
          <cell r="K1123" t="str">
            <v>天南星</v>
          </cell>
        </row>
        <row r="1124">
          <cell r="H1124" t="str">
            <v>18+60</v>
          </cell>
          <cell r="I1124" t="str">
            <v>対冲</v>
          </cell>
          <cell r="J1124" t="str">
            <v>鳳閣星</v>
          </cell>
          <cell r="K1124" t="str">
            <v>天恍星</v>
          </cell>
        </row>
        <row r="1125">
          <cell r="H1125" t="str">
            <v>19+1</v>
          </cell>
          <cell r="I1125" t="str">
            <v>対冲</v>
          </cell>
          <cell r="J1125" t="str">
            <v>鳳閣星</v>
          </cell>
          <cell r="K1125" t="str">
            <v>天将星</v>
          </cell>
        </row>
        <row r="1126">
          <cell r="H1126" t="str">
            <v>19+2</v>
          </cell>
          <cell r="I1126" t="str">
            <v>害</v>
          </cell>
          <cell r="J1126" t="str">
            <v>調舒星</v>
          </cell>
          <cell r="K1126" t="str">
            <v>天堂星</v>
          </cell>
        </row>
        <row r="1127">
          <cell r="H1127" t="str">
            <v>19+3</v>
          </cell>
          <cell r="I1127" t="str">
            <v>半会</v>
          </cell>
          <cell r="J1127" t="str">
            <v>禄存星</v>
          </cell>
          <cell r="K1127" t="str">
            <v>天胡星</v>
          </cell>
        </row>
        <row r="1128">
          <cell r="H1128" t="str">
            <v>19+4</v>
          </cell>
          <cell r="I1128" t="str">
            <v>破</v>
          </cell>
          <cell r="J1128" t="str">
            <v>司禄星</v>
          </cell>
          <cell r="K1128" t="str">
            <v>天極星</v>
          </cell>
        </row>
        <row r="1129">
          <cell r="H1129" t="str">
            <v>19+5</v>
          </cell>
          <cell r="I1129" t="str">
            <v>－</v>
          </cell>
          <cell r="J1129" t="str">
            <v>車騎星</v>
          </cell>
          <cell r="K1129" t="str">
            <v>天庫星</v>
          </cell>
        </row>
        <row r="1130">
          <cell r="H1130" t="str">
            <v>19+6</v>
          </cell>
          <cell r="I1130" t="str">
            <v>準方位</v>
          </cell>
          <cell r="J1130" t="str">
            <v>牽牛星</v>
          </cell>
          <cell r="K1130" t="str">
            <v>天馳星</v>
          </cell>
        </row>
        <row r="1131">
          <cell r="H1131" t="str">
            <v>19+7</v>
          </cell>
          <cell r="I1131" t="str">
            <v>自刑</v>
          </cell>
          <cell r="J1131" t="str">
            <v>龍高星</v>
          </cell>
          <cell r="K1131" t="str">
            <v>天報星</v>
          </cell>
        </row>
        <row r="1132">
          <cell r="H1132" t="str">
            <v>19+8</v>
          </cell>
          <cell r="I1132" t="str">
            <v>支合</v>
          </cell>
          <cell r="J1132" t="str">
            <v>玉堂星</v>
          </cell>
          <cell r="K1132" t="str">
            <v>天印星</v>
          </cell>
        </row>
        <row r="1133">
          <cell r="H1133" t="str">
            <v>19+9</v>
          </cell>
          <cell r="I1133" t="str">
            <v>－</v>
          </cell>
          <cell r="J1133" t="str">
            <v>貫索星</v>
          </cell>
          <cell r="K1133" t="str">
            <v>天貴星</v>
          </cell>
        </row>
        <row r="1134">
          <cell r="H1134" t="str">
            <v>19+10</v>
          </cell>
          <cell r="I1134" t="str">
            <v>－</v>
          </cell>
          <cell r="J1134" t="str">
            <v>石門星</v>
          </cell>
          <cell r="K1134" t="str">
            <v>天恍星</v>
          </cell>
        </row>
        <row r="1135">
          <cell r="H1135" t="str">
            <v>19+11</v>
          </cell>
          <cell r="I1135" t="str">
            <v>半会</v>
          </cell>
          <cell r="J1135" t="str">
            <v>鳳閣星</v>
          </cell>
          <cell r="K1135" t="str">
            <v>天南星</v>
          </cell>
        </row>
        <row r="1136">
          <cell r="H1136" t="str">
            <v>19+12</v>
          </cell>
          <cell r="I1136" t="str">
            <v>－</v>
          </cell>
          <cell r="J1136" t="str">
            <v>調舒星</v>
          </cell>
          <cell r="K1136" t="str">
            <v>天禄星</v>
          </cell>
        </row>
        <row r="1137">
          <cell r="H1137" t="str">
            <v>19+13</v>
          </cell>
          <cell r="I1137" t="str">
            <v>天剋地冲</v>
          </cell>
          <cell r="J1137" t="str">
            <v>禄存星</v>
          </cell>
          <cell r="K1137" t="str">
            <v>天将星</v>
          </cell>
        </row>
        <row r="1138">
          <cell r="H1138" t="str">
            <v>19+14</v>
          </cell>
          <cell r="I1138" t="str">
            <v>害</v>
          </cell>
          <cell r="J1138" t="str">
            <v>司禄星</v>
          </cell>
          <cell r="K1138" t="str">
            <v>天堂星</v>
          </cell>
        </row>
        <row r="1139">
          <cell r="H1139" t="str">
            <v>19+15</v>
          </cell>
          <cell r="I1139" t="str">
            <v>半会</v>
          </cell>
          <cell r="J1139" t="str">
            <v>車騎星</v>
          </cell>
          <cell r="K1139" t="str">
            <v>天胡星</v>
          </cell>
        </row>
        <row r="1140">
          <cell r="H1140" t="str">
            <v>19+16</v>
          </cell>
          <cell r="I1140" t="str">
            <v>破</v>
          </cell>
          <cell r="J1140" t="str">
            <v>牽牛星</v>
          </cell>
          <cell r="K1140" t="str">
            <v>天極星</v>
          </cell>
        </row>
        <row r="1141">
          <cell r="H1141" t="str">
            <v>19+17</v>
          </cell>
          <cell r="I1141" t="str">
            <v>－</v>
          </cell>
          <cell r="J1141" t="str">
            <v>龍高星</v>
          </cell>
          <cell r="K1141" t="str">
            <v>天庫星</v>
          </cell>
        </row>
        <row r="1142">
          <cell r="H1142" t="str">
            <v>19+18</v>
          </cell>
          <cell r="I1142" t="str">
            <v>準方位</v>
          </cell>
          <cell r="J1142" t="str">
            <v>玉堂星</v>
          </cell>
          <cell r="K1142" t="str">
            <v>天馳星</v>
          </cell>
        </row>
        <row r="1143">
          <cell r="H1143" t="str">
            <v>19+19</v>
          </cell>
          <cell r="I1143" t="str">
            <v>律音</v>
          </cell>
          <cell r="J1143" t="str">
            <v>貫索星</v>
          </cell>
          <cell r="K1143" t="str">
            <v>天報星</v>
          </cell>
        </row>
        <row r="1144">
          <cell r="H1144" t="str">
            <v>19+20</v>
          </cell>
          <cell r="I1144" t="str">
            <v>支合</v>
          </cell>
          <cell r="J1144" t="str">
            <v>石門星</v>
          </cell>
          <cell r="K1144" t="str">
            <v>天印星</v>
          </cell>
        </row>
        <row r="1145">
          <cell r="H1145" t="str">
            <v>19+21</v>
          </cell>
          <cell r="I1145" t="str">
            <v>－</v>
          </cell>
          <cell r="J1145" t="str">
            <v>鳳閣星</v>
          </cell>
          <cell r="K1145" t="str">
            <v>天貴星</v>
          </cell>
        </row>
        <row r="1146">
          <cell r="H1146" t="str">
            <v>19+22</v>
          </cell>
          <cell r="I1146" t="str">
            <v>－</v>
          </cell>
          <cell r="J1146" t="str">
            <v>調舒星</v>
          </cell>
          <cell r="K1146" t="str">
            <v>天恍星</v>
          </cell>
        </row>
        <row r="1147">
          <cell r="H1147" t="str">
            <v>19+23</v>
          </cell>
          <cell r="I1147" t="str">
            <v>半会</v>
          </cell>
          <cell r="J1147" t="str">
            <v>禄存星</v>
          </cell>
          <cell r="K1147" t="str">
            <v>天南星</v>
          </cell>
        </row>
        <row r="1148">
          <cell r="H1148" t="str">
            <v>19+24</v>
          </cell>
          <cell r="I1148" t="str">
            <v>－</v>
          </cell>
          <cell r="J1148" t="str">
            <v>司禄星</v>
          </cell>
          <cell r="K1148" t="str">
            <v>天禄星</v>
          </cell>
        </row>
        <row r="1149">
          <cell r="H1149" t="str">
            <v>19+25</v>
          </cell>
          <cell r="I1149" t="str">
            <v>天剋地冲</v>
          </cell>
          <cell r="J1149" t="str">
            <v>車騎星</v>
          </cell>
          <cell r="K1149" t="str">
            <v>天将星</v>
          </cell>
        </row>
        <row r="1150">
          <cell r="H1150" t="str">
            <v>19+26</v>
          </cell>
          <cell r="I1150" t="str">
            <v>害</v>
          </cell>
          <cell r="J1150" t="str">
            <v>牽牛星</v>
          </cell>
          <cell r="K1150" t="str">
            <v>天堂星</v>
          </cell>
        </row>
        <row r="1151">
          <cell r="H1151" t="str">
            <v>19+27</v>
          </cell>
          <cell r="I1151" t="str">
            <v>半会</v>
          </cell>
          <cell r="J1151" t="str">
            <v>龍高星</v>
          </cell>
          <cell r="K1151" t="str">
            <v>天胡星</v>
          </cell>
        </row>
        <row r="1152">
          <cell r="H1152" t="str">
            <v>19+28</v>
          </cell>
          <cell r="I1152" t="str">
            <v>破</v>
          </cell>
          <cell r="J1152" t="str">
            <v>玉堂星</v>
          </cell>
          <cell r="K1152" t="str">
            <v>天極星</v>
          </cell>
        </row>
        <row r="1153">
          <cell r="H1153" t="str">
            <v>19+29</v>
          </cell>
          <cell r="I1153" t="str">
            <v>－</v>
          </cell>
          <cell r="J1153" t="str">
            <v>貫索星</v>
          </cell>
          <cell r="K1153" t="str">
            <v>天庫星</v>
          </cell>
        </row>
        <row r="1154">
          <cell r="H1154" t="str">
            <v>19+30</v>
          </cell>
          <cell r="I1154" t="str">
            <v>準方位</v>
          </cell>
          <cell r="J1154" t="str">
            <v>石門星</v>
          </cell>
          <cell r="K1154" t="str">
            <v>天馳星</v>
          </cell>
        </row>
        <row r="1155">
          <cell r="H1155" t="str">
            <v>19+31</v>
          </cell>
          <cell r="I1155" t="str">
            <v>自刑</v>
          </cell>
          <cell r="J1155" t="str">
            <v>鳳閣星</v>
          </cell>
          <cell r="K1155" t="str">
            <v>天報星</v>
          </cell>
        </row>
        <row r="1156">
          <cell r="H1156" t="str">
            <v>19+32</v>
          </cell>
          <cell r="I1156" t="str">
            <v>支合</v>
          </cell>
          <cell r="J1156" t="str">
            <v>調舒星</v>
          </cell>
          <cell r="K1156" t="str">
            <v>天印星</v>
          </cell>
        </row>
        <row r="1157">
          <cell r="H1157" t="str">
            <v>19+33</v>
          </cell>
          <cell r="I1157" t="str">
            <v>－</v>
          </cell>
          <cell r="J1157" t="str">
            <v>禄存星</v>
          </cell>
          <cell r="K1157" t="str">
            <v>天貴星</v>
          </cell>
        </row>
        <row r="1158">
          <cell r="H1158" t="str">
            <v>19+34</v>
          </cell>
          <cell r="I1158" t="str">
            <v>－</v>
          </cell>
          <cell r="J1158" t="str">
            <v>司禄星</v>
          </cell>
          <cell r="K1158" t="str">
            <v>天恍星</v>
          </cell>
        </row>
        <row r="1159">
          <cell r="H1159" t="str">
            <v>19+35</v>
          </cell>
          <cell r="I1159" t="str">
            <v>半会</v>
          </cell>
          <cell r="J1159" t="str">
            <v>車騎星</v>
          </cell>
          <cell r="K1159" t="str">
            <v>天南星</v>
          </cell>
        </row>
        <row r="1160">
          <cell r="H1160" t="str">
            <v>19+36</v>
          </cell>
          <cell r="I1160" t="str">
            <v>－</v>
          </cell>
          <cell r="J1160" t="str">
            <v>牽牛星</v>
          </cell>
          <cell r="K1160" t="str">
            <v>天禄星</v>
          </cell>
        </row>
        <row r="1161">
          <cell r="H1161" t="str">
            <v>19+37</v>
          </cell>
          <cell r="I1161" t="str">
            <v>対冲</v>
          </cell>
          <cell r="J1161" t="str">
            <v>龍高星</v>
          </cell>
          <cell r="K1161" t="str">
            <v>天将星</v>
          </cell>
        </row>
        <row r="1162">
          <cell r="H1162" t="str">
            <v>19+38</v>
          </cell>
          <cell r="I1162" t="str">
            <v>害</v>
          </cell>
          <cell r="J1162" t="str">
            <v>玉堂星</v>
          </cell>
          <cell r="K1162" t="str">
            <v>天堂星</v>
          </cell>
        </row>
        <row r="1163">
          <cell r="H1163" t="str">
            <v>19+39</v>
          </cell>
          <cell r="I1163" t="str">
            <v>大半会</v>
          </cell>
          <cell r="J1163" t="str">
            <v>貫索星</v>
          </cell>
          <cell r="K1163" t="str">
            <v>天胡星</v>
          </cell>
        </row>
        <row r="1164">
          <cell r="H1164" t="str">
            <v>19+40</v>
          </cell>
          <cell r="I1164" t="str">
            <v>破</v>
          </cell>
          <cell r="J1164" t="str">
            <v>石門星</v>
          </cell>
          <cell r="K1164" t="str">
            <v>天極星</v>
          </cell>
        </row>
        <row r="1165">
          <cell r="H1165" t="str">
            <v>19+41</v>
          </cell>
          <cell r="I1165" t="str">
            <v>－</v>
          </cell>
          <cell r="J1165" t="str">
            <v>鳳閣星</v>
          </cell>
          <cell r="K1165" t="str">
            <v>天庫星</v>
          </cell>
        </row>
        <row r="1166">
          <cell r="H1166" t="str">
            <v>19+42</v>
          </cell>
          <cell r="I1166" t="str">
            <v>準方位</v>
          </cell>
          <cell r="J1166" t="str">
            <v>調舒星</v>
          </cell>
          <cell r="K1166" t="str">
            <v>天馳星</v>
          </cell>
        </row>
        <row r="1167">
          <cell r="H1167" t="str">
            <v>19+43</v>
          </cell>
          <cell r="I1167" t="str">
            <v>自刑</v>
          </cell>
          <cell r="J1167" t="str">
            <v>禄存星</v>
          </cell>
          <cell r="K1167" t="str">
            <v>天報星</v>
          </cell>
        </row>
        <row r="1168">
          <cell r="H1168" t="str">
            <v>19+44</v>
          </cell>
          <cell r="I1168" t="str">
            <v>支合</v>
          </cell>
          <cell r="J1168" t="str">
            <v>司禄星</v>
          </cell>
          <cell r="K1168" t="str">
            <v>天印星</v>
          </cell>
        </row>
        <row r="1169">
          <cell r="H1169" t="str">
            <v>19+45</v>
          </cell>
          <cell r="I1169" t="str">
            <v>－</v>
          </cell>
          <cell r="J1169" t="str">
            <v>車騎星</v>
          </cell>
          <cell r="K1169" t="str">
            <v>天貴星</v>
          </cell>
        </row>
        <row r="1170">
          <cell r="H1170" t="str">
            <v>19+46</v>
          </cell>
          <cell r="I1170" t="str">
            <v>－</v>
          </cell>
          <cell r="J1170" t="str">
            <v>牽牛星</v>
          </cell>
          <cell r="K1170" t="str">
            <v>天恍星</v>
          </cell>
        </row>
        <row r="1171">
          <cell r="H1171" t="str">
            <v>19+47</v>
          </cell>
          <cell r="I1171" t="str">
            <v>半会</v>
          </cell>
          <cell r="J1171" t="str">
            <v>龍高星</v>
          </cell>
          <cell r="K1171" t="str">
            <v>天南星</v>
          </cell>
        </row>
        <row r="1172">
          <cell r="H1172" t="str">
            <v>19+48</v>
          </cell>
          <cell r="I1172" t="str">
            <v>－</v>
          </cell>
          <cell r="J1172" t="str">
            <v>玉堂星</v>
          </cell>
          <cell r="K1172" t="str">
            <v>天禄星</v>
          </cell>
        </row>
        <row r="1173">
          <cell r="H1173" t="str">
            <v>19+49</v>
          </cell>
          <cell r="I1173" t="str">
            <v>納音</v>
          </cell>
          <cell r="J1173" t="str">
            <v>貫索星</v>
          </cell>
          <cell r="K1173" t="str">
            <v>天将星</v>
          </cell>
        </row>
        <row r="1174">
          <cell r="H1174" t="str">
            <v>19+50</v>
          </cell>
          <cell r="I1174" t="str">
            <v>害</v>
          </cell>
          <cell r="J1174" t="str">
            <v>石門星</v>
          </cell>
          <cell r="K1174" t="str">
            <v>天堂星</v>
          </cell>
        </row>
        <row r="1175">
          <cell r="H1175" t="str">
            <v>19+51</v>
          </cell>
          <cell r="I1175" t="str">
            <v>半会</v>
          </cell>
          <cell r="J1175" t="str">
            <v>鳳閣星</v>
          </cell>
          <cell r="K1175" t="str">
            <v>天胡星</v>
          </cell>
        </row>
        <row r="1176">
          <cell r="H1176" t="str">
            <v>19+52</v>
          </cell>
          <cell r="I1176" t="str">
            <v>破</v>
          </cell>
          <cell r="J1176" t="str">
            <v>調舒星</v>
          </cell>
          <cell r="K1176" t="str">
            <v>天極星</v>
          </cell>
        </row>
        <row r="1177">
          <cell r="H1177" t="str">
            <v>19+53</v>
          </cell>
          <cell r="I1177" t="str">
            <v>－</v>
          </cell>
          <cell r="J1177" t="str">
            <v>禄存星</v>
          </cell>
          <cell r="K1177" t="str">
            <v>天庫星</v>
          </cell>
        </row>
        <row r="1178">
          <cell r="H1178" t="str">
            <v>19+54</v>
          </cell>
          <cell r="I1178" t="str">
            <v>準方位</v>
          </cell>
          <cell r="J1178" t="str">
            <v>司禄星</v>
          </cell>
          <cell r="K1178" t="str">
            <v>天馳星</v>
          </cell>
        </row>
        <row r="1179">
          <cell r="H1179" t="str">
            <v>19+55</v>
          </cell>
          <cell r="I1179" t="str">
            <v>自刑</v>
          </cell>
          <cell r="J1179" t="str">
            <v>車騎星</v>
          </cell>
          <cell r="K1179" t="str">
            <v>天報星</v>
          </cell>
        </row>
        <row r="1180">
          <cell r="H1180" t="str">
            <v>19+56</v>
          </cell>
          <cell r="I1180" t="str">
            <v>支合</v>
          </cell>
          <cell r="J1180" t="str">
            <v>牽牛星</v>
          </cell>
          <cell r="K1180" t="str">
            <v>天印星</v>
          </cell>
        </row>
        <row r="1181">
          <cell r="H1181" t="str">
            <v>19+57</v>
          </cell>
          <cell r="I1181" t="str">
            <v>－</v>
          </cell>
          <cell r="J1181" t="str">
            <v>龍高星</v>
          </cell>
          <cell r="K1181" t="str">
            <v>天貴星</v>
          </cell>
        </row>
        <row r="1182">
          <cell r="H1182" t="str">
            <v>19+58</v>
          </cell>
          <cell r="I1182" t="str">
            <v>－</v>
          </cell>
          <cell r="J1182" t="str">
            <v>玉堂星</v>
          </cell>
          <cell r="K1182" t="str">
            <v>天恍星</v>
          </cell>
        </row>
        <row r="1183">
          <cell r="H1183" t="str">
            <v>19+59</v>
          </cell>
          <cell r="I1183" t="str">
            <v>大半会</v>
          </cell>
          <cell r="J1183" t="str">
            <v>貫索星</v>
          </cell>
          <cell r="K1183" t="str">
            <v>天南星</v>
          </cell>
        </row>
        <row r="1184">
          <cell r="H1184" t="str">
            <v>19+60</v>
          </cell>
          <cell r="I1184" t="str">
            <v>－</v>
          </cell>
          <cell r="J1184" t="str">
            <v>石門星</v>
          </cell>
          <cell r="K1184" t="str">
            <v>天禄星</v>
          </cell>
        </row>
        <row r="1185">
          <cell r="H1185" t="str">
            <v>20+1</v>
          </cell>
          <cell r="I1185" t="str">
            <v>害</v>
          </cell>
          <cell r="J1185" t="str">
            <v>調舒星</v>
          </cell>
          <cell r="K1185" t="str">
            <v>天禄星</v>
          </cell>
        </row>
        <row r="1186">
          <cell r="H1186" t="str">
            <v>20+2</v>
          </cell>
          <cell r="I1186" t="str">
            <v>対冲</v>
          </cell>
          <cell r="J1186" t="str">
            <v>鳳閣星</v>
          </cell>
          <cell r="K1186" t="str">
            <v>天南星</v>
          </cell>
        </row>
        <row r="1187">
          <cell r="H1187" t="str">
            <v>20+3</v>
          </cell>
          <cell r="I1187" t="str">
            <v>－</v>
          </cell>
          <cell r="J1187" t="str">
            <v>司禄星</v>
          </cell>
          <cell r="K1187" t="str">
            <v>天恍星</v>
          </cell>
        </row>
        <row r="1188">
          <cell r="H1188" t="str">
            <v>20+4</v>
          </cell>
          <cell r="I1188" t="str">
            <v>半会</v>
          </cell>
          <cell r="J1188" t="str">
            <v>禄存星</v>
          </cell>
          <cell r="K1188" t="str">
            <v>天貴星</v>
          </cell>
        </row>
        <row r="1189">
          <cell r="H1189" t="str">
            <v>20+5</v>
          </cell>
          <cell r="I1189" t="str">
            <v>－</v>
          </cell>
          <cell r="J1189" t="str">
            <v>牽牛星</v>
          </cell>
          <cell r="K1189" t="str">
            <v>天印星</v>
          </cell>
        </row>
        <row r="1190">
          <cell r="H1190" t="str">
            <v>20+6</v>
          </cell>
          <cell r="I1190" t="str">
            <v>準方位</v>
          </cell>
          <cell r="J1190" t="str">
            <v>車騎星</v>
          </cell>
          <cell r="K1190" t="str">
            <v>天報星</v>
          </cell>
        </row>
        <row r="1191">
          <cell r="H1191" t="str">
            <v>20+7</v>
          </cell>
          <cell r="I1191" t="str">
            <v>支合</v>
          </cell>
          <cell r="J1191" t="str">
            <v>玉堂星</v>
          </cell>
          <cell r="K1191" t="str">
            <v>天馳星</v>
          </cell>
        </row>
        <row r="1192">
          <cell r="H1192" t="str">
            <v>20+8</v>
          </cell>
          <cell r="I1192" t="str">
            <v>同</v>
          </cell>
          <cell r="J1192" t="str">
            <v>龍高星</v>
          </cell>
          <cell r="K1192" t="str">
            <v>天庫星</v>
          </cell>
        </row>
        <row r="1193">
          <cell r="H1193" t="str">
            <v>20+9</v>
          </cell>
          <cell r="I1193" t="str">
            <v>－</v>
          </cell>
          <cell r="J1193" t="str">
            <v>石門星</v>
          </cell>
          <cell r="K1193" t="str">
            <v>天極星</v>
          </cell>
        </row>
        <row r="1194">
          <cell r="H1194" t="str">
            <v>20+10</v>
          </cell>
          <cell r="I1194" t="str">
            <v>－</v>
          </cell>
          <cell r="J1194" t="str">
            <v>貫索星</v>
          </cell>
          <cell r="K1194" t="str">
            <v>天胡星</v>
          </cell>
        </row>
        <row r="1195">
          <cell r="H1195" t="str">
            <v>20+11</v>
          </cell>
          <cell r="I1195" t="str">
            <v>刑</v>
          </cell>
          <cell r="J1195" t="str">
            <v>調舒星</v>
          </cell>
          <cell r="K1195" t="str">
            <v>天堂星</v>
          </cell>
        </row>
        <row r="1196">
          <cell r="H1196" t="str">
            <v>20+12</v>
          </cell>
          <cell r="I1196" t="str">
            <v>半会</v>
          </cell>
          <cell r="J1196" t="str">
            <v>鳳閣星</v>
          </cell>
          <cell r="K1196" t="str">
            <v>天将星</v>
          </cell>
        </row>
        <row r="1197">
          <cell r="H1197" t="str">
            <v>20+13</v>
          </cell>
          <cell r="I1197" t="str">
            <v>害</v>
          </cell>
          <cell r="J1197" t="str">
            <v>司禄星</v>
          </cell>
          <cell r="K1197" t="str">
            <v>天禄星</v>
          </cell>
        </row>
        <row r="1198">
          <cell r="H1198" t="str">
            <v>20+14</v>
          </cell>
          <cell r="I1198" t="str">
            <v>天剋地冲</v>
          </cell>
          <cell r="J1198" t="str">
            <v>禄存星</v>
          </cell>
          <cell r="K1198" t="str">
            <v>天南星</v>
          </cell>
        </row>
        <row r="1199">
          <cell r="H1199" t="str">
            <v>20+15</v>
          </cell>
          <cell r="I1199" t="str">
            <v>－</v>
          </cell>
          <cell r="J1199" t="str">
            <v>牽牛星</v>
          </cell>
          <cell r="K1199" t="str">
            <v>天恍星</v>
          </cell>
        </row>
        <row r="1200">
          <cell r="H1200" t="str">
            <v>20+16</v>
          </cell>
          <cell r="I1200" t="str">
            <v>半会</v>
          </cell>
          <cell r="J1200" t="str">
            <v>車騎星</v>
          </cell>
          <cell r="K1200" t="str">
            <v>天貴星</v>
          </cell>
        </row>
        <row r="1201">
          <cell r="H1201" t="str">
            <v>20+17</v>
          </cell>
          <cell r="I1201" t="str">
            <v>－</v>
          </cell>
          <cell r="J1201" t="str">
            <v>玉堂星</v>
          </cell>
          <cell r="K1201" t="str">
            <v>天印星</v>
          </cell>
        </row>
        <row r="1202">
          <cell r="H1202" t="str">
            <v>20+18</v>
          </cell>
          <cell r="I1202" t="str">
            <v>準方位</v>
          </cell>
          <cell r="J1202" t="str">
            <v>龍高星</v>
          </cell>
          <cell r="K1202" t="str">
            <v>天報星</v>
          </cell>
        </row>
        <row r="1203">
          <cell r="H1203" t="str">
            <v>20+19</v>
          </cell>
          <cell r="I1203" t="str">
            <v>支合</v>
          </cell>
          <cell r="J1203" t="str">
            <v>石門星</v>
          </cell>
          <cell r="K1203" t="str">
            <v>天馳星</v>
          </cell>
        </row>
        <row r="1204">
          <cell r="H1204" t="str">
            <v>20+20</v>
          </cell>
          <cell r="I1204" t="str">
            <v>律音</v>
          </cell>
          <cell r="J1204" t="str">
            <v>貫索星</v>
          </cell>
          <cell r="K1204" t="str">
            <v>天庫星</v>
          </cell>
        </row>
        <row r="1205">
          <cell r="H1205" t="str">
            <v>20+21</v>
          </cell>
          <cell r="I1205" t="str">
            <v>－</v>
          </cell>
          <cell r="J1205" t="str">
            <v>調舒星</v>
          </cell>
          <cell r="K1205" t="str">
            <v>天極星</v>
          </cell>
        </row>
        <row r="1206">
          <cell r="H1206" t="str">
            <v>20+22</v>
          </cell>
          <cell r="I1206" t="str">
            <v>－</v>
          </cell>
          <cell r="J1206" t="str">
            <v>鳳閣星</v>
          </cell>
          <cell r="K1206" t="str">
            <v>天胡星</v>
          </cell>
        </row>
        <row r="1207">
          <cell r="H1207" t="str">
            <v>20+23</v>
          </cell>
          <cell r="I1207" t="str">
            <v>刑</v>
          </cell>
          <cell r="J1207" t="str">
            <v>司禄星</v>
          </cell>
          <cell r="K1207" t="str">
            <v>天堂星</v>
          </cell>
        </row>
        <row r="1208">
          <cell r="H1208" t="str">
            <v>20+24</v>
          </cell>
          <cell r="I1208" t="str">
            <v>半会</v>
          </cell>
          <cell r="J1208" t="str">
            <v>禄存星</v>
          </cell>
          <cell r="K1208" t="str">
            <v>天将星</v>
          </cell>
        </row>
        <row r="1209">
          <cell r="H1209" t="str">
            <v>20+25</v>
          </cell>
          <cell r="I1209" t="str">
            <v>害</v>
          </cell>
          <cell r="J1209" t="str">
            <v>牽牛星</v>
          </cell>
          <cell r="K1209" t="str">
            <v>天禄星</v>
          </cell>
        </row>
        <row r="1210">
          <cell r="H1210" t="str">
            <v>20+26</v>
          </cell>
          <cell r="I1210" t="str">
            <v>天剋地冲</v>
          </cell>
          <cell r="J1210" t="str">
            <v>車騎星</v>
          </cell>
          <cell r="K1210" t="str">
            <v>天南星</v>
          </cell>
        </row>
        <row r="1211">
          <cell r="H1211" t="str">
            <v>20+27</v>
          </cell>
          <cell r="I1211" t="str">
            <v>－</v>
          </cell>
          <cell r="J1211" t="str">
            <v>玉堂星</v>
          </cell>
          <cell r="K1211" t="str">
            <v>天恍星</v>
          </cell>
        </row>
        <row r="1212">
          <cell r="H1212" t="str">
            <v>20+28</v>
          </cell>
          <cell r="I1212" t="str">
            <v>半会</v>
          </cell>
          <cell r="J1212" t="str">
            <v>龍高星</v>
          </cell>
          <cell r="K1212" t="str">
            <v>天貴星</v>
          </cell>
        </row>
        <row r="1213">
          <cell r="H1213" t="str">
            <v>20+29</v>
          </cell>
          <cell r="I1213" t="str">
            <v>－</v>
          </cell>
          <cell r="J1213" t="str">
            <v>石門星</v>
          </cell>
          <cell r="K1213" t="str">
            <v>天印星</v>
          </cell>
        </row>
        <row r="1214">
          <cell r="H1214" t="str">
            <v>20+30</v>
          </cell>
          <cell r="I1214" t="str">
            <v>準方位</v>
          </cell>
          <cell r="J1214" t="str">
            <v>貫索星</v>
          </cell>
          <cell r="K1214" t="str">
            <v>天報星</v>
          </cell>
        </row>
        <row r="1215">
          <cell r="H1215" t="str">
            <v>20+31</v>
          </cell>
          <cell r="I1215" t="str">
            <v>支合</v>
          </cell>
          <cell r="J1215" t="str">
            <v>調舒星</v>
          </cell>
          <cell r="K1215" t="str">
            <v>天馳星</v>
          </cell>
        </row>
        <row r="1216">
          <cell r="H1216" t="str">
            <v>20+32</v>
          </cell>
          <cell r="I1216" t="str">
            <v>同</v>
          </cell>
          <cell r="J1216" t="str">
            <v>鳳閣星</v>
          </cell>
          <cell r="K1216" t="str">
            <v>天庫星</v>
          </cell>
        </row>
        <row r="1217">
          <cell r="H1217" t="str">
            <v>20+33</v>
          </cell>
          <cell r="I1217" t="str">
            <v>－</v>
          </cell>
          <cell r="J1217" t="str">
            <v>司禄星</v>
          </cell>
          <cell r="K1217" t="str">
            <v>天極星</v>
          </cell>
        </row>
        <row r="1218">
          <cell r="H1218" t="str">
            <v>20+34</v>
          </cell>
          <cell r="I1218" t="str">
            <v>－</v>
          </cell>
          <cell r="J1218" t="str">
            <v>禄存星</v>
          </cell>
          <cell r="K1218" t="str">
            <v>天胡星</v>
          </cell>
        </row>
        <row r="1219">
          <cell r="H1219" t="str">
            <v>20+35</v>
          </cell>
          <cell r="I1219" t="str">
            <v>刑</v>
          </cell>
          <cell r="J1219" t="str">
            <v>牽牛星</v>
          </cell>
          <cell r="K1219" t="str">
            <v>天堂星</v>
          </cell>
        </row>
        <row r="1220">
          <cell r="H1220" t="str">
            <v>20+36</v>
          </cell>
          <cell r="I1220" t="str">
            <v>半会</v>
          </cell>
          <cell r="J1220" t="str">
            <v>車騎星</v>
          </cell>
          <cell r="K1220" t="str">
            <v>天将星</v>
          </cell>
        </row>
        <row r="1221">
          <cell r="H1221" t="str">
            <v>20+37</v>
          </cell>
          <cell r="I1221" t="str">
            <v>害</v>
          </cell>
          <cell r="J1221" t="str">
            <v>玉堂星</v>
          </cell>
          <cell r="K1221" t="str">
            <v>天禄星</v>
          </cell>
        </row>
        <row r="1222">
          <cell r="H1222" t="str">
            <v>20+38</v>
          </cell>
          <cell r="I1222" t="str">
            <v>対冲</v>
          </cell>
          <cell r="J1222" t="str">
            <v>龍高星</v>
          </cell>
          <cell r="K1222" t="str">
            <v>天南星</v>
          </cell>
        </row>
        <row r="1223">
          <cell r="H1223" t="str">
            <v>20+39</v>
          </cell>
          <cell r="I1223" t="str">
            <v>－</v>
          </cell>
          <cell r="J1223" t="str">
            <v>石門星</v>
          </cell>
          <cell r="K1223" t="str">
            <v>天恍星</v>
          </cell>
        </row>
        <row r="1224">
          <cell r="H1224" t="str">
            <v>20+40</v>
          </cell>
          <cell r="I1224" t="str">
            <v>大半会</v>
          </cell>
          <cell r="J1224" t="str">
            <v>貫索星</v>
          </cell>
          <cell r="K1224" t="str">
            <v>天貴星</v>
          </cell>
        </row>
        <row r="1225">
          <cell r="H1225" t="str">
            <v>20+41</v>
          </cell>
          <cell r="I1225" t="str">
            <v>－</v>
          </cell>
          <cell r="J1225" t="str">
            <v>調舒星</v>
          </cell>
          <cell r="K1225" t="str">
            <v>天印星</v>
          </cell>
        </row>
        <row r="1226">
          <cell r="H1226" t="str">
            <v>20+42</v>
          </cell>
          <cell r="I1226" t="str">
            <v>準方位</v>
          </cell>
          <cell r="J1226" t="str">
            <v>鳳閣星</v>
          </cell>
          <cell r="K1226" t="str">
            <v>天報星</v>
          </cell>
        </row>
        <row r="1227">
          <cell r="H1227" t="str">
            <v>20+43</v>
          </cell>
          <cell r="I1227" t="str">
            <v>支合</v>
          </cell>
          <cell r="J1227" t="str">
            <v>司禄星</v>
          </cell>
          <cell r="K1227" t="str">
            <v>天馳星</v>
          </cell>
        </row>
        <row r="1228">
          <cell r="H1228" t="str">
            <v>20+44</v>
          </cell>
          <cell r="I1228" t="str">
            <v>同</v>
          </cell>
          <cell r="J1228" t="str">
            <v>禄存星</v>
          </cell>
          <cell r="K1228" t="str">
            <v>天庫星</v>
          </cell>
        </row>
        <row r="1229">
          <cell r="H1229" t="str">
            <v>20+45</v>
          </cell>
          <cell r="I1229" t="str">
            <v>－</v>
          </cell>
          <cell r="J1229" t="str">
            <v>牽牛星</v>
          </cell>
          <cell r="K1229" t="str">
            <v>天極星</v>
          </cell>
        </row>
        <row r="1230">
          <cell r="H1230" t="str">
            <v>20+46</v>
          </cell>
          <cell r="I1230" t="str">
            <v>－</v>
          </cell>
          <cell r="J1230" t="str">
            <v>車騎星</v>
          </cell>
          <cell r="K1230" t="str">
            <v>天胡星</v>
          </cell>
        </row>
        <row r="1231">
          <cell r="H1231" t="str">
            <v>20+47</v>
          </cell>
          <cell r="I1231" t="str">
            <v>刑</v>
          </cell>
          <cell r="J1231" t="str">
            <v>玉堂星</v>
          </cell>
          <cell r="K1231" t="str">
            <v>天堂星</v>
          </cell>
        </row>
        <row r="1232">
          <cell r="H1232" t="str">
            <v>20+48</v>
          </cell>
          <cell r="I1232" t="str">
            <v>半会</v>
          </cell>
          <cell r="J1232" t="str">
            <v>龍高星</v>
          </cell>
          <cell r="K1232" t="str">
            <v>天将星</v>
          </cell>
        </row>
        <row r="1233">
          <cell r="H1233" t="str">
            <v>20+49</v>
          </cell>
          <cell r="I1233" t="str">
            <v>害</v>
          </cell>
          <cell r="J1233" t="str">
            <v>石門星</v>
          </cell>
          <cell r="K1233" t="str">
            <v>天禄星</v>
          </cell>
        </row>
        <row r="1234">
          <cell r="H1234" t="str">
            <v>20+50</v>
          </cell>
          <cell r="I1234" t="str">
            <v>納音</v>
          </cell>
          <cell r="J1234" t="str">
            <v>貫索星</v>
          </cell>
          <cell r="K1234" t="str">
            <v>天南星</v>
          </cell>
        </row>
        <row r="1235">
          <cell r="H1235" t="str">
            <v>20+51</v>
          </cell>
          <cell r="I1235" t="str">
            <v>－</v>
          </cell>
          <cell r="J1235" t="str">
            <v>調舒星</v>
          </cell>
          <cell r="K1235" t="str">
            <v>天恍星</v>
          </cell>
        </row>
        <row r="1236">
          <cell r="H1236" t="str">
            <v>20+52</v>
          </cell>
          <cell r="I1236" t="str">
            <v>半会</v>
          </cell>
          <cell r="J1236" t="str">
            <v>鳳閣星</v>
          </cell>
          <cell r="K1236" t="str">
            <v>天貴星</v>
          </cell>
        </row>
        <row r="1237">
          <cell r="H1237" t="str">
            <v>20+53</v>
          </cell>
          <cell r="I1237" t="str">
            <v>－</v>
          </cell>
          <cell r="J1237" t="str">
            <v>司禄星</v>
          </cell>
          <cell r="K1237" t="str">
            <v>天印星</v>
          </cell>
        </row>
        <row r="1238">
          <cell r="H1238" t="str">
            <v>20+54</v>
          </cell>
          <cell r="I1238" t="str">
            <v>準方位</v>
          </cell>
          <cell r="J1238" t="str">
            <v>禄存星</v>
          </cell>
          <cell r="K1238" t="str">
            <v>天報星</v>
          </cell>
        </row>
        <row r="1239">
          <cell r="H1239" t="str">
            <v>20+55</v>
          </cell>
          <cell r="I1239" t="str">
            <v>支合</v>
          </cell>
          <cell r="J1239" t="str">
            <v>牽牛星</v>
          </cell>
          <cell r="K1239" t="str">
            <v>天馳星</v>
          </cell>
        </row>
        <row r="1240">
          <cell r="H1240" t="str">
            <v>20+56</v>
          </cell>
          <cell r="I1240" t="str">
            <v>同</v>
          </cell>
          <cell r="J1240" t="str">
            <v>車騎星</v>
          </cell>
          <cell r="K1240" t="str">
            <v>天庫星</v>
          </cell>
        </row>
        <row r="1241">
          <cell r="H1241" t="str">
            <v>20+57</v>
          </cell>
          <cell r="I1241" t="str">
            <v>－</v>
          </cell>
          <cell r="J1241" t="str">
            <v>玉堂星</v>
          </cell>
          <cell r="K1241" t="str">
            <v>天極星</v>
          </cell>
        </row>
        <row r="1242">
          <cell r="H1242" t="str">
            <v>20+58</v>
          </cell>
          <cell r="I1242" t="str">
            <v>－</v>
          </cell>
          <cell r="J1242" t="str">
            <v>龍高星</v>
          </cell>
          <cell r="K1242" t="str">
            <v>天胡星</v>
          </cell>
        </row>
        <row r="1243">
          <cell r="H1243" t="str">
            <v>20+59</v>
          </cell>
          <cell r="I1243" t="str">
            <v>刑</v>
          </cell>
          <cell r="J1243" t="str">
            <v>石門星</v>
          </cell>
          <cell r="K1243" t="str">
            <v>天堂星</v>
          </cell>
        </row>
        <row r="1244">
          <cell r="H1244" t="str">
            <v>20+60</v>
          </cell>
          <cell r="I1244" t="str">
            <v>大半会</v>
          </cell>
          <cell r="J1244" t="str">
            <v>貫索星</v>
          </cell>
          <cell r="K1244" t="str">
            <v>天将星</v>
          </cell>
        </row>
        <row r="1245">
          <cell r="H1245" t="str">
            <v>21+1</v>
          </cell>
          <cell r="I1245" t="str">
            <v>大半会</v>
          </cell>
          <cell r="J1245" t="str">
            <v>貫索星</v>
          </cell>
          <cell r="K1245" t="str">
            <v>天恍星</v>
          </cell>
        </row>
        <row r="1246">
          <cell r="H1246" t="str">
            <v>21+2</v>
          </cell>
          <cell r="I1246" t="str">
            <v>－</v>
          </cell>
          <cell r="J1246" t="str">
            <v>石門星</v>
          </cell>
          <cell r="K1246" t="str">
            <v>天南星</v>
          </cell>
        </row>
        <row r="1247">
          <cell r="H1247" t="str">
            <v>21+3</v>
          </cell>
          <cell r="I1247" t="str">
            <v>対冲</v>
          </cell>
          <cell r="J1247" t="str">
            <v>鳳閣星</v>
          </cell>
          <cell r="K1247" t="str">
            <v>天禄星</v>
          </cell>
        </row>
        <row r="1248">
          <cell r="H1248" t="str">
            <v>21+4</v>
          </cell>
          <cell r="I1248" t="str">
            <v>－</v>
          </cell>
          <cell r="J1248" t="str">
            <v>調舒星</v>
          </cell>
          <cell r="K1248" t="str">
            <v>天将星</v>
          </cell>
        </row>
        <row r="1249">
          <cell r="H1249" t="str">
            <v>21+5</v>
          </cell>
          <cell r="I1249" t="str">
            <v>半会</v>
          </cell>
          <cell r="J1249" t="str">
            <v>禄存星</v>
          </cell>
          <cell r="K1249" t="str">
            <v>天堂星</v>
          </cell>
        </row>
        <row r="1250">
          <cell r="H1250" t="str">
            <v>21+6</v>
          </cell>
          <cell r="I1250" t="str">
            <v>支合</v>
          </cell>
          <cell r="J1250" t="str">
            <v>司禄星</v>
          </cell>
          <cell r="K1250" t="str">
            <v>天胡星</v>
          </cell>
        </row>
        <row r="1251">
          <cell r="H1251" t="str">
            <v>21+7</v>
          </cell>
          <cell r="I1251" t="str">
            <v>－</v>
          </cell>
          <cell r="J1251" t="str">
            <v>車騎星</v>
          </cell>
          <cell r="K1251" t="str">
            <v>天極星</v>
          </cell>
        </row>
        <row r="1252">
          <cell r="H1252" t="str">
            <v>21+8</v>
          </cell>
          <cell r="I1252" t="str">
            <v>－</v>
          </cell>
          <cell r="J1252" t="str">
            <v>牽牛星</v>
          </cell>
          <cell r="K1252" t="str">
            <v>天庫星</v>
          </cell>
        </row>
        <row r="1253">
          <cell r="H1253" t="str">
            <v>21+9</v>
          </cell>
          <cell r="I1253" t="str">
            <v>同</v>
          </cell>
          <cell r="J1253" t="str">
            <v>龍高星</v>
          </cell>
          <cell r="K1253" t="str">
            <v>天馳星</v>
          </cell>
        </row>
        <row r="1254">
          <cell r="H1254" t="str">
            <v>21+10</v>
          </cell>
          <cell r="I1254" t="str">
            <v>準方位</v>
          </cell>
          <cell r="J1254" t="str">
            <v>玉堂星</v>
          </cell>
          <cell r="K1254" t="str">
            <v>天報星</v>
          </cell>
        </row>
        <row r="1255">
          <cell r="H1255" t="str">
            <v>21+11</v>
          </cell>
          <cell r="I1255" t="str">
            <v>準方位</v>
          </cell>
          <cell r="J1255" t="str">
            <v>貫索星</v>
          </cell>
          <cell r="K1255" t="str">
            <v>天印星</v>
          </cell>
        </row>
        <row r="1256">
          <cell r="H1256" t="str">
            <v>21+12</v>
          </cell>
          <cell r="I1256" t="str">
            <v>害</v>
          </cell>
          <cell r="J1256" t="str">
            <v>石門星</v>
          </cell>
          <cell r="K1256" t="str">
            <v>天貴星</v>
          </cell>
        </row>
        <row r="1257">
          <cell r="H1257" t="str">
            <v>21+13</v>
          </cell>
          <cell r="I1257" t="str">
            <v>半会</v>
          </cell>
          <cell r="J1257" t="str">
            <v>鳳閣星</v>
          </cell>
          <cell r="K1257" t="str">
            <v>天恍星</v>
          </cell>
        </row>
        <row r="1258">
          <cell r="H1258" t="str">
            <v>21+14</v>
          </cell>
          <cell r="I1258" t="str">
            <v>－</v>
          </cell>
          <cell r="J1258" t="str">
            <v>調舒星</v>
          </cell>
          <cell r="K1258" t="str">
            <v>天南星</v>
          </cell>
        </row>
        <row r="1259">
          <cell r="H1259" t="str">
            <v>21+15</v>
          </cell>
          <cell r="I1259" t="str">
            <v>天剋地冲</v>
          </cell>
          <cell r="J1259" t="str">
            <v>禄存星</v>
          </cell>
          <cell r="K1259" t="str">
            <v>天禄星</v>
          </cell>
        </row>
        <row r="1260">
          <cell r="H1260" t="str">
            <v>21+16</v>
          </cell>
          <cell r="I1260" t="str">
            <v>－</v>
          </cell>
          <cell r="J1260" t="str">
            <v>司禄星</v>
          </cell>
          <cell r="K1260" t="str">
            <v>天将星</v>
          </cell>
        </row>
        <row r="1261">
          <cell r="H1261" t="str">
            <v>21+17</v>
          </cell>
          <cell r="I1261" t="str">
            <v>半会</v>
          </cell>
          <cell r="J1261" t="str">
            <v>車騎星</v>
          </cell>
          <cell r="K1261" t="str">
            <v>天堂星</v>
          </cell>
        </row>
        <row r="1262">
          <cell r="H1262" t="str">
            <v>21+18</v>
          </cell>
          <cell r="I1262" t="str">
            <v>支合</v>
          </cell>
          <cell r="J1262" t="str">
            <v>牽牛星</v>
          </cell>
          <cell r="K1262" t="str">
            <v>天胡星</v>
          </cell>
        </row>
        <row r="1263">
          <cell r="H1263" t="str">
            <v>21+19</v>
          </cell>
          <cell r="I1263" t="str">
            <v>－</v>
          </cell>
          <cell r="J1263" t="str">
            <v>龍高星</v>
          </cell>
          <cell r="K1263" t="str">
            <v>天極星</v>
          </cell>
        </row>
        <row r="1264">
          <cell r="H1264" t="str">
            <v>21+20</v>
          </cell>
          <cell r="I1264" t="str">
            <v>－</v>
          </cell>
          <cell r="J1264" t="str">
            <v>玉堂星</v>
          </cell>
          <cell r="K1264" t="str">
            <v>天庫星</v>
          </cell>
        </row>
        <row r="1265">
          <cell r="H1265" t="str">
            <v>21+21</v>
          </cell>
          <cell r="I1265" t="str">
            <v>律音</v>
          </cell>
          <cell r="J1265" t="str">
            <v>貫索星</v>
          </cell>
          <cell r="K1265" t="str">
            <v>天馳星</v>
          </cell>
        </row>
        <row r="1266">
          <cell r="H1266" t="str">
            <v>21+22</v>
          </cell>
          <cell r="I1266" t="str">
            <v>準方位</v>
          </cell>
          <cell r="J1266" t="str">
            <v>石門星</v>
          </cell>
          <cell r="K1266" t="str">
            <v>天報星</v>
          </cell>
        </row>
        <row r="1267">
          <cell r="H1267" t="str">
            <v>21+23</v>
          </cell>
          <cell r="I1267" t="str">
            <v>準方位</v>
          </cell>
          <cell r="J1267" t="str">
            <v>鳳閣星</v>
          </cell>
          <cell r="K1267" t="str">
            <v>天印星</v>
          </cell>
        </row>
        <row r="1268">
          <cell r="H1268" t="str">
            <v>21+24</v>
          </cell>
          <cell r="I1268" t="str">
            <v>害</v>
          </cell>
          <cell r="J1268" t="str">
            <v>調舒星</v>
          </cell>
          <cell r="K1268" t="str">
            <v>天貴星</v>
          </cell>
        </row>
        <row r="1269">
          <cell r="H1269" t="str">
            <v>21+25</v>
          </cell>
          <cell r="I1269" t="str">
            <v>半会</v>
          </cell>
          <cell r="J1269" t="str">
            <v>禄存星</v>
          </cell>
          <cell r="K1269" t="str">
            <v>天恍星</v>
          </cell>
        </row>
        <row r="1270">
          <cell r="H1270" t="str">
            <v>21+26</v>
          </cell>
          <cell r="I1270" t="str">
            <v>－</v>
          </cell>
          <cell r="J1270" t="str">
            <v>司禄星</v>
          </cell>
          <cell r="K1270" t="str">
            <v>天南星</v>
          </cell>
        </row>
        <row r="1271">
          <cell r="H1271" t="str">
            <v>21+27</v>
          </cell>
          <cell r="I1271" t="str">
            <v>天剋地冲</v>
          </cell>
          <cell r="J1271" t="str">
            <v>車騎星</v>
          </cell>
          <cell r="K1271" t="str">
            <v>天禄星</v>
          </cell>
        </row>
        <row r="1272">
          <cell r="H1272" t="str">
            <v>21+28</v>
          </cell>
          <cell r="I1272" t="str">
            <v>－</v>
          </cell>
          <cell r="J1272" t="str">
            <v>牽牛星</v>
          </cell>
          <cell r="K1272" t="str">
            <v>天将星</v>
          </cell>
        </row>
        <row r="1273">
          <cell r="H1273" t="str">
            <v>21+29</v>
          </cell>
          <cell r="I1273" t="str">
            <v>半会</v>
          </cell>
          <cell r="J1273" t="str">
            <v>龍高星</v>
          </cell>
          <cell r="K1273" t="str">
            <v>天堂星</v>
          </cell>
        </row>
        <row r="1274">
          <cell r="H1274" t="str">
            <v>21+30</v>
          </cell>
          <cell r="I1274" t="str">
            <v>支合</v>
          </cell>
          <cell r="J1274" t="str">
            <v>玉堂星</v>
          </cell>
          <cell r="K1274" t="str">
            <v>天胡星</v>
          </cell>
        </row>
        <row r="1275">
          <cell r="H1275" t="str">
            <v>21+31</v>
          </cell>
          <cell r="I1275" t="str">
            <v>－</v>
          </cell>
          <cell r="J1275" t="str">
            <v>貫索星</v>
          </cell>
          <cell r="K1275" t="str">
            <v>天極星</v>
          </cell>
        </row>
        <row r="1276">
          <cell r="H1276" t="str">
            <v>21+32</v>
          </cell>
          <cell r="I1276" t="str">
            <v>－</v>
          </cell>
          <cell r="J1276" t="str">
            <v>石門星</v>
          </cell>
          <cell r="K1276" t="str">
            <v>天庫星</v>
          </cell>
        </row>
        <row r="1277">
          <cell r="H1277" t="str">
            <v>21+33</v>
          </cell>
          <cell r="I1277" t="str">
            <v>同</v>
          </cell>
          <cell r="J1277" t="str">
            <v>鳳閣星</v>
          </cell>
          <cell r="K1277" t="str">
            <v>天馳星</v>
          </cell>
        </row>
        <row r="1278">
          <cell r="H1278" t="str">
            <v>21+34</v>
          </cell>
          <cell r="I1278" t="str">
            <v>準方位</v>
          </cell>
          <cell r="J1278" t="str">
            <v>調舒星</v>
          </cell>
          <cell r="K1278" t="str">
            <v>天報星</v>
          </cell>
        </row>
        <row r="1279">
          <cell r="H1279" t="str">
            <v>21+35</v>
          </cell>
          <cell r="I1279" t="str">
            <v>準方位</v>
          </cell>
          <cell r="J1279" t="str">
            <v>禄存星</v>
          </cell>
          <cell r="K1279" t="str">
            <v>天印星</v>
          </cell>
        </row>
        <row r="1280">
          <cell r="H1280" t="str">
            <v>21+36</v>
          </cell>
          <cell r="I1280" t="str">
            <v>害</v>
          </cell>
          <cell r="J1280" t="str">
            <v>司禄星</v>
          </cell>
          <cell r="K1280" t="str">
            <v>天貴星</v>
          </cell>
        </row>
        <row r="1281">
          <cell r="H1281" t="str">
            <v>21+37</v>
          </cell>
          <cell r="I1281" t="str">
            <v>半会</v>
          </cell>
          <cell r="J1281" t="str">
            <v>車騎星</v>
          </cell>
          <cell r="K1281" t="str">
            <v>天恍星</v>
          </cell>
        </row>
        <row r="1282">
          <cell r="H1282" t="str">
            <v>21+38</v>
          </cell>
          <cell r="I1282" t="str">
            <v>－</v>
          </cell>
          <cell r="J1282" t="str">
            <v>牽牛星</v>
          </cell>
          <cell r="K1282" t="str">
            <v>天南星</v>
          </cell>
        </row>
        <row r="1283">
          <cell r="H1283" t="str">
            <v>21+39</v>
          </cell>
          <cell r="I1283" t="str">
            <v>対冲</v>
          </cell>
          <cell r="J1283" t="str">
            <v>龍高星</v>
          </cell>
          <cell r="K1283" t="str">
            <v>天禄星</v>
          </cell>
        </row>
        <row r="1284">
          <cell r="H1284" t="str">
            <v>21+40</v>
          </cell>
          <cell r="I1284" t="str">
            <v>－</v>
          </cell>
          <cell r="J1284" t="str">
            <v>玉堂星</v>
          </cell>
          <cell r="K1284" t="str">
            <v>天将星</v>
          </cell>
        </row>
        <row r="1285">
          <cell r="H1285" t="str">
            <v>21+41</v>
          </cell>
          <cell r="I1285" t="str">
            <v>大半会</v>
          </cell>
          <cell r="J1285" t="str">
            <v>貫索星</v>
          </cell>
          <cell r="K1285" t="str">
            <v>天堂星</v>
          </cell>
        </row>
        <row r="1286">
          <cell r="H1286" t="str">
            <v>21+42</v>
          </cell>
          <cell r="I1286" t="str">
            <v>支合</v>
          </cell>
          <cell r="J1286" t="str">
            <v>石門星</v>
          </cell>
          <cell r="K1286" t="str">
            <v>天胡星</v>
          </cell>
        </row>
        <row r="1287">
          <cell r="H1287" t="str">
            <v>21+43</v>
          </cell>
          <cell r="I1287" t="str">
            <v>－</v>
          </cell>
          <cell r="J1287" t="str">
            <v>鳳閣星</v>
          </cell>
          <cell r="K1287" t="str">
            <v>天極星</v>
          </cell>
        </row>
        <row r="1288">
          <cell r="H1288" t="str">
            <v>21+44</v>
          </cell>
          <cell r="I1288" t="str">
            <v>－</v>
          </cell>
          <cell r="J1288" t="str">
            <v>調舒星</v>
          </cell>
          <cell r="K1288" t="str">
            <v>天庫星</v>
          </cell>
        </row>
        <row r="1289">
          <cell r="H1289" t="str">
            <v>21+45</v>
          </cell>
          <cell r="I1289" t="str">
            <v>同</v>
          </cell>
          <cell r="J1289" t="str">
            <v>禄存星</v>
          </cell>
          <cell r="K1289" t="str">
            <v>天馳星</v>
          </cell>
        </row>
        <row r="1290">
          <cell r="H1290" t="str">
            <v>21+46</v>
          </cell>
          <cell r="I1290" t="str">
            <v>準方位</v>
          </cell>
          <cell r="J1290" t="str">
            <v>司禄星</v>
          </cell>
          <cell r="K1290" t="str">
            <v>天報星</v>
          </cell>
        </row>
        <row r="1291">
          <cell r="H1291" t="str">
            <v>21+47</v>
          </cell>
          <cell r="I1291" t="str">
            <v>準方位</v>
          </cell>
          <cell r="J1291" t="str">
            <v>車騎星</v>
          </cell>
          <cell r="K1291" t="str">
            <v>天印星</v>
          </cell>
        </row>
        <row r="1292">
          <cell r="H1292" t="str">
            <v>21+48</v>
          </cell>
          <cell r="I1292" t="str">
            <v>害</v>
          </cell>
          <cell r="J1292" t="str">
            <v>牽牛星</v>
          </cell>
          <cell r="K1292" t="str">
            <v>天貴星</v>
          </cell>
        </row>
        <row r="1293">
          <cell r="H1293" t="str">
            <v>21+49</v>
          </cell>
          <cell r="I1293" t="str">
            <v>半会</v>
          </cell>
          <cell r="J1293" t="str">
            <v>龍高星</v>
          </cell>
          <cell r="K1293" t="str">
            <v>天恍星</v>
          </cell>
        </row>
        <row r="1294">
          <cell r="H1294" t="str">
            <v>21+50</v>
          </cell>
          <cell r="I1294" t="str">
            <v>－</v>
          </cell>
          <cell r="J1294" t="str">
            <v>玉堂星</v>
          </cell>
          <cell r="K1294" t="str">
            <v>天南星</v>
          </cell>
        </row>
        <row r="1295">
          <cell r="H1295" t="str">
            <v>21+51</v>
          </cell>
          <cell r="I1295" t="str">
            <v>納音</v>
          </cell>
          <cell r="J1295" t="str">
            <v>貫索星</v>
          </cell>
          <cell r="K1295" t="str">
            <v>天禄星</v>
          </cell>
        </row>
        <row r="1296">
          <cell r="H1296" t="str">
            <v>21+52</v>
          </cell>
          <cell r="I1296" t="str">
            <v>－</v>
          </cell>
          <cell r="J1296" t="str">
            <v>石門星</v>
          </cell>
          <cell r="K1296" t="str">
            <v>天将星</v>
          </cell>
        </row>
        <row r="1297">
          <cell r="H1297" t="str">
            <v>21+53</v>
          </cell>
          <cell r="I1297" t="str">
            <v>半会</v>
          </cell>
          <cell r="J1297" t="str">
            <v>鳳閣星</v>
          </cell>
          <cell r="K1297" t="str">
            <v>天堂星</v>
          </cell>
        </row>
        <row r="1298">
          <cell r="H1298" t="str">
            <v>21+54</v>
          </cell>
          <cell r="I1298" t="str">
            <v>支合</v>
          </cell>
          <cell r="J1298" t="str">
            <v>調舒星</v>
          </cell>
          <cell r="K1298" t="str">
            <v>天胡星</v>
          </cell>
        </row>
        <row r="1299">
          <cell r="H1299" t="str">
            <v>21+55</v>
          </cell>
          <cell r="I1299" t="str">
            <v>－</v>
          </cell>
          <cell r="J1299" t="str">
            <v>禄存星</v>
          </cell>
          <cell r="K1299" t="str">
            <v>天極星</v>
          </cell>
        </row>
        <row r="1300">
          <cell r="H1300" t="str">
            <v>21+56</v>
          </cell>
          <cell r="I1300" t="str">
            <v>－</v>
          </cell>
          <cell r="J1300" t="str">
            <v>司禄星</v>
          </cell>
          <cell r="K1300" t="str">
            <v>天庫星</v>
          </cell>
        </row>
        <row r="1301">
          <cell r="H1301" t="str">
            <v>21+57</v>
          </cell>
          <cell r="I1301" t="str">
            <v>同</v>
          </cell>
          <cell r="J1301" t="str">
            <v>車騎星</v>
          </cell>
          <cell r="K1301" t="str">
            <v>天馳星</v>
          </cell>
        </row>
        <row r="1302">
          <cell r="H1302" t="str">
            <v>21+58</v>
          </cell>
          <cell r="I1302" t="str">
            <v>準方位</v>
          </cell>
          <cell r="J1302" t="str">
            <v>牽牛星</v>
          </cell>
          <cell r="K1302" t="str">
            <v>天報星</v>
          </cell>
        </row>
        <row r="1303">
          <cell r="H1303" t="str">
            <v>21+59</v>
          </cell>
          <cell r="I1303" t="str">
            <v>準方位</v>
          </cell>
          <cell r="J1303" t="str">
            <v>龍高星</v>
          </cell>
          <cell r="K1303" t="str">
            <v>天印星</v>
          </cell>
        </row>
        <row r="1304">
          <cell r="H1304" t="str">
            <v>21+60</v>
          </cell>
          <cell r="I1304" t="str">
            <v>害</v>
          </cell>
          <cell r="J1304" t="str">
            <v>玉堂星</v>
          </cell>
          <cell r="K1304" t="str">
            <v>天貴星</v>
          </cell>
        </row>
        <row r="1305">
          <cell r="H1305" t="str">
            <v>22+1</v>
          </cell>
          <cell r="I1305" t="str">
            <v>破</v>
          </cell>
          <cell r="J1305" t="str">
            <v>石門星</v>
          </cell>
          <cell r="K1305" t="str">
            <v>天胡星</v>
          </cell>
        </row>
        <row r="1306">
          <cell r="H1306" t="str">
            <v>22+2</v>
          </cell>
          <cell r="I1306" t="str">
            <v>大半会</v>
          </cell>
          <cell r="J1306" t="str">
            <v>貫索星</v>
          </cell>
          <cell r="K1306" t="str">
            <v>天堂星</v>
          </cell>
        </row>
        <row r="1307">
          <cell r="H1307" t="str">
            <v>22+3</v>
          </cell>
          <cell r="I1307" t="str">
            <v>－</v>
          </cell>
          <cell r="J1307" t="str">
            <v>調舒星</v>
          </cell>
          <cell r="K1307" t="str">
            <v>天将星</v>
          </cell>
        </row>
        <row r="1308">
          <cell r="H1308" t="str">
            <v>22+4</v>
          </cell>
          <cell r="I1308" t="str">
            <v>対冲</v>
          </cell>
          <cell r="J1308" t="str">
            <v>鳳閣星</v>
          </cell>
          <cell r="K1308" t="str">
            <v>天禄星</v>
          </cell>
        </row>
        <row r="1309">
          <cell r="H1309" t="str">
            <v>22+5</v>
          </cell>
          <cell r="I1309" t="str">
            <v>支合</v>
          </cell>
          <cell r="J1309" t="str">
            <v>司禄星</v>
          </cell>
          <cell r="K1309" t="str">
            <v>天南星</v>
          </cell>
        </row>
        <row r="1310">
          <cell r="H1310" t="str">
            <v>22+6</v>
          </cell>
          <cell r="I1310" t="str">
            <v>半会</v>
          </cell>
          <cell r="J1310" t="str">
            <v>禄存星</v>
          </cell>
          <cell r="K1310" t="str">
            <v>天恍星</v>
          </cell>
        </row>
        <row r="1311">
          <cell r="H1311" t="str">
            <v>22+7</v>
          </cell>
          <cell r="I1311" t="str">
            <v>－</v>
          </cell>
          <cell r="J1311" t="str">
            <v>牽牛星</v>
          </cell>
          <cell r="K1311" t="str">
            <v>天貴星</v>
          </cell>
        </row>
        <row r="1312">
          <cell r="H1312" t="str">
            <v>22+8</v>
          </cell>
          <cell r="I1312" t="str">
            <v>－</v>
          </cell>
          <cell r="J1312" t="str">
            <v>車騎星</v>
          </cell>
          <cell r="K1312" t="str">
            <v>天印星</v>
          </cell>
        </row>
        <row r="1313">
          <cell r="H1313" t="str">
            <v>22+9</v>
          </cell>
          <cell r="I1313" t="str">
            <v>準方位</v>
          </cell>
          <cell r="J1313" t="str">
            <v>玉堂星</v>
          </cell>
          <cell r="K1313" t="str">
            <v>天報星</v>
          </cell>
        </row>
        <row r="1314">
          <cell r="H1314" t="str">
            <v>22+10</v>
          </cell>
          <cell r="I1314" t="str">
            <v>自刑</v>
          </cell>
          <cell r="J1314" t="str">
            <v>龍高星</v>
          </cell>
          <cell r="K1314" t="str">
            <v>天馳星</v>
          </cell>
        </row>
        <row r="1315">
          <cell r="H1315" t="str">
            <v>22+11</v>
          </cell>
          <cell r="I1315" t="str">
            <v>害</v>
          </cell>
          <cell r="J1315" t="str">
            <v>石門星</v>
          </cell>
          <cell r="K1315" t="str">
            <v>天庫星</v>
          </cell>
        </row>
        <row r="1316">
          <cell r="H1316" t="str">
            <v>22+12</v>
          </cell>
          <cell r="I1316" t="str">
            <v>－</v>
          </cell>
          <cell r="J1316" t="str">
            <v>貫索星</v>
          </cell>
          <cell r="K1316" t="str">
            <v>天極星</v>
          </cell>
        </row>
        <row r="1317">
          <cell r="H1317" t="str">
            <v>22+13</v>
          </cell>
          <cell r="I1317" t="str">
            <v>破</v>
          </cell>
          <cell r="J1317" t="str">
            <v>調舒星</v>
          </cell>
          <cell r="K1317" t="str">
            <v>天胡星</v>
          </cell>
        </row>
        <row r="1318">
          <cell r="H1318" t="str">
            <v>22+14</v>
          </cell>
          <cell r="I1318" t="str">
            <v>半会</v>
          </cell>
          <cell r="J1318" t="str">
            <v>鳳閣星</v>
          </cell>
          <cell r="K1318" t="str">
            <v>天堂星</v>
          </cell>
        </row>
        <row r="1319">
          <cell r="H1319" t="str">
            <v>22+15</v>
          </cell>
          <cell r="I1319" t="str">
            <v>－</v>
          </cell>
          <cell r="J1319" t="str">
            <v>司禄星</v>
          </cell>
          <cell r="K1319" t="str">
            <v>天将星</v>
          </cell>
        </row>
        <row r="1320">
          <cell r="H1320" t="str">
            <v>22+16</v>
          </cell>
          <cell r="I1320" t="str">
            <v>天剋地冲</v>
          </cell>
          <cell r="J1320" t="str">
            <v>禄存星</v>
          </cell>
          <cell r="K1320" t="str">
            <v>天禄星</v>
          </cell>
        </row>
        <row r="1321">
          <cell r="H1321" t="str">
            <v>22+17</v>
          </cell>
          <cell r="I1321" t="str">
            <v>支合</v>
          </cell>
          <cell r="J1321" t="str">
            <v>牽牛星</v>
          </cell>
          <cell r="K1321" t="str">
            <v>天南星</v>
          </cell>
        </row>
        <row r="1322">
          <cell r="H1322" t="str">
            <v>22+18</v>
          </cell>
          <cell r="I1322" t="str">
            <v>半会</v>
          </cell>
          <cell r="J1322" t="str">
            <v>車騎星</v>
          </cell>
          <cell r="K1322" t="str">
            <v>天恍星</v>
          </cell>
        </row>
        <row r="1323">
          <cell r="H1323" t="str">
            <v>22+19</v>
          </cell>
          <cell r="I1323" t="str">
            <v>－</v>
          </cell>
          <cell r="J1323" t="str">
            <v>玉堂星</v>
          </cell>
          <cell r="K1323" t="str">
            <v>天貴星</v>
          </cell>
        </row>
        <row r="1324">
          <cell r="H1324" t="str">
            <v>22+20</v>
          </cell>
          <cell r="I1324" t="str">
            <v>－</v>
          </cell>
          <cell r="J1324" t="str">
            <v>龍高星</v>
          </cell>
          <cell r="K1324" t="str">
            <v>天印星</v>
          </cell>
        </row>
        <row r="1325">
          <cell r="H1325" t="str">
            <v>22+21</v>
          </cell>
          <cell r="I1325" t="str">
            <v>準方位</v>
          </cell>
          <cell r="J1325" t="str">
            <v>石門星</v>
          </cell>
          <cell r="K1325" t="str">
            <v>天報星</v>
          </cell>
        </row>
        <row r="1326">
          <cell r="H1326" t="str">
            <v>22+22</v>
          </cell>
          <cell r="I1326" t="str">
            <v>律音</v>
          </cell>
          <cell r="J1326" t="str">
            <v>貫索星</v>
          </cell>
          <cell r="K1326" t="str">
            <v>天馳星</v>
          </cell>
        </row>
        <row r="1327">
          <cell r="H1327" t="str">
            <v>22+23</v>
          </cell>
          <cell r="I1327" t="str">
            <v>害</v>
          </cell>
          <cell r="J1327" t="str">
            <v>調舒星</v>
          </cell>
          <cell r="K1327" t="str">
            <v>天庫星</v>
          </cell>
        </row>
        <row r="1328">
          <cell r="H1328" t="str">
            <v>22+24</v>
          </cell>
          <cell r="I1328" t="str">
            <v>－</v>
          </cell>
          <cell r="J1328" t="str">
            <v>鳳閣星</v>
          </cell>
          <cell r="K1328" t="str">
            <v>天極星</v>
          </cell>
        </row>
        <row r="1329">
          <cell r="H1329" t="str">
            <v>22+25</v>
          </cell>
          <cell r="I1329" t="str">
            <v>破</v>
          </cell>
          <cell r="J1329" t="str">
            <v>司禄星</v>
          </cell>
          <cell r="K1329" t="str">
            <v>天胡星</v>
          </cell>
        </row>
        <row r="1330">
          <cell r="H1330" t="str">
            <v>22+26</v>
          </cell>
          <cell r="I1330" t="str">
            <v>半会</v>
          </cell>
          <cell r="J1330" t="str">
            <v>禄存星</v>
          </cell>
          <cell r="K1330" t="str">
            <v>天堂星</v>
          </cell>
        </row>
        <row r="1331">
          <cell r="H1331" t="str">
            <v>22+27</v>
          </cell>
          <cell r="I1331" t="str">
            <v>－</v>
          </cell>
          <cell r="J1331" t="str">
            <v>牽牛星</v>
          </cell>
          <cell r="K1331" t="str">
            <v>天将星</v>
          </cell>
        </row>
        <row r="1332">
          <cell r="H1332" t="str">
            <v>22+28</v>
          </cell>
          <cell r="I1332" t="str">
            <v>天剋地冲</v>
          </cell>
          <cell r="J1332" t="str">
            <v>車騎星</v>
          </cell>
          <cell r="K1332" t="str">
            <v>天禄星</v>
          </cell>
        </row>
        <row r="1333">
          <cell r="H1333" t="str">
            <v>22+29</v>
          </cell>
          <cell r="I1333" t="str">
            <v>支合</v>
          </cell>
          <cell r="J1333" t="str">
            <v>玉堂星</v>
          </cell>
          <cell r="K1333" t="str">
            <v>天南星</v>
          </cell>
        </row>
        <row r="1334">
          <cell r="H1334" t="str">
            <v>22+30</v>
          </cell>
          <cell r="I1334" t="str">
            <v>半会</v>
          </cell>
          <cell r="J1334" t="str">
            <v>龍高星</v>
          </cell>
          <cell r="K1334" t="str">
            <v>天恍星</v>
          </cell>
        </row>
        <row r="1335">
          <cell r="H1335" t="str">
            <v>22+31</v>
          </cell>
          <cell r="I1335" t="str">
            <v>－</v>
          </cell>
          <cell r="J1335" t="str">
            <v>石門星</v>
          </cell>
          <cell r="K1335" t="str">
            <v>天貴星</v>
          </cell>
        </row>
        <row r="1336">
          <cell r="H1336" t="str">
            <v>22+32</v>
          </cell>
          <cell r="I1336" t="str">
            <v>－</v>
          </cell>
          <cell r="J1336" t="str">
            <v>貫索星</v>
          </cell>
          <cell r="K1336" t="str">
            <v>天印星</v>
          </cell>
        </row>
        <row r="1337">
          <cell r="H1337" t="str">
            <v>22+33</v>
          </cell>
          <cell r="I1337" t="str">
            <v>準方位</v>
          </cell>
          <cell r="J1337" t="str">
            <v>調舒星</v>
          </cell>
          <cell r="K1337" t="str">
            <v>天報星</v>
          </cell>
        </row>
        <row r="1338">
          <cell r="H1338" t="str">
            <v>22+34</v>
          </cell>
          <cell r="I1338" t="str">
            <v>自刑</v>
          </cell>
          <cell r="J1338" t="str">
            <v>鳳閣星</v>
          </cell>
          <cell r="K1338" t="str">
            <v>天馳星</v>
          </cell>
        </row>
        <row r="1339">
          <cell r="H1339" t="str">
            <v>22+35</v>
          </cell>
          <cell r="I1339" t="str">
            <v>害</v>
          </cell>
          <cell r="J1339" t="str">
            <v>司禄星</v>
          </cell>
          <cell r="K1339" t="str">
            <v>天庫星</v>
          </cell>
        </row>
        <row r="1340">
          <cell r="H1340" t="str">
            <v>22+36</v>
          </cell>
          <cell r="I1340" t="str">
            <v>－</v>
          </cell>
          <cell r="J1340" t="str">
            <v>禄存星</v>
          </cell>
          <cell r="K1340" t="str">
            <v>天極星</v>
          </cell>
        </row>
        <row r="1341">
          <cell r="H1341" t="str">
            <v>22+37</v>
          </cell>
          <cell r="I1341" t="str">
            <v>破</v>
          </cell>
          <cell r="J1341" t="str">
            <v>牽牛星</v>
          </cell>
          <cell r="K1341" t="str">
            <v>天胡星</v>
          </cell>
        </row>
        <row r="1342">
          <cell r="H1342" t="str">
            <v>22+38</v>
          </cell>
          <cell r="I1342" t="str">
            <v>半会</v>
          </cell>
          <cell r="J1342" t="str">
            <v>車騎星</v>
          </cell>
          <cell r="K1342" t="str">
            <v>天堂星</v>
          </cell>
        </row>
        <row r="1343">
          <cell r="H1343" t="str">
            <v>22+39</v>
          </cell>
          <cell r="I1343" t="str">
            <v>－</v>
          </cell>
          <cell r="J1343" t="str">
            <v>玉堂星</v>
          </cell>
          <cell r="K1343" t="str">
            <v>天将星</v>
          </cell>
        </row>
        <row r="1344">
          <cell r="H1344" t="str">
            <v>22+40</v>
          </cell>
          <cell r="I1344" t="str">
            <v>対冲</v>
          </cell>
          <cell r="J1344" t="str">
            <v>龍高星</v>
          </cell>
          <cell r="K1344" t="str">
            <v>天禄星</v>
          </cell>
        </row>
        <row r="1345">
          <cell r="H1345" t="str">
            <v>22+41</v>
          </cell>
          <cell r="I1345" t="str">
            <v>支合</v>
          </cell>
          <cell r="J1345" t="str">
            <v>石門星</v>
          </cell>
          <cell r="K1345" t="str">
            <v>天南星</v>
          </cell>
        </row>
        <row r="1346">
          <cell r="H1346" t="str">
            <v>22+42</v>
          </cell>
          <cell r="I1346" t="str">
            <v>大半会</v>
          </cell>
          <cell r="J1346" t="str">
            <v>貫索星</v>
          </cell>
          <cell r="K1346" t="str">
            <v>天恍星</v>
          </cell>
        </row>
        <row r="1347">
          <cell r="H1347" t="str">
            <v>22+43</v>
          </cell>
          <cell r="I1347" t="str">
            <v>－</v>
          </cell>
          <cell r="J1347" t="str">
            <v>調舒星</v>
          </cell>
          <cell r="K1347" t="str">
            <v>天貴星</v>
          </cell>
        </row>
        <row r="1348">
          <cell r="H1348" t="str">
            <v>22+44</v>
          </cell>
          <cell r="I1348" t="str">
            <v>－</v>
          </cell>
          <cell r="J1348" t="str">
            <v>鳳閣星</v>
          </cell>
          <cell r="K1348" t="str">
            <v>天印星</v>
          </cell>
        </row>
        <row r="1349">
          <cell r="H1349" t="str">
            <v>22+45</v>
          </cell>
          <cell r="I1349" t="str">
            <v>準方位</v>
          </cell>
          <cell r="J1349" t="str">
            <v>司禄星</v>
          </cell>
          <cell r="K1349" t="str">
            <v>天報星</v>
          </cell>
        </row>
        <row r="1350">
          <cell r="H1350" t="str">
            <v>22+46</v>
          </cell>
          <cell r="I1350" t="str">
            <v>自刑</v>
          </cell>
          <cell r="J1350" t="str">
            <v>禄存星</v>
          </cell>
          <cell r="K1350" t="str">
            <v>天馳星</v>
          </cell>
        </row>
        <row r="1351">
          <cell r="H1351" t="str">
            <v>22+47</v>
          </cell>
          <cell r="I1351" t="str">
            <v>害</v>
          </cell>
          <cell r="J1351" t="str">
            <v>牽牛星</v>
          </cell>
          <cell r="K1351" t="str">
            <v>天庫星</v>
          </cell>
        </row>
        <row r="1352">
          <cell r="H1352" t="str">
            <v>22+48</v>
          </cell>
          <cell r="I1352" t="str">
            <v>－</v>
          </cell>
          <cell r="J1352" t="str">
            <v>車騎星</v>
          </cell>
          <cell r="K1352" t="str">
            <v>天極星</v>
          </cell>
        </row>
        <row r="1353">
          <cell r="H1353" t="str">
            <v>22+49</v>
          </cell>
          <cell r="I1353" t="str">
            <v>破</v>
          </cell>
          <cell r="J1353" t="str">
            <v>玉堂星</v>
          </cell>
          <cell r="K1353" t="str">
            <v>天胡星</v>
          </cell>
        </row>
        <row r="1354">
          <cell r="H1354" t="str">
            <v>22+50</v>
          </cell>
          <cell r="I1354" t="str">
            <v>半会</v>
          </cell>
          <cell r="J1354" t="str">
            <v>龍高星</v>
          </cell>
          <cell r="K1354" t="str">
            <v>天堂星</v>
          </cell>
        </row>
        <row r="1355">
          <cell r="H1355" t="str">
            <v>22+51</v>
          </cell>
          <cell r="I1355" t="str">
            <v>－</v>
          </cell>
          <cell r="J1355" t="str">
            <v>石門星</v>
          </cell>
          <cell r="K1355" t="str">
            <v>天将星</v>
          </cell>
        </row>
        <row r="1356">
          <cell r="H1356" t="str">
            <v>22+52</v>
          </cell>
          <cell r="I1356" t="str">
            <v>納音</v>
          </cell>
          <cell r="J1356" t="str">
            <v>貫索星</v>
          </cell>
          <cell r="K1356" t="str">
            <v>天禄星</v>
          </cell>
        </row>
        <row r="1357">
          <cell r="H1357" t="str">
            <v>22+53</v>
          </cell>
          <cell r="I1357" t="str">
            <v>支合</v>
          </cell>
          <cell r="J1357" t="str">
            <v>調舒星</v>
          </cell>
          <cell r="K1357" t="str">
            <v>天南星</v>
          </cell>
        </row>
        <row r="1358">
          <cell r="H1358" t="str">
            <v>22+54</v>
          </cell>
          <cell r="I1358" t="str">
            <v>半会</v>
          </cell>
          <cell r="J1358" t="str">
            <v>鳳閣星</v>
          </cell>
          <cell r="K1358" t="str">
            <v>天恍星</v>
          </cell>
        </row>
        <row r="1359">
          <cell r="H1359" t="str">
            <v>22+55</v>
          </cell>
          <cell r="I1359" t="str">
            <v>－</v>
          </cell>
          <cell r="J1359" t="str">
            <v>司禄星</v>
          </cell>
          <cell r="K1359" t="str">
            <v>天貴星</v>
          </cell>
        </row>
        <row r="1360">
          <cell r="H1360" t="str">
            <v>22+56</v>
          </cell>
          <cell r="I1360" t="str">
            <v>－</v>
          </cell>
          <cell r="J1360" t="str">
            <v>禄存星</v>
          </cell>
          <cell r="K1360" t="str">
            <v>天印星</v>
          </cell>
        </row>
        <row r="1361">
          <cell r="H1361" t="str">
            <v>22+57</v>
          </cell>
          <cell r="I1361" t="str">
            <v>準方位</v>
          </cell>
          <cell r="J1361" t="str">
            <v>牽牛星</v>
          </cell>
          <cell r="K1361" t="str">
            <v>天報星</v>
          </cell>
        </row>
        <row r="1362">
          <cell r="H1362" t="str">
            <v>22+58</v>
          </cell>
          <cell r="I1362" t="str">
            <v>自刑</v>
          </cell>
          <cell r="J1362" t="str">
            <v>車騎星</v>
          </cell>
          <cell r="K1362" t="str">
            <v>天馳星</v>
          </cell>
        </row>
        <row r="1363">
          <cell r="H1363" t="str">
            <v>22+59</v>
          </cell>
          <cell r="I1363" t="str">
            <v>害</v>
          </cell>
          <cell r="J1363" t="str">
            <v>玉堂星</v>
          </cell>
          <cell r="K1363" t="str">
            <v>天庫星</v>
          </cell>
        </row>
        <row r="1364">
          <cell r="H1364" t="str">
            <v>22+60</v>
          </cell>
          <cell r="I1364" t="str">
            <v>－</v>
          </cell>
          <cell r="J1364" t="str">
            <v>龍高星</v>
          </cell>
          <cell r="K1364" t="str">
            <v>天極星</v>
          </cell>
        </row>
        <row r="1365">
          <cell r="H1365" t="str">
            <v>23+1</v>
          </cell>
          <cell r="I1365" t="str">
            <v>－</v>
          </cell>
          <cell r="J1365" t="str">
            <v>龍高星</v>
          </cell>
          <cell r="K1365" t="str">
            <v>天報星</v>
          </cell>
        </row>
        <row r="1366">
          <cell r="H1366" t="str">
            <v>23+2</v>
          </cell>
          <cell r="I1366" t="str">
            <v>刑</v>
          </cell>
          <cell r="J1366" t="str">
            <v>玉堂星</v>
          </cell>
          <cell r="K1366" t="str">
            <v>天印星</v>
          </cell>
        </row>
        <row r="1367">
          <cell r="H1367" t="str">
            <v>23+3</v>
          </cell>
          <cell r="I1367" t="str">
            <v>大半会</v>
          </cell>
          <cell r="J1367" t="str">
            <v>貫索星</v>
          </cell>
          <cell r="K1367" t="str">
            <v>天貴星</v>
          </cell>
        </row>
        <row r="1368">
          <cell r="H1368" t="str">
            <v>23+4</v>
          </cell>
          <cell r="I1368" t="str">
            <v>支合</v>
          </cell>
          <cell r="J1368" t="str">
            <v>石門星</v>
          </cell>
          <cell r="K1368" t="str">
            <v>天恍星</v>
          </cell>
        </row>
        <row r="1369">
          <cell r="H1369" t="str">
            <v>23+5</v>
          </cell>
          <cell r="I1369" t="str">
            <v>対冲</v>
          </cell>
          <cell r="J1369" t="str">
            <v>鳳閣星</v>
          </cell>
          <cell r="K1369" t="str">
            <v>天南星</v>
          </cell>
        </row>
        <row r="1370">
          <cell r="H1370" t="str">
            <v>23+6</v>
          </cell>
          <cell r="I1370" t="str">
            <v>－</v>
          </cell>
          <cell r="J1370" t="str">
            <v>調舒星</v>
          </cell>
          <cell r="K1370" t="str">
            <v>天禄星</v>
          </cell>
        </row>
        <row r="1371">
          <cell r="H1371" t="str">
            <v>23+7</v>
          </cell>
          <cell r="I1371" t="str">
            <v>半会</v>
          </cell>
          <cell r="J1371" t="str">
            <v>禄存星</v>
          </cell>
          <cell r="K1371" t="str">
            <v>天将星</v>
          </cell>
        </row>
        <row r="1372">
          <cell r="H1372" t="str">
            <v>23+8</v>
          </cell>
          <cell r="I1372" t="str">
            <v>刑</v>
          </cell>
          <cell r="J1372" t="str">
            <v>司禄星</v>
          </cell>
          <cell r="K1372" t="str">
            <v>天堂星</v>
          </cell>
        </row>
        <row r="1373">
          <cell r="H1373" t="str">
            <v>23+9</v>
          </cell>
          <cell r="I1373" t="str">
            <v>準方位</v>
          </cell>
          <cell r="J1373" t="str">
            <v>車騎星</v>
          </cell>
          <cell r="K1373" t="str">
            <v>天胡星</v>
          </cell>
        </row>
        <row r="1374">
          <cell r="H1374" t="str">
            <v>23+10</v>
          </cell>
          <cell r="I1374" t="str">
            <v>害</v>
          </cell>
          <cell r="J1374" t="str">
            <v>牽牛星</v>
          </cell>
          <cell r="K1374" t="str">
            <v>天極星</v>
          </cell>
        </row>
        <row r="1375">
          <cell r="H1375" t="str">
            <v>23+11</v>
          </cell>
          <cell r="I1375" t="str">
            <v>同</v>
          </cell>
          <cell r="J1375" t="str">
            <v>龍高星</v>
          </cell>
          <cell r="K1375" t="str">
            <v>天庫星</v>
          </cell>
        </row>
        <row r="1376">
          <cell r="H1376" t="str">
            <v>23+12</v>
          </cell>
          <cell r="I1376" t="str">
            <v>－</v>
          </cell>
          <cell r="J1376" t="str">
            <v>玉堂星</v>
          </cell>
          <cell r="K1376" t="str">
            <v>天馳星</v>
          </cell>
        </row>
        <row r="1377">
          <cell r="H1377" t="str">
            <v>23+13</v>
          </cell>
          <cell r="I1377" t="str">
            <v>－</v>
          </cell>
          <cell r="J1377" t="str">
            <v>貫索星</v>
          </cell>
          <cell r="K1377" t="str">
            <v>天報星</v>
          </cell>
        </row>
        <row r="1378">
          <cell r="H1378" t="str">
            <v>23+14</v>
          </cell>
          <cell r="I1378" t="str">
            <v>刑</v>
          </cell>
          <cell r="J1378" t="str">
            <v>石門星</v>
          </cell>
          <cell r="K1378" t="str">
            <v>天印星</v>
          </cell>
        </row>
        <row r="1379">
          <cell r="H1379" t="str">
            <v>23+15</v>
          </cell>
          <cell r="I1379" t="str">
            <v>半会</v>
          </cell>
          <cell r="J1379" t="str">
            <v>鳳閣星</v>
          </cell>
          <cell r="K1379" t="str">
            <v>天貴星</v>
          </cell>
        </row>
        <row r="1380">
          <cell r="H1380" t="str">
            <v>23+16</v>
          </cell>
          <cell r="I1380" t="str">
            <v>支合</v>
          </cell>
          <cell r="J1380" t="str">
            <v>調舒星</v>
          </cell>
          <cell r="K1380" t="str">
            <v>天恍星</v>
          </cell>
        </row>
        <row r="1381">
          <cell r="H1381" t="str">
            <v>23+17</v>
          </cell>
          <cell r="I1381" t="str">
            <v>天剋地冲</v>
          </cell>
          <cell r="J1381" t="str">
            <v>禄存星</v>
          </cell>
          <cell r="K1381" t="str">
            <v>天南星</v>
          </cell>
        </row>
        <row r="1382">
          <cell r="H1382" t="str">
            <v>23+18</v>
          </cell>
          <cell r="I1382" t="str">
            <v>－</v>
          </cell>
          <cell r="J1382" t="str">
            <v>司禄星</v>
          </cell>
          <cell r="K1382" t="str">
            <v>天禄星</v>
          </cell>
        </row>
        <row r="1383">
          <cell r="H1383" t="str">
            <v>23+19</v>
          </cell>
          <cell r="I1383" t="str">
            <v>半会</v>
          </cell>
          <cell r="J1383" t="str">
            <v>車騎星</v>
          </cell>
          <cell r="K1383" t="str">
            <v>天将星</v>
          </cell>
        </row>
        <row r="1384">
          <cell r="H1384" t="str">
            <v>23+20</v>
          </cell>
          <cell r="I1384" t="str">
            <v>刑</v>
          </cell>
          <cell r="J1384" t="str">
            <v>牽牛星</v>
          </cell>
          <cell r="K1384" t="str">
            <v>天堂星</v>
          </cell>
        </row>
        <row r="1385">
          <cell r="H1385" t="str">
            <v>23+21</v>
          </cell>
          <cell r="I1385" t="str">
            <v>準方位</v>
          </cell>
          <cell r="J1385" t="str">
            <v>龍高星</v>
          </cell>
          <cell r="K1385" t="str">
            <v>天胡星</v>
          </cell>
        </row>
        <row r="1386">
          <cell r="H1386" t="str">
            <v>23+22</v>
          </cell>
          <cell r="I1386" t="str">
            <v>害</v>
          </cell>
          <cell r="J1386" t="str">
            <v>玉堂星</v>
          </cell>
          <cell r="K1386" t="str">
            <v>天極星</v>
          </cell>
        </row>
        <row r="1387">
          <cell r="H1387" t="str">
            <v>23+23</v>
          </cell>
          <cell r="I1387" t="str">
            <v>律音</v>
          </cell>
          <cell r="J1387" t="str">
            <v>貫索星</v>
          </cell>
          <cell r="K1387" t="str">
            <v>天庫星</v>
          </cell>
        </row>
        <row r="1388">
          <cell r="H1388" t="str">
            <v>23+24</v>
          </cell>
          <cell r="I1388" t="str">
            <v>－</v>
          </cell>
          <cell r="J1388" t="str">
            <v>石門星</v>
          </cell>
          <cell r="K1388" t="str">
            <v>天馳星</v>
          </cell>
        </row>
        <row r="1389">
          <cell r="H1389" t="str">
            <v>23+25</v>
          </cell>
          <cell r="I1389" t="str">
            <v>－</v>
          </cell>
          <cell r="J1389" t="str">
            <v>鳳閣星</v>
          </cell>
          <cell r="K1389" t="str">
            <v>天報星</v>
          </cell>
        </row>
        <row r="1390">
          <cell r="H1390" t="str">
            <v>23+26</v>
          </cell>
          <cell r="I1390" t="str">
            <v>刑</v>
          </cell>
          <cell r="J1390" t="str">
            <v>調舒星</v>
          </cell>
          <cell r="K1390" t="str">
            <v>天印星</v>
          </cell>
        </row>
        <row r="1391">
          <cell r="H1391" t="str">
            <v>23+27</v>
          </cell>
          <cell r="I1391" t="str">
            <v>半会</v>
          </cell>
          <cell r="J1391" t="str">
            <v>禄存星</v>
          </cell>
          <cell r="K1391" t="str">
            <v>天貴星</v>
          </cell>
        </row>
        <row r="1392">
          <cell r="H1392" t="str">
            <v>23+28</v>
          </cell>
          <cell r="I1392" t="str">
            <v>支合</v>
          </cell>
          <cell r="J1392" t="str">
            <v>司禄星</v>
          </cell>
          <cell r="K1392" t="str">
            <v>天恍星</v>
          </cell>
        </row>
        <row r="1393">
          <cell r="H1393" t="str">
            <v>23+29</v>
          </cell>
          <cell r="I1393" t="str">
            <v>天剋地冲</v>
          </cell>
          <cell r="J1393" t="str">
            <v>車騎星</v>
          </cell>
          <cell r="K1393" t="str">
            <v>天南星</v>
          </cell>
        </row>
        <row r="1394">
          <cell r="H1394" t="str">
            <v>23+30</v>
          </cell>
          <cell r="I1394" t="str">
            <v>－</v>
          </cell>
          <cell r="J1394" t="str">
            <v>牽牛星</v>
          </cell>
          <cell r="K1394" t="str">
            <v>天禄星</v>
          </cell>
        </row>
        <row r="1395">
          <cell r="H1395" t="str">
            <v>23+31</v>
          </cell>
          <cell r="I1395" t="str">
            <v>半会</v>
          </cell>
          <cell r="J1395" t="str">
            <v>龍高星</v>
          </cell>
          <cell r="K1395" t="str">
            <v>天将星</v>
          </cell>
        </row>
        <row r="1396">
          <cell r="H1396" t="str">
            <v>23+32</v>
          </cell>
          <cell r="I1396" t="str">
            <v>刑</v>
          </cell>
          <cell r="J1396" t="str">
            <v>玉堂星</v>
          </cell>
          <cell r="K1396" t="str">
            <v>天堂星</v>
          </cell>
        </row>
        <row r="1397">
          <cell r="H1397" t="str">
            <v>23+33</v>
          </cell>
          <cell r="I1397" t="str">
            <v>準方位</v>
          </cell>
          <cell r="J1397" t="str">
            <v>貫索星</v>
          </cell>
          <cell r="K1397" t="str">
            <v>天胡星</v>
          </cell>
        </row>
        <row r="1398">
          <cell r="H1398" t="str">
            <v>23+34</v>
          </cell>
          <cell r="I1398" t="str">
            <v>害</v>
          </cell>
          <cell r="J1398" t="str">
            <v>石門星</v>
          </cell>
          <cell r="K1398" t="str">
            <v>天極星</v>
          </cell>
        </row>
        <row r="1399">
          <cell r="H1399" t="str">
            <v>23+35</v>
          </cell>
          <cell r="I1399" t="str">
            <v>同</v>
          </cell>
          <cell r="J1399" t="str">
            <v>鳳閣星</v>
          </cell>
          <cell r="K1399" t="str">
            <v>天庫星</v>
          </cell>
        </row>
        <row r="1400">
          <cell r="H1400" t="str">
            <v>23+36</v>
          </cell>
          <cell r="I1400" t="str">
            <v>－</v>
          </cell>
          <cell r="J1400" t="str">
            <v>調舒星</v>
          </cell>
          <cell r="K1400" t="str">
            <v>天馳星</v>
          </cell>
        </row>
        <row r="1401">
          <cell r="H1401" t="str">
            <v>23+37</v>
          </cell>
          <cell r="I1401" t="str">
            <v>－</v>
          </cell>
          <cell r="J1401" t="str">
            <v>禄存星</v>
          </cell>
          <cell r="K1401" t="str">
            <v>天報星</v>
          </cell>
        </row>
        <row r="1402">
          <cell r="H1402" t="str">
            <v>23+38</v>
          </cell>
          <cell r="I1402" t="str">
            <v>刑</v>
          </cell>
          <cell r="J1402" t="str">
            <v>司禄星</v>
          </cell>
          <cell r="K1402" t="str">
            <v>天印星</v>
          </cell>
        </row>
        <row r="1403">
          <cell r="H1403" t="str">
            <v>23+39</v>
          </cell>
          <cell r="I1403" t="str">
            <v>半会</v>
          </cell>
          <cell r="J1403" t="str">
            <v>車騎星</v>
          </cell>
          <cell r="K1403" t="str">
            <v>天貴星</v>
          </cell>
        </row>
        <row r="1404">
          <cell r="H1404" t="str">
            <v>23+40</v>
          </cell>
          <cell r="I1404" t="str">
            <v>支合</v>
          </cell>
          <cell r="J1404" t="str">
            <v>牽牛星</v>
          </cell>
          <cell r="K1404" t="str">
            <v>天恍星</v>
          </cell>
        </row>
        <row r="1405">
          <cell r="H1405" t="str">
            <v>23+41</v>
          </cell>
          <cell r="I1405" t="str">
            <v>対冲</v>
          </cell>
          <cell r="J1405" t="str">
            <v>龍高星</v>
          </cell>
          <cell r="K1405" t="str">
            <v>天南星</v>
          </cell>
        </row>
        <row r="1406">
          <cell r="H1406" t="str">
            <v>23+42</v>
          </cell>
          <cell r="I1406" t="str">
            <v>－</v>
          </cell>
          <cell r="J1406" t="str">
            <v>玉堂星</v>
          </cell>
          <cell r="K1406" t="str">
            <v>天禄星</v>
          </cell>
        </row>
        <row r="1407">
          <cell r="H1407" t="str">
            <v>23+43</v>
          </cell>
          <cell r="I1407" t="str">
            <v>大半会</v>
          </cell>
          <cell r="J1407" t="str">
            <v>貫索星</v>
          </cell>
          <cell r="K1407" t="str">
            <v>天将星</v>
          </cell>
        </row>
        <row r="1408">
          <cell r="H1408" t="str">
            <v>23+44</v>
          </cell>
          <cell r="I1408" t="str">
            <v>刑</v>
          </cell>
          <cell r="J1408" t="str">
            <v>石門星</v>
          </cell>
          <cell r="K1408" t="str">
            <v>天堂星</v>
          </cell>
        </row>
        <row r="1409">
          <cell r="H1409" t="str">
            <v>23+45</v>
          </cell>
          <cell r="I1409" t="str">
            <v>準方位</v>
          </cell>
          <cell r="J1409" t="str">
            <v>鳳閣星</v>
          </cell>
          <cell r="K1409" t="str">
            <v>天胡星</v>
          </cell>
        </row>
        <row r="1410">
          <cell r="H1410" t="str">
            <v>23+46</v>
          </cell>
          <cell r="I1410" t="str">
            <v>害</v>
          </cell>
          <cell r="J1410" t="str">
            <v>調舒星</v>
          </cell>
          <cell r="K1410" t="str">
            <v>天極星</v>
          </cell>
        </row>
        <row r="1411">
          <cell r="H1411" t="str">
            <v>23+47</v>
          </cell>
          <cell r="I1411" t="str">
            <v>同</v>
          </cell>
          <cell r="J1411" t="str">
            <v>禄存星</v>
          </cell>
          <cell r="K1411" t="str">
            <v>天庫星</v>
          </cell>
        </row>
        <row r="1412">
          <cell r="H1412" t="str">
            <v>23+48</v>
          </cell>
          <cell r="I1412" t="str">
            <v>－</v>
          </cell>
          <cell r="J1412" t="str">
            <v>司禄星</v>
          </cell>
          <cell r="K1412" t="str">
            <v>天馳星</v>
          </cell>
        </row>
        <row r="1413">
          <cell r="H1413" t="str">
            <v>23+49</v>
          </cell>
          <cell r="I1413" t="str">
            <v>－</v>
          </cell>
          <cell r="J1413" t="str">
            <v>車騎星</v>
          </cell>
          <cell r="K1413" t="str">
            <v>天報星</v>
          </cell>
        </row>
        <row r="1414">
          <cell r="H1414" t="str">
            <v>23+50</v>
          </cell>
          <cell r="I1414" t="str">
            <v>刑</v>
          </cell>
          <cell r="J1414" t="str">
            <v>牽牛星</v>
          </cell>
          <cell r="K1414" t="str">
            <v>天印星</v>
          </cell>
        </row>
        <row r="1415">
          <cell r="H1415" t="str">
            <v>23+51</v>
          </cell>
          <cell r="I1415" t="str">
            <v>半会</v>
          </cell>
          <cell r="J1415" t="str">
            <v>龍高星</v>
          </cell>
          <cell r="K1415" t="str">
            <v>天貴星</v>
          </cell>
        </row>
        <row r="1416">
          <cell r="H1416" t="str">
            <v>23+52</v>
          </cell>
          <cell r="I1416" t="str">
            <v>支合</v>
          </cell>
          <cell r="J1416" t="str">
            <v>玉堂星</v>
          </cell>
          <cell r="K1416" t="str">
            <v>天恍星</v>
          </cell>
        </row>
        <row r="1417">
          <cell r="H1417" t="str">
            <v>23+53</v>
          </cell>
          <cell r="I1417" t="str">
            <v>納音</v>
          </cell>
          <cell r="J1417" t="str">
            <v>貫索星</v>
          </cell>
          <cell r="K1417" t="str">
            <v>天南星</v>
          </cell>
        </row>
        <row r="1418">
          <cell r="H1418" t="str">
            <v>23+54</v>
          </cell>
          <cell r="I1418" t="str">
            <v>－</v>
          </cell>
          <cell r="J1418" t="str">
            <v>石門星</v>
          </cell>
          <cell r="K1418" t="str">
            <v>天禄星</v>
          </cell>
        </row>
        <row r="1419">
          <cell r="H1419" t="str">
            <v>23+55</v>
          </cell>
          <cell r="I1419" t="str">
            <v>半会</v>
          </cell>
          <cell r="J1419" t="str">
            <v>鳳閣星</v>
          </cell>
          <cell r="K1419" t="str">
            <v>天将星</v>
          </cell>
        </row>
        <row r="1420">
          <cell r="H1420" t="str">
            <v>23+56</v>
          </cell>
          <cell r="I1420" t="str">
            <v>刑</v>
          </cell>
          <cell r="J1420" t="str">
            <v>調舒星</v>
          </cell>
          <cell r="K1420" t="str">
            <v>天堂星</v>
          </cell>
        </row>
        <row r="1421">
          <cell r="H1421" t="str">
            <v>23+57</v>
          </cell>
          <cell r="I1421" t="str">
            <v>準方位</v>
          </cell>
          <cell r="J1421" t="str">
            <v>禄存星</v>
          </cell>
          <cell r="K1421" t="str">
            <v>天胡星</v>
          </cell>
        </row>
        <row r="1422">
          <cell r="H1422" t="str">
            <v>23+58</v>
          </cell>
          <cell r="I1422" t="str">
            <v>害</v>
          </cell>
          <cell r="J1422" t="str">
            <v>司禄星</v>
          </cell>
          <cell r="K1422" t="str">
            <v>天極星</v>
          </cell>
        </row>
        <row r="1423">
          <cell r="H1423" t="str">
            <v>23+59</v>
          </cell>
          <cell r="I1423" t="str">
            <v>同</v>
          </cell>
          <cell r="J1423" t="str">
            <v>車騎星</v>
          </cell>
          <cell r="K1423" t="str">
            <v>天庫星</v>
          </cell>
        </row>
        <row r="1424">
          <cell r="H1424" t="str">
            <v>23+60</v>
          </cell>
          <cell r="I1424" t="str">
            <v>－</v>
          </cell>
          <cell r="J1424" t="str">
            <v>牽牛星</v>
          </cell>
          <cell r="K1424" t="str">
            <v>天馳星</v>
          </cell>
        </row>
        <row r="1425">
          <cell r="H1425" t="str">
            <v>24+1</v>
          </cell>
          <cell r="I1425" t="str">
            <v>準方位</v>
          </cell>
          <cell r="J1425" t="str">
            <v>玉堂星</v>
          </cell>
          <cell r="K1425" t="str">
            <v>天馳星</v>
          </cell>
        </row>
        <row r="1426">
          <cell r="H1426" t="str">
            <v>24+2</v>
          </cell>
          <cell r="I1426" t="str">
            <v>準方位</v>
          </cell>
          <cell r="J1426" t="str">
            <v>龍高星</v>
          </cell>
          <cell r="K1426" t="str">
            <v>天庫星</v>
          </cell>
        </row>
        <row r="1427">
          <cell r="H1427" t="str">
            <v>24+3</v>
          </cell>
          <cell r="I1427" t="str">
            <v>支合</v>
          </cell>
          <cell r="J1427" t="str">
            <v>石門星</v>
          </cell>
          <cell r="K1427" t="str">
            <v>天極星</v>
          </cell>
        </row>
        <row r="1428">
          <cell r="H1428" t="str">
            <v>24+4</v>
          </cell>
          <cell r="I1428" t="str">
            <v>大半会</v>
          </cell>
          <cell r="J1428" t="str">
            <v>貫索星</v>
          </cell>
          <cell r="K1428" t="str">
            <v>天胡星</v>
          </cell>
        </row>
        <row r="1429">
          <cell r="H1429" t="str">
            <v>24+5</v>
          </cell>
          <cell r="I1429" t="str">
            <v>－</v>
          </cell>
          <cell r="J1429" t="str">
            <v>調舒星</v>
          </cell>
          <cell r="K1429" t="str">
            <v>天堂星</v>
          </cell>
        </row>
        <row r="1430">
          <cell r="H1430" t="str">
            <v>24+6</v>
          </cell>
          <cell r="I1430" t="str">
            <v>対冲</v>
          </cell>
          <cell r="J1430" t="str">
            <v>鳳閣星</v>
          </cell>
          <cell r="K1430" t="str">
            <v>天将星</v>
          </cell>
        </row>
        <row r="1431">
          <cell r="H1431" t="str">
            <v>24+7</v>
          </cell>
          <cell r="I1431" t="str">
            <v>－</v>
          </cell>
          <cell r="J1431" t="str">
            <v>司禄星</v>
          </cell>
          <cell r="K1431" t="str">
            <v>天禄星</v>
          </cell>
        </row>
        <row r="1432">
          <cell r="H1432" t="str">
            <v>24+8</v>
          </cell>
          <cell r="I1432" t="str">
            <v>半会</v>
          </cell>
          <cell r="J1432" t="str">
            <v>禄存星</v>
          </cell>
          <cell r="K1432" t="str">
            <v>天南星</v>
          </cell>
        </row>
        <row r="1433">
          <cell r="H1433" t="str">
            <v>24+9</v>
          </cell>
          <cell r="I1433" t="str">
            <v>害</v>
          </cell>
          <cell r="J1433" t="str">
            <v>牽牛星</v>
          </cell>
          <cell r="K1433" t="str">
            <v>天恍星</v>
          </cell>
        </row>
        <row r="1434">
          <cell r="H1434" t="str">
            <v>24+10</v>
          </cell>
          <cell r="I1434" t="str">
            <v>－</v>
          </cell>
          <cell r="J1434" t="str">
            <v>車騎星</v>
          </cell>
          <cell r="K1434" t="str">
            <v>天貴星</v>
          </cell>
        </row>
        <row r="1435">
          <cell r="H1435" t="str">
            <v>24+11</v>
          </cell>
          <cell r="I1435" t="str">
            <v>－</v>
          </cell>
          <cell r="J1435" t="str">
            <v>玉堂星</v>
          </cell>
          <cell r="K1435" t="str">
            <v>天印星</v>
          </cell>
        </row>
        <row r="1436">
          <cell r="H1436" t="str">
            <v>24+12</v>
          </cell>
          <cell r="I1436" t="str">
            <v>自刑</v>
          </cell>
          <cell r="J1436" t="str">
            <v>龍高星</v>
          </cell>
          <cell r="K1436" t="str">
            <v>天報星</v>
          </cell>
        </row>
        <row r="1437">
          <cell r="H1437" t="str">
            <v>24+13</v>
          </cell>
          <cell r="I1437" t="str">
            <v>準方位</v>
          </cell>
          <cell r="J1437" t="str">
            <v>石門星</v>
          </cell>
          <cell r="K1437" t="str">
            <v>天馳星</v>
          </cell>
        </row>
        <row r="1438">
          <cell r="H1438" t="str">
            <v>24+14</v>
          </cell>
          <cell r="I1438" t="str">
            <v>準方位</v>
          </cell>
          <cell r="J1438" t="str">
            <v>貫索星</v>
          </cell>
          <cell r="K1438" t="str">
            <v>天庫星</v>
          </cell>
        </row>
        <row r="1439">
          <cell r="H1439" t="str">
            <v>24+15</v>
          </cell>
          <cell r="I1439" t="str">
            <v>支合</v>
          </cell>
          <cell r="J1439" t="str">
            <v>調舒星</v>
          </cell>
          <cell r="K1439" t="str">
            <v>天極星</v>
          </cell>
        </row>
        <row r="1440">
          <cell r="H1440" t="str">
            <v>24+16</v>
          </cell>
          <cell r="I1440" t="str">
            <v>半会</v>
          </cell>
          <cell r="J1440" t="str">
            <v>鳳閣星</v>
          </cell>
          <cell r="K1440" t="str">
            <v>天胡星</v>
          </cell>
        </row>
        <row r="1441">
          <cell r="H1441" t="str">
            <v>24+17</v>
          </cell>
          <cell r="I1441" t="str">
            <v>－</v>
          </cell>
          <cell r="J1441" t="str">
            <v>司禄星</v>
          </cell>
          <cell r="K1441" t="str">
            <v>天堂星</v>
          </cell>
        </row>
        <row r="1442">
          <cell r="H1442" t="str">
            <v>24+18</v>
          </cell>
          <cell r="I1442" t="str">
            <v>天剋地冲</v>
          </cell>
          <cell r="J1442" t="str">
            <v>禄存星</v>
          </cell>
          <cell r="K1442" t="str">
            <v>天将星</v>
          </cell>
        </row>
        <row r="1443">
          <cell r="H1443" t="str">
            <v>24+19</v>
          </cell>
          <cell r="I1443" t="str">
            <v>－</v>
          </cell>
          <cell r="J1443" t="str">
            <v>牽牛星</v>
          </cell>
          <cell r="K1443" t="str">
            <v>天禄星</v>
          </cell>
        </row>
        <row r="1444">
          <cell r="H1444" t="str">
            <v>24+20</v>
          </cell>
          <cell r="I1444" t="str">
            <v>半会</v>
          </cell>
          <cell r="J1444" t="str">
            <v>車騎星</v>
          </cell>
          <cell r="K1444" t="str">
            <v>天南星</v>
          </cell>
        </row>
        <row r="1445">
          <cell r="H1445" t="str">
            <v>24+21</v>
          </cell>
          <cell r="I1445" t="str">
            <v>害</v>
          </cell>
          <cell r="J1445" t="str">
            <v>玉堂星</v>
          </cell>
          <cell r="K1445" t="str">
            <v>天恍星</v>
          </cell>
        </row>
        <row r="1446">
          <cell r="H1446" t="str">
            <v>24+22</v>
          </cell>
          <cell r="I1446" t="str">
            <v>－</v>
          </cell>
          <cell r="J1446" t="str">
            <v>龍高星</v>
          </cell>
          <cell r="K1446" t="str">
            <v>天貴星</v>
          </cell>
        </row>
        <row r="1447">
          <cell r="H1447" t="str">
            <v>24+23</v>
          </cell>
          <cell r="I1447" t="str">
            <v>－</v>
          </cell>
          <cell r="J1447" t="str">
            <v>石門星</v>
          </cell>
          <cell r="K1447" t="str">
            <v>天印星</v>
          </cell>
        </row>
        <row r="1448">
          <cell r="H1448" t="str">
            <v>24+24</v>
          </cell>
          <cell r="I1448" t="str">
            <v>律音</v>
          </cell>
          <cell r="J1448" t="str">
            <v>貫索星</v>
          </cell>
          <cell r="K1448" t="str">
            <v>天報星</v>
          </cell>
        </row>
        <row r="1449">
          <cell r="H1449" t="str">
            <v>24+25</v>
          </cell>
          <cell r="I1449" t="str">
            <v>準方位</v>
          </cell>
          <cell r="J1449" t="str">
            <v>調舒星</v>
          </cell>
          <cell r="K1449" t="str">
            <v>天馳星</v>
          </cell>
        </row>
        <row r="1450">
          <cell r="H1450" t="str">
            <v>24+26</v>
          </cell>
          <cell r="I1450" t="str">
            <v>準方位</v>
          </cell>
          <cell r="J1450" t="str">
            <v>鳳閣星</v>
          </cell>
          <cell r="K1450" t="str">
            <v>天庫星</v>
          </cell>
        </row>
        <row r="1451">
          <cell r="H1451" t="str">
            <v>24+27</v>
          </cell>
          <cell r="I1451" t="str">
            <v>支合</v>
          </cell>
          <cell r="J1451" t="str">
            <v>司禄星</v>
          </cell>
          <cell r="K1451" t="str">
            <v>天極星</v>
          </cell>
        </row>
        <row r="1452">
          <cell r="H1452" t="str">
            <v>24+28</v>
          </cell>
          <cell r="I1452" t="str">
            <v>半会</v>
          </cell>
          <cell r="J1452" t="str">
            <v>禄存星</v>
          </cell>
          <cell r="K1452" t="str">
            <v>天胡星</v>
          </cell>
        </row>
        <row r="1453">
          <cell r="H1453" t="str">
            <v>24+29</v>
          </cell>
          <cell r="I1453" t="str">
            <v>－</v>
          </cell>
          <cell r="J1453" t="str">
            <v>牽牛星</v>
          </cell>
          <cell r="K1453" t="str">
            <v>天堂星</v>
          </cell>
        </row>
        <row r="1454">
          <cell r="H1454" t="str">
            <v>24+30</v>
          </cell>
          <cell r="I1454" t="str">
            <v>天剋地冲</v>
          </cell>
          <cell r="J1454" t="str">
            <v>車騎星</v>
          </cell>
          <cell r="K1454" t="str">
            <v>天将星</v>
          </cell>
        </row>
        <row r="1455">
          <cell r="H1455" t="str">
            <v>24+31</v>
          </cell>
          <cell r="I1455" t="str">
            <v>－</v>
          </cell>
          <cell r="J1455" t="str">
            <v>玉堂星</v>
          </cell>
          <cell r="K1455" t="str">
            <v>天禄星</v>
          </cell>
        </row>
        <row r="1456">
          <cell r="H1456" t="str">
            <v>24+32</v>
          </cell>
          <cell r="I1456" t="str">
            <v>半会</v>
          </cell>
          <cell r="J1456" t="str">
            <v>龍高星</v>
          </cell>
          <cell r="K1456" t="str">
            <v>天南星</v>
          </cell>
        </row>
        <row r="1457">
          <cell r="H1457" t="str">
            <v>24+33</v>
          </cell>
          <cell r="I1457" t="str">
            <v>害</v>
          </cell>
          <cell r="J1457" t="str">
            <v>石門星</v>
          </cell>
          <cell r="K1457" t="str">
            <v>天恍星</v>
          </cell>
        </row>
        <row r="1458">
          <cell r="H1458" t="str">
            <v>24+34</v>
          </cell>
          <cell r="I1458" t="str">
            <v>－</v>
          </cell>
          <cell r="J1458" t="str">
            <v>貫索星</v>
          </cell>
          <cell r="K1458" t="str">
            <v>天貴星</v>
          </cell>
        </row>
        <row r="1459">
          <cell r="H1459" t="str">
            <v>24+35</v>
          </cell>
          <cell r="I1459" t="str">
            <v>－</v>
          </cell>
          <cell r="J1459" t="str">
            <v>調舒星</v>
          </cell>
          <cell r="K1459" t="str">
            <v>天印星</v>
          </cell>
        </row>
        <row r="1460">
          <cell r="H1460" t="str">
            <v>24+36</v>
          </cell>
          <cell r="I1460" t="str">
            <v>自刑</v>
          </cell>
          <cell r="J1460" t="str">
            <v>鳳閣星</v>
          </cell>
          <cell r="K1460" t="str">
            <v>天報星</v>
          </cell>
        </row>
        <row r="1461">
          <cell r="H1461" t="str">
            <v>24+37</v>
          </cell>
          <cell r="I1461" t="str">
            <v>準方位</v>
          </cell>
          <cell r="J1461" t="str">
            <v>司禄星</v>
          </cell>
          <cell r="K1461" t="str">
            <v>天馳星</v>
          </cell>
        </row>
        <row r="1462">
          <cell r="H1462" t="str">
            <v>24+38</v>
          </cell>
          <cell r="I1462" t="str">
            <v>準方位</v>
          </cell>
          <cell r="J1462" t="str">
            <v>禄存星</v>
          </cell>
          <cell r="K1462" t="str">
            <v>天庫星</v>
          </cell>
        </row>
        <row r="1463">
          <cell r="H1463" t="str">
            <v>24+39</v>
          </cell>
          <cell r="I1463" t="str">
            <v>支合</v>
          </cell>
          <cell r="J1463" t="str">
            <v>牽牛星</v>
          </cell>
          <cell r="K1463" t="str">
            <v>天極星</v>
          </cell>
        </row>
        <row r="1464">
          <cell r="H1464" t="str">
            <v>24+40</v>
          </cell>
          <cell r="I1464" t="str">
            <v>半会</v>
          </cell>
          <cell r="J1464" t="str">
            <v>車騎星</v>
          </cell>
          <cell r="K1464" t="str">
            <v>天胡星</v>
          </cell>
        </row>
        <row r="1465">
          <cell r="H1465" t="str">
            <v>24+41</v>
          </cell>
          <cell r="I1465" t="str">
            <v>－</v>
          </cell>
          <cell r="J1465" t="str">
            <v>玉堂星</v>
          </cell>
          <cell r="K1465" t="str">
            <v>天堂星</v>
          </cell>
        </row>
        <row r="1466">
          <cell r="H1466" t="str">
            <v>24+42</v>
          </cell>
          <cell r="I1466" t="str">
            <v>対冲</v>
          </cell>
          <cell r="J1466" t="str">
            <v>龍高星</v>
          </cell>
          <cell r="K1466" t="str">
            <v>天将星</v>
          </cell>
        </row>
        <row r="1467">
          <cell r="H1467" t="str">
            <v>24+43</v>
          </cell>
          <cell r="I1467" t="str">
            <v>－</v>
          </cell>
          <cell r="J1467" t="str">
            <v>石門星</v>
          </cell>
          <cell r="K1467" t="str">
            <v>天禄星</v>
          </cell>
        </row>
        <row r="1468">
          <cell r="H1468" t="str">
            <v>24+44</v>
          </cell>
          <cell r="I1468" t="str">
            <v>大半会</v>
          </cell>
          <cell r="J1468" t="str">
            <v>貫索星</v>
          </cell>
          <cell r="K1468" t="str">
            <v>天南星</v>
          </cell>
        </row>
        <row r="1469">
          <cell r="H1469" t="str">
            <v>24+45</v>
          </cell>
          <cell r="I1469" t="str">
            <v>害</v>
          </cell>
          <cell r="J1469" t="str">
            <v>調舒星</v>
          </cell>
          <cell r="K1469" t="str">
            <v>天恍星</v>
          </cell>
        </row>
        <row r="1470">
          <cell r="H1470" t="str">
            <v>24+46</v>
          </cell>
          <cell r="I1470" t="str">
            <v>－</v>
          </cell>
          <cell r="J1470" t="str">
            <v>鳳閣星</v>
          </cell>
          <cell r="K1470" t="str">
            <v>天貴星</v>
          </cell>
        </row>
        <row r="1471">
          <cell r="H1471" t="str">
            <v>24+47</v>
          </cell>
          <cell r="I1471" t="str">
            <v>－</v>
          </cell>
          <cell r="J1471" t="str">
            <v>司禄星</v>
          </cell>
          <cell r="K1471" t="str">
            <v>天印星</v>
          </cell>
        </row>
        <row r="1472">
          <cell r="H1472" t="str">
            <v>24+48</v>
          </cell>
          <cell r="I1472" t="str">
            <v>自刑</v>
          </cell>
          <cell r="J1472" t="str">
            <v>禄存星</v>
          </cell>
          <cell r="K1472" t="str">
            <v>天報星</v>
          </cell>
        </row>
        <row r="1473">
          <cell r="H1473" t="str">
            <v>24+49</v>
          </cell>
          <cell r="I1473" t="str">
            <v>準方位</v>
          </cell>
          <cell r="J1473" t="str">
            <v>牽牛星</v>
          </cell>
          <cell r="K1473" t="str">
            <v>天馳星</v>
          </cell>
        </row>
        <row r="1474">
          <cell r="H1474" t="str">
            <v>24+50</v>
          </cell>
          <cell r="I1474" t="str">
            <v>準方位</v>
          </cell>
          <cell r="J1474" t="str">
            <v>車騎星</v>
          </cell>
          <cell r="K1474" t="str">
            <v>天庫星</v>
          </cell>
        </row>
        <row r="1475">
          <cell r="H1475" t="str">
            <v>24+51</v>
          </cell>
          <cell r="I1475" t="str">
            <v>支合</v>
          </cell>
          <cell r="J1475" t="str">
            <v>玉堂星</v>
          </cell>
          <cell r="K1475" t="str">
            <v>天極星</v>
          </cell>
        </row>
        <row r="1476">
          <cell r="H1476" t="str">
            <v>24+52</v>
          </cell>
          <cell r="I1476" t="str">
            <v>半会</v>
          </cell>
          <cell r="J1476" t="str">
            <v>龍高星</v>
          </cell>
          <cell r="K1476" t="str">
            <v>天胡星</v>
          </cell>
        </row>
        <row r="1477">
          <cell r="H1477" t="str">
            <v>24+53</v>
          </cell>
          <cell r="I1477" t="str">
            <v>－</v>
          </cell>
          <cell r="J1477" t="str">
            <v>石門星</v>
          </cell>
          <cell r="K1477" t="str">
            <v>天堂星</v>
          </cell>
        </row>
        <row r="1478">
          <cell r="H1478" t="str">
            <v>24+54</v>
          </cell>
          <cell r="I1478" t="str">
            <v>納音</v>
          </cell>
          <cell r="J1478" t="str">
            <v>貫索星</v>
          </cell>
          <cell r="K1478" t="str">
            <v>天将星</v>
          </cell>
        </row>
        <row r="1479">
          <cell r="H1479" t="str">
            <v>24+55</v>
          </cell>
          <cell r="I1479" t="str">
            <v>－</v>
          </cell>
          <cell r="J1479" t="str">
            <v>調舒星</v>
          </cell>
          <cell r="K1479" t="str">
            <v>天禄星</v>
          </cell>
        </row>
        <row r="1480">
          <cell r="H1480" t="str">
            <v>24+56</v>
          </cell>
          <cell r="I1480" t="str">
            <v>半会</v>
          </cell>
          <cell r="J1480" t="str">
            <v>鳳閣星</v>
          </cell>
          <cell r="K1480" t="str">
            <v>天南星</v>
          </cell>
        </row>
        <row r="1481">
          <cell r="H1481" t="str">
            <v>24+57</v>
          </cell>
          <cell r="I1481" t="str">
            <v>害</v>
          </cell>
          <cell r="J1481" t="str">
            <v>司禄星</v>
          </cell>
          <cell r="K1481" t="str">
            <v>天恍星</v>
          </cell>
        </row>
        <row r="1482">
          <cell r="H1482" t="str">
            <v>24+58</v>
          </cell>
          <cell r="I1482" t="str">
            <v>－</v>
          </cell>
          <cell r="J1482" t="str">
            <v>禄存星</v>
          </cell>
          <cell r="K1482" t="str">
            <v>天貴星</v>
          </cell>
        </row>
        <row r="1483">
          <cell r="H1483" t="str">
            <v>24+59</v>
          </cell>
          <cell r="I1483" t="str">
            <v>－</v>
          </cell>
          <cell r="J1483" t="str">
            <v>牽牛星</v>
          </cell>
          <cell r="K1483" t="str">
            <v>天印星</v>
          </cell>
        </row>
        <row r="1484">
          <cell r="H1484" t="str">
            <v>24+60</v>
          </cell>
          <cell r="I1484" t="str">
            <v>自刑</v>
          </cell>
          <cell r="J1484" t="str">
            <v>車騎星</v>
          </cell>
          <cell r="K1484" t="str">
            <v>天報星</v>
          </cell>
        </row>
        <row r="1485">
          <cell r="H1485" t="str">
            <v>25+1</v>
          </cell>
          <cell r="I1485" t="str">
            <v>同</v>
          </cell>
          <cell r="J1485" t="str">
            <v>車騎星</v>
          </cell>
          <cell r="K1485" t="str">
            <v>天報星</v>
          </cell>
        </row>
        <row r="1486">
          <cell r="H1486" t="str">
            <v>25+2</v>
          </cell>
          <cell r="I1486" t="str">
            <v>支合</v>
          </cell>
          <cell r="J1486" t="str">
            <v>牽牛星</v>
          </cell>
          <cell r="K1486" t="str">
            <v>天印星</v>
          </cell>
        </row>
        <row r="1487">
          <cell r="H1487" t="str">
            <v>25+3</v>
          </cell>
          <cell r="I1487" t="str">
            <v>－</v>
          </cell>
          <cell r="J1487" t="str">
            <v>龍高星</v>
          </cell>
          <cell r="K1487" t="str">
            <v>天貴星</v>
          </cell>
        </row>
        <row r="1488">
          <cell r="H1488" t="str">
            <v>25+4</v>
          </cell>
          <cell r="I1488" t="str">
            <v>刑</v>
          </cell>
          <cell r="J1488" t="str">
            <v>玉堂星</v>
          </cell>
          <cell r="K1488" t="str">
            <v>天恍星</v>
          </cell>
        </row>
        <row r="1489">
          <cell r="H1489" t="str">
            <v>25+5</v>
          </cell>
          <cell r="I1489" t="str">
            <v>大半会</v>
          </cell>
          <cell r="J1489" t="str">
            <v>貫索星</v>
          </cell>
          <cell r="K1489" t="str">
            <v>天南星</v>
          </cell>
        </row>
        <row r="1490">
          <cell r="H1490" t="str">
            <v>25+6</v>
          </cell>
          <cell r="I1490" t="str">
            <v>－</v>
          </cell>
          <cell r="J1490" t="str">
            <v>石門星</v>
          </cell>
          <cell r="K1490" t="str">
            <v>天禄星</v>
          </cell>
        </row>
        <row r="1491">
          <cell r="H1491" t="str">
            <v>25+7</v>
          </cell>
          <cell r="I1491" t="str">
            <v>対冲</v>
          </cell>
          <cell r="J1491" t="str">
            <v>鳳閣星</v>
          </cell>
          <cell r="K1491" t="str">
            <v>天将星</v>
          </cell>
        </row>
        <row r="1492">
          <cell r="H1492" t="str">
            <v>25+8</v>
          </cell>
          <cell r="I1492" t="str">
            <v>害</v>
          </cell>
          <cell r="J1492" t="str">
            <v>調舒星</v>
          </cell>
          <cell r="K1492" t="str">
            <v>天堂星</v>
          </cell>
        </row>
        <row r="1493">
          <cell r="H1493" t="str">
            <v>25+9</v>
          </cell>
          <cell r="I1493" t="str">
            <v>半会</v>
          </cell>
          <cell r="J1493" t="str">
            <v>禄存星</v>
          </cell>
          <cell r="K1493" t="str">
            <v>天胡星</v>
          </cell>
        </row>
        <row r="1494">
          <cell r="H1494" t="str">
            <v>25+10</v>
          </cell>
          <cell r="I1494" t="str">
            <v>破</v>
          </cell>
          <cell r="J1494" t="str">
            <v>司禄星</v>
          </cell>
          <cell r="K1494" t="str">
            <v>天極星</v>
          </cell>
        </row>
        <row r="1495">
          <cell r="H1495" t="str">
            <v>25+11</v>
          </cell>
          <cell r="I1495" t="str">
            <v>－</v>
          </cell>
          <cell r="J1495" t="str">
            <v>車騎星</v>
          </cell>
          <cell r="K1495" t="str">
            <v>天庫星</v>
          </cell>
        </row>
        <row r="1496">
          <cell r="H1496" t="str">
            <v>25+12</v>
          </cell>
          <cell r="I1496" t="str">
            <v>準方位</v>
          </cell>
          <cell r="J1496" t="str">
            <v>牽牛星</v>
          </cell>
          <cell r="K1496" t="str">
            <v>天馳星</v>
          </cell>
        </row>
        <row r="1497">
          <cell r="H1497" t="str">
            <v>25+13</v>
          </cell>
          <cell r="I1497" t="str">
            <v>同</v>
          </cell>
          <cell r="J1497" t="str">
            <v>龍高星</v>
          </cell>
          <cell r="K1497" t="str">
            <v>天報星</v>
          </cell>
        </row>
        <row r="1498">
          <cell r="H1498" t="str">
            <v>25+14</v>
          </cell>
          <cell r="I1498" t="str">
            <v>支合</v>
          </cell>
          <cell r="J1498" t="str">
            <v>玉堂星</v>
          </cell>
          <cell r="K1498" t="str">
            <v>天印星</v>
          </cell>
        </row>
        <row r="1499">
          <cell r="H1499" t="str">
            <v>25+15</v>
          </cell>
          <cell r="I1499" t="str">
            <v>－</v>
          </cell>
          <cell r="J1499" t="str">
            <v>貫索星</v>
          </cell>
          <cell r="K1499" t="str">
            <v>天貴星</v>
          </cell>
        </row>
        <row r="1500">
          <cell r="H1500" t="str">
            <v>25+16</v>
          </cell>
          <cell r="I1500" t="str">
            <v>刑</v>
          </cell>
          <cell r="J1500" t="str">
            <v>石門星</v>
          </cell>
          <cell r="K1500" t="str">
            <v>天恍星</v>
          </cell>
        </row>
        <row r="1501">
          <cell r="H1501" t="str">
            <v>25+17</v>
          </cell>
          <cell r="I1501" t="str">
            <v>半会</v>
          </cell>
          <cell r="J1501" t="str">
            <v>鳳閣星</v>
          </cell>
          <cell r="K1501" t="str">
            <v>天南星</v>
          </cell>
        </row>
        <row r="1502">
          <cell r="H1502" t="str">
            <v>25+18</v>
          </cell>
          <cell r="I1502" t="str">
            <v>－</v>
          </cell>
          <cell r="J1502" t="str">
            <v>調舒星</v>
          </cell>
          <cell r="K1502" t="str">
            <v>天禄星</v>
          </cell>
        </row>
        <row r="1503">
          <cell r="H1503" t="str">
            <v>25+19</v>
          </cell>
          <cell r="I1503" t="str">
            <v>天剋地冲</v>
          </cell>
          <cell r="J1503" t="str">
            <v>禄存星</v>
          </cell>
          <cell r="K1503" t="str">
            <v>天将星</v>
          </cell>
        </row>
        <row r="1504">
          <cell r="H1504" t="str">
            <v>25+20</v>
          </cell>
          <cell r="I1504" t="str">
            <v>害</v>
          </cell>
          <cell r="J1504" t="str">
            <v>司禄星</v>
          </cell>
          <cell r="K1504" t="str">
            <v>天堂星</v>
          </cell>
        </row>
        <row r="1505">
          <cell r="H1505" t="str">
            <v>25+21</v>
          </cell>
          <cell r="I1505" t="str">
            <v>半会</v>
          </cell>
          <cell r="J1505" t="str">
            <v>車騎星</v>
          </cell>
          <cell r="K1505" t="str">
            <v>天胡星</v>
          </cell>
        </row>
        <row r="1506">
          <cell r="H1506" t="str">
            <v>25+22</v>
          </cell>
          <cell r="I1506" t="str">
            <v>破</v>
          </cell>
          <cell r="J1506" t="str">
            <v>牽牛星</v>
          </cell>
          <cell r="K1506" t="str">
            <v>天極星</v>
          </cell>
        </row>
        <row r="1507">
          <cell r="H1507" t="str">
            <v>25+23</v>
          </cell>
          <cell r="I1507" t="str">
            <v>－</v>
          </cell>
          <cell r="J1507" t="str">
            <v>龍高星</v>
          </cell>
          <cell r="K1507" t="str">
            <v>天庫星</v>
          </cell>
        </row>
        <row r="1508">
          <cell r="H1508" t="str">
            <v>25+24</v>
          </cell>
          <cell r="I1508" t="str">
            <v>準方位</v>
          </cell>
          <cell r="J1508" t="str">
            <v>玉堂星</v>
          </cell>
          <cell r="K1508" t="str">
            <v>天馳星</v>
          </cell>
        </row>
        <row r="1509">
          <cell r="H1509" t="str">
            <v>25+25</v>
          </cell>
          <cell r="I1509" t="str">
            <v>律音</v>
          </cell>
          <cell r="J1509" t="str">
            <v>貫索星</v>
          </cell>
          <cell r="K1509" t="str">
            <v>天報星</v>
          </cell>
        </row>
        <row r="1510">
          <cell r="H1510" t="str">
            <v>25+26</v>
          </cell>
          <cell r="I1510" t="str">
            <v>支合</v>
          </cell>
          <cell r="J1510" t="str">
            <v>石門星</v>
          </cell>
          <cell r="K1510" t="str">
            <v>天印星</v>
          </cell>
        </row>
        <row r="1511">
          <cell r="H1511" t="str">
            <v>25+27</v>
          </cell>
          <cell r="I1511" t="str">
            <v>－</v>
          </cell>
          <cell r="J1511" t="str">
            <v>鳳閣星</v>
          </cell>
          <cell r="K1511" t="str">
            <v>天貴星</v>
          </cell>
        </row>
        <row r="1512">
          <cell r="H1512" t="str">
            <v>25+28</v>
          </cell>
          <cell r="I1512" t="str">
            <v>刑</v>
          </cell>
          <cell r="J1512" t="str">
            <v>調舒星</v>
          </cell>
          <cell r="K1512" t="str">
            <v>天恍星</v>
          </cell>
        </row>
        <row r="1513">
          <cell r="H1513" t="str">
            <v>25+29</v>
          </cell>
          <cell r="I1513" t="str">
            <v>半会</v>
          </cell>
          <cell r="J1513" t="str">
            <v>禄存星</v>
          </cell>
          <cell r="K1513" t="str">
            <v>天南星</v>
          </cell>
        </row>
        <row r="1514">
          <cell r="H1514" t="str">
            <v>25+30</v>
          </cell>
          <cell r="I1514" t="str">
            <v>－</v>
          </cell>
          <cell r="J1514" t="str">
            <v>司禄星</v>
          </cell>
          <cell r="K1514" t="str">
            <v>天禄星</v>
          </cell>
        </row>
        <row r="1515">
          <cell r="H1515" t="str">
            <v>25+31</v>
          </cell>
          <cell r="I1515" t="str">
            <v>天剋地冲</v>
          </cell>
          <cell r="J1515" t="str">
            <v>車騎星</v>
          </cell>
          <cell r="K1515" t="str">
            <v>天将星</v>
          </cell>
        </row>
        <row r="1516">
          <cell r="H1516" t="str">
            <v>25+32</v>
          </cell>
          <cell r="I1516" t="str">
            <v>害</v>
          </cell>
          <cell r="J1516" t="str">
            <v>牽牛星</v>
          </cell>
          <cell r="K1516" t="str">
            <v>天堂星</v>
          </cell>
        </row>
        <row r="1517">
          <cell r="H1517" t="str">
            <v>25+33</v>
          </cell>
          <cell r="I1517" t="str">
            <v>半会</v>
          </cell>
          <cell r="J1517" t="str">
            <v>龍高星</v>
          </cell>
          <cell r="K1517" t="str">
            <v>天胡星</v>
          </cell>
        </row>
        <row r="1518">
          <cell r="H1518" t="str">
            <v>25+34</v>
          </cell>
          <cell r="I1518" t="str">
            <v>破</v>
          </cell>
          <cell r="J1518" t="str">
            <v>玉堂星</v>
          </cell>
          <cell r="K1518" t="str">
            <v>天極星</v>
          </cell>
        </row>
        <row r="1519">
          <cell r="H1519" t="str">
            <v>25+35</v>
          </cell>
          <cell r="I1519" t="str">
            <v>－</v>
          </cell>
          <cell r="J1519" t="str">
            <v>貫索星</v>
          </cell>
          <cell r="K1519" t="str">
            <v>天庫星</v>
          </cell>
        </row>
        <row r="1520">
          <cell r="H1520" t="str">
            <v>25+36</v>
          </cell>
          <cell r="I1520" t="str">
            <v>準方位</v>
          </cell>
          <cell r="J1520" t="str">
            <v>石門星</v>
          </cell>
          <cell r="K1520" t="str">
            <v>天馳星</v>
          </cell>
        </row>
        <row r="1521">
          <cell r="H1521" t="str">
            <v>25+37</v>
          </cell>
          <cell r="I1521" t="str">
            <v>同</v>
          </cell>
          <cell r="J1521" t="str">
            <v>鳳閣星</v>
          </cell>
          <cell r="K1521" t="str">
            <v>天報星</v>
          </cell>
        </row>
        <row r="1522">
          <cell r="H1522" t="str">
            <v>25+38</v>
          </cell>
          <cell r="I1522" t="str">
            <v>支合</v>
          </cell>
          <cell r="J1522" t="str">
            <v>調舒星</v>
          </cell>
          <cell r="K1522" t="str">
            <v>天印星</v>
          </cell>
        </row>
        <row r="1523">
          <cell r="H1523" t="str">
            <v>25+39</v>
          </cell>
          <cell r="I1523" t="str">
            <v>－</v>
          </cell>
          <cell r="J1523" t="str">
            <v>禄存星</v>
          </cell>
          <cell r="K1523" t="str">
            <v>天貴星</v>
          </cell>
        </row>
        <row r="1524">
          <cell r="H1524" t="str">
            <v>25+40</v>
          </cell>
          <cell r="I1524" t="str">
            <v>刑</v>
          </cell>
          <cell r="J1524" t="str">
            <v>司禄星</v>
          </cell>
          <cell r="K1524" t="str">
            <v>天恍星</v>
          </cell>
        </row>
        <row r="1525">
          <cell r="H1525" t="str">
            <v>25+41</v>
          </cell>
          <cell r="I1525" t="str">
            <v>半会</v>
          </cell>
          <cell r="J1525" t="str">
            <v>車騎星</v>
          </cell>
          <cell r="K1525" t="str">
            <v>天南星</v>
          </cell>
        </row>
        <row r="1526">
          <cell r="H1526" t="str">
            <v>25+42</v>
          </cell>
          <cell r="I1526" t="str">
            <v>－</v>
          </cell>
          <cell r="J1526" t="str">
            <v>牽牛星</v>
          </cell>
          <cell r="K1526" t="str">
            <v>天禄星</v>
          </cell>
        </row>
        <row r="1527">
          <cell r="H1527" t="str">
            <v>25+43</v>
          </cell>
          <cell r="I1527" t="str">
            <v>対冲</v>
          </cell>
          <cell r="J1527" t="str">
            <v>龍高星</v>
          </cell>
          <cell r="K1527" t="str">
            <v>天将星</v>
          </cell>
        </row>
        <row r="1528">
          <cell r="H1528" t="str">
            <v>25+44</v>
          </cell>
          <cell r="I1528" t="str">
            <v>害</v>
          </cell>
          <cell r="J1528" t="str">
            <v>玉堂星</v>
          </cell>
          <cell r="K1528" t="str">
            <v>天堂星</v>
          </cell>
        </row>
        <row r="1529">
          <cell r="H1529" t="str">
            <v>25+45</v>
          </cell>
          <cell r="I1529" t="str">
            <v>大半会</v>
          </cell>
          <cell r="J1529" t="str">
            <v>貫索星</v>
          </cell>
          <cell r="K1529" t="str">
            <v>天胡星</v>
          </cell>
        </row>
        <row r="1530">
          <cell r="H1530" t="str">
            <v>25+46</v>
          </cell>
          <cell r="I1530" t="str">
            <v>破</v>
          </cell>
          <cell r="J1530" t="str">
            <v>石門星</v>
          </cell>
          <cell r="K1530" t="str">
            <v>天極星</v>
          </cell>
        </row>
        <row r="1531">
          <cell r="H1531" t="str">
            <v>25+47</v>
          </cell>
          <cell r="I1531" t="str">
            <v>－</v>
          </cell>
          <cell r="J1531" t="str">
            <v>鳳閣星</v>
          </cell>
          <cell r="K1531" t="str">
            <v>天庫星</v>
          </cell>
        </row>
        <row r="1532">
          <cell r="H1532" t="str">
            <v>25+48</v>
          </cell>
          <cell r="I1532" t="str">
            <v>準方位</v>
          </cell>
          <cell r="J1532" t="str">
            <v>調舒星</v>
          </cell>
          <cell r="K1532" t="str">
            <v>天馳星</v>
          </cell>
        </row>
        <row r="1533">
          <cell r="H1533" t="str">
            <v>25+49</v>
          </cell>
          <cell r="I1533" t="str">
            <v>同</v>
          </cell>
          <cell r="J1533" t="str">
            <v>禄存星</v>
          </cell>
          <cell r="K1533" t="str">
            <v>天報星</v>
          </cell>
        </row>
        <row r="1534">
          <cell r="H1534" t="str">
            <v>25+50</v>
          </cell>
          <cell r="I1534" t="str">
            <v>支合</v>
          </cell>
          <cell r="J1534" t="str">
            <v>司禄星</v>
          </cell>
          <cell r="K1534" t="str">
            <v>天印星</v>
          </cell>
        </row>
        <row r="1535">
          <cell r="H1535" t="str">
            <v>25+51</v>
          </cell>
          <cell r="I1535" t="str">
            <v>－</v>
          </cell>
          <cell r="J1535" t="str">
            <v>車騎星</v>
          </cell>
          <cell r="K1535" t="str">
            <v>天貴星</v>
          </cell>
        </row>
        <row r="1536">
          <cell r="H1536" t="str">
            <v>25+52</v>
          </cell>
          <cell r="I1536" t="str">
            <v>刑</v>
          </cell>
          <cell r="J1536" t="str">
            <v>牽牛星</v>
          </cell>
          <cell r="K1536" t="str">
            <v>天恍星</v>
          </cell>
        </row>
        <row r="1537">
          <cell r="H1537" t="str">
            <v>25+53</v>
          </cell>
          <cell r="I1537" t="str">
            <v>半会</v>
          </cell>
          <cell r="J1537" t="str">
            <v>龍高星</v>
          </cell>
          <cell r="K1537" t="str">
            <v>天南星</v>
          </cell>
        </row>
        <row r="1538">
          <cell r="H1538" t="str">
            <v>25+54</v>
          </cell>
          <cell r="I1538" t="str">
            <v>－</v>
          </cell>
          <cell r="J1538" t="str">
            <v>玉堂星</v>
          </cell>
          <cell r="K1538" t="str">
            <v>天禄星</v>
          </cell>
        </row>
        <row r="1539">
          <cell r="H1539" t="str">
            <v>25+55</v>
          </cell>
          <cell r="I1539" t="str">
            <v>納音</v>
          </cell>
          <cell r="J1539" t="str">
            <v>貫索星</v>
          </cell>
          <cell r="K1539" t="str">
            <v>天将星</v>
          </cell>
        </row>
        <row r="1540">
          <cell r="H1540" t="str">
            <v>25+56</v>
          </cell>
          <cell r="I1540" t="str">
            <v>害</v>
          </cell>
          <cell r="J1540" t="str">
            <v>石門星</v>
          </cell>
          <cell r="K1540" t="str">
            <v>天堂星</v>
          </cell>
        </row>
        <row r="1541">
          <cell r="H1541" t="str">
            <v>25+57</v>
          </cell>
          <cell r="I1541" t="str">
            <v>半会</v>
          </cell>
          <cell r="J1541" t="str">
            <v>鳳閣星</v>
          </cell>
          <cell r="K1541" t="str">
            <v>天胡星</v>
          </cell>
        </row>
        <row r="1542">
          <cell r="H1542" t="str">
            <v>25+58</v>
          </cell>
          <cell r="I1542" t="str">
            <v>破</v>
          </cell>
          <cell r="J1542" t="str">
            <v>調舒星</v>
          </cell>
          <cell r="K1542" t="str">
            <v>天極星</v>
          </cell>
        </row>
        <row r="1543">
          <cell r="H1543" t="str">
            <v>25+59</v>
          </cell>
          <cell r="I1543" t="str">
            <v>－</v>
          </cell>
          <cell r="J1543" t="str">
            <v>禄存星</v>
          </cell>
          <cell r="K1543" t="str">
            <v>天庫星</v>
          </cell>
        </row>
        <row r="1544">
          <cell r="H1544" t="str">
            <v>25+60</v>
          </cell>
          <cell r="I1544" t="str">
            <v>準方位</v>
          </cell>
          <cell r="J1544" t="str">
            <v>司禄星</v>
          </cell>
          <cell r="K1544" t="str">
            <v>天馳星</v>
          </cell>
        </row>
        <row r="1545">
          <cell r="H1545" t="str">
            <v>26+1</v>
          </cell>
          <cell r="I1545" t="str">
            <v>支合</v>
          </cell>
          <cell r="J1545" t="str">
            <v>牽牛星</v>
          </cell>
          <cell r="K1545" t="str">
            <v>天馳星</v>
          </cell>
        </row>
        <row r="1546">
          <cell r="H1546" t="str">
            <v>26+2</v>
          </cell>
          <cell r="I1546" t="str">
            <v>同</v>
          </cell>
          <cell r="J1546" t="str">
            <v>車騎星</v>
          </cell>
          <cell r="K1546" t="str">
            <v>天庫星</v>
          </cell>
        </row>
        <row r="1547">
          <cell r="H1547" t="str">
            <v>26+3</v>
          </cell>
          <cell r="I1547" t="str">
            <v>－</v>
          </cell>
          <cell r="J1547" t="str">
            <v>玉堂星</v>
          </cell>
          <cell r="K1547" t="str">
            <v>天極星</v>
          </cell>
        </row>
        <row r="1548">
          <cell r="H1548" t="str">
            <v>26+4</v>
          </cell>
          <cell r="I1548" t="str">
            <v>－</v>
          </cell>
          <cell r="J1548" t="str">
            <v>龍高星</v>
          </cell>
          <cell r="K1548" t="str">
            <v>天胡星</v>
          </cell>
        </row>
        <row r="1549">
          <cell r="H1549" t="str">
            <v>26+5</v>
          </cell>
          <cell r="I1549" t="str">
            <v>破</v>
          </cell>
          <cell r="J1549" t="str">
            <v>石門星</v>
          </cell>
          <cell r="K1549" t="str">
            <v>天堂星</v>
          </cell>
        </row>
        <row r="1550">
          <cell r="H1550" t="str">
            <v>26+6</v>
          </cell>
          <cell r="I1550" t="str">
            <v>大半会</v>
          </cell>
          <cell r="J1550" t="str">
            <v>貫索星</v>
          </cell>
          <cell r="K1550" t="str">
            <v>天将星</v>
          </cell>
        </row>
        <row r="1551">
          <cell r="H1551" t="str">
            <v>26+7</v>
          </cell>
          <cell r="I1551" t="str">
            <v>害</v>
          </cell>
          <cell r="J1551" t="str">
            <v>調舒星</v>
          </cell>
          <cell r="K1551" t="str">
            <v>天禄星</v>
          </cell>
        </row>
        <row r="1552">
          <cell r="H1552" t="str">
            <v>26+8</v>
          </cell>
          <cell r="I1552" t="str">
            <v>対冲</v>
          </cell>
          <cell r="J1552" t="str">
            <v>鳳閣星</v>
          </cell>
          <cell r="K1552" t="str">
            <v>天南星</v>
          </cell>
        </row>
        <row r="1553">
          <cell r="H1553" t="str">
            <v>26+9</v>
          </cell>
          <cell r="I1553" t="str">
            <v>－</v>
          </cell>
          <cell r="J1553" t="str">
            <v>司禄星</v>
          </cell>
          <cell r="K1553" t="str">
            <v>天恍星</v>
          </cell>
        </row>
        <row r="1554">
          <cell r="H1554" t="str">
            <v>26+10</v>
          </cell>
          <cell r="I1554" t="str">
            <v>半会</v>
          </cell>
          <cell r="J1554" t="str">
            <v>禄存星</v>
          </cell>
          <cell r="K1554" t="str">
            <v>天貴星</v>
          </cell>
        </row>
        <row r="1555">
          <cell r="H1555" t="str">
            <v>26+11</v>
          </cell>
          <cell r="I1555" t="str">
            <v>刑</v>
          </cell>
          <cell r="J1555" t="str">
            <v>牽牛星</v>
          </cell>
          <cell r="K1555" t="str">
            <v>天印星</v>
          </cell>
        </row>
        <row r="1556">
          <cell r="H1556" t="str">
            <v>26+12</v>
          </cell>
          <cell r="I1556" t="str">
            <v>準方位</v>
          </cell>
          <cell r="J1556" t="str">
            <v>車騎星</v>
          </cell>
          <cell r="K1556" t="str">
            <v>天報星</v>
          </cell>
        </row>
        <row r="1557">
          <cell r="H1557" t="str">
            <v>26+13</v>
          </cell>
          <cell r="I1557" t="str">
            <v>支合</v>
          </cell>
          <cell r="J1557" t="str">
            <v>玉堂星</v>
          </cell>
          <cell r="K1557" t="str">
            <v>天馳星</v>
          </cell>
        </row>
        <row r="1558">
          <cell r="H1558" t="str">
            <v>26+14</v>
          </cell>
          <cell r="I1558" t="str">
            <v>同</v>
          </cell>
          <cell r="J1558" t="str">
            <v>龍高星</v>
          </cell>
          <cell r="K1558" t="str">
            <v>天庫星</v>
          </cell>
        </row>
        <row r="1559">
          <cell r="H1559" t="str">
            <v>26+15</v>
          </cell>
          <cell r="I1559" t="str">
            <v>－</v>
          </cell>
          <cell r="J1559" t="str">
            <v>石門星</v>
          </cell>
          <cell r="K1559" t="str">
            <v>天極星</v>
          </cell>
        </row>
        <row r="1560">
          <cell r="H1560" t="str">
            <v>26+16</v>
          </cell>
          <cell r="I1560" t="str">
            <v>－</v>
          </cell>
          <cell r="J1560" t="str">
            <v>貫索星</v>
          </cell>
          <cell r="K1560" t="str">
            <v>天胡星</v>
          </cell>
        </row>
        <row r="1561">
          <cell r="H1561" t="str">
            <v>26+17</v>
          </cell>
          <cell r="I1561" t="str">
            <v>破</v>
          </cell>
          <cell r="J1561" t="str">
            <v>調舒星</v>
          </cell>
          <cell r="K1561" t="str">
            <v>天堂星</v>
          </cell>
        </row>
        <row r="1562">
          <cell r="H1562" t="str">
            <v>26+18</v>
          </cell>
          <cell r="I1562" t="str">
            <v>半会</v>
          </cell>
          <cell r="J1562" t="str">
            <v>鳳閣星</v>
          </cell>
          <cell r="K1562" t="str">
            <v>天将星</v>
          </cell>
        </row>
        <row r="1563">
          <cell r="H1563" t="str">
            <v>26+19</v>
          </cell>
          <cell r="I1563" t="str">
            <v>害</v>
          </cell>
          <cell r="J1563" t="str">
            <v>司禄星</v>
          </cell>
          <cell r="K1563" t="str">
            <v>天禄星</v>
          </cell>
        </row>
        <row r="1564">
          <cell r="H1564" t="str">
            <v>26+20</v>
          </cell>
          <cell r="I1564" t="str">
            <v>天剋地冲</v>
          </cell>
          <cell r="J1564" t="str">
            <v>禄存星</v>
          </cell>
          <cell r="K1564" t="str">
            <v>天南星</v>
          </cell>
        </row>
        <row r="1565">
          <cell r="H1565" t="str">
            <v>26+21</v>
          </cell>
          <cell r="I1565" t="str">
            <v>－</v>
          </cell>
          <cell r="J1565" t="str">
            <v>牽牛星</v>
          </cell>
          <cell r="K1565" t="str">
            <v>天恍星</v>
          </cell>
        </row>
        <row r="1566">
          <cell r="H1566" t="str">
            <v>26+22</v>
          </cell>
          <cell r="I1566" t="str">
            <v>半会</v>
          </cell>
          <cell r="J1566" t="str">
            <v>車騎星</v>
          </cell>
          <cell r="K1566" t="str">
            <v>天貴星</v>
          </cell>
        </row>
        <row r="1567">
          <cell r="H1567" t="str">
            <v>26+23</v>
          </cell>
          <cell r="I1567" t="str">
            <v>刑</v>
          </cell>
          <cell r="J1567" t="str">
            <v>玉堂星</v>
          </cell>
          <cell r="K1567" t="str">
            <v>天印星</v>
          </cell>
        </row>
        <row r="1568">
          <cell r="H1568" t="str">
            <v>26+24</v>
          </cell>
          <cell r="I1568" t="str">
            <v>準方位</v>
          </cell>
          <cell r="J1568" t="str">
            <v>龍高星</v>
          </cell>
          <cell r="K1568" t="str">
            <v>天報星</v>
          </cell>
        </row>
        <row r="1569">
          <cell r="H1569" t="str">
            <v>26+25</v>
          </cell>
          <cell r="I1569" t="str">
            <v>支合</v>
          </cell>
          <cell r="J1569" t="str">
            <v>石門星</v>
          </cell>
          <cell r="K1569" t="str">
            <v>天馳星</v>
          </cell>
        </row>
        <row r="1570">
          <cell r="H1570" t="str">
            <v>26+26</v>
          </cell>
          <cell r="I1570" t="str">
            <v>律音</v>
          </cell>
          <cell r="J1570" t="str">
            <v>貫索星</v>
          </cell>
          <cell r="K1570" t="str">
            <v>天庫星</v>
          </cell>
        </row>
        <row r="1571">
          <cell r="H1571" t="str">
            <v>26+27</v>
          </cell>
          <cell r="I1571" t="str">
            <v>－</v>
          </cell>
          <cell r="J1571" t="str">
            <v>調舒星</v>
          </cell>
          <cell r="K1571" t="str">
            <v>天極星</v>
          </cell>
        </row>
        <row r="1572">
          <cell r="H1572" t="str">
            <v>26+28</v>
          </cell>
          <cell r="I1572" t="str">
            <v>－</v>
          </cell>
          <cell r="J1572" t="str">
            <v>鳳閣星</v>
          </cell>
          <cell r="K1572" t="str">
            <v>天胡星</v>
          </cell>
        </row>
        <row r="1573">
          <cell r="H1573" t="str">
            <v>26+29</v>
          </cell>
          <cell r="I1573" t="str">
            <v>破</v>
          </cell>
          <cell r="J1573" t="str">
            <v>司禄星</v>
          </cell>
          <cell r="K1573" t="str">
            <v>天堂星</v>
          </cell>
        </row>
        <row r="1574">
          <cell r="H1574" t="str">
            <v>26+30</v>
          </cell>
          <cell r="I1574" t="str">
            <v>半会</v>
          </cell>
          <cell r="J1574" t="str">
            <v>禄存星</v>
          </cell>
          <cell r="K1574" t="str">
            <v>天将星</v>
          </cell>
        </row>
        <row r="1575">
          <cell r="H1575" t="str">
            <v>26+31</v>
          </cell>
          <cell r="I1575" t="str">
            <v>害</v>
          </cell>
          <cell r="J1575" t="str">
            <v>牽牛星</v>
          </cell>
          <cell r="K1575" t="str">
            <v>天禄星</v>
          </cell>
        </row>
        <row r="1576">
          <cell r="H1576" t="str">
            <v>26+32</v>
          </cell>
          <cell r="I1576" t="str">
            <v>天剋地冲</v>
          </cell>
          <cell r="J1576" t="str">
            <v>車騎星</v>
          </cell>
          <cell r="K1576" t="str">
            <v>天南星</v>
          </cell>
        </row>
        <row r="1577">
          <cell r="H1577" t="str">
            <v>26+33</v>
          </cell>
          <cell r="I1577" t="str">
            <v>－</v>
          </cell>
          <cell r="J1577" t="str">
            <v>玉堂星</v>
          </cell>
          <cell r="K1577" t="str">
            <v>天恍星</v>
          </cell>
        </row>
        <row r="1578">
          <cell r="H1578" t="str">
            <v>26+34</v>
          </cell>
          <cell r="I1578" t="str">
            <v>半会</v>
          </cell>
          <cell r="J1578" t="str">
            <v>龍高星</v>
          </cell>
          <cell r="K1578" t="str">
            <v>天貴星</v>
          </cell>
        </row>
        <row r="1579">
          <cell r="H1579" t="str">
            <v>26+35</v>
          </cell>
          <cell r="I1579" t="str">
            <v>刑</v>
          </cell>
          <cell r="J1579" t="str">
            <v>石門星</v>
          </cell>
          <cell r="K1579" t="str">
            <v>天印星</v>
          </cell>
        </row>
        <row r="1580">
          <cell r="H1580" t="str">
            <v>26+36</v>
          </cell>
          <cell r="I1580" t="str">
            <v>準方位</v>
          </cell>
          <cell r="J1580" t="str">
            <v>貫索星</v>
          </cell>
          <cell r="K1580" t="str">
            <v>天報星</v>
          </cell>
        </row>
        <row r="1581">
          <cell r="H1581" t="str">
            <v>26+37</v>
          </cell>
          <cell r="I1581" t="str">
            <v>支合</v>
          </cell>
          <cell r="J1581" t="str">
            <v>調舒星</v>
          </cell>
          <cell r="K1581" t="str">
            <v>天馳星</v>
          </cell>
        </row>
        <row r="1582">
          <cell r="H1582" t="str">
            <v>26+38</v>
          </cell>
          <cell r="I1582" t="str">
            <v>同</v>
          </cell>
          <cell r="J1582" t="str">
            <v>鳳閣星</v>
          </cell>
          <cell r="K1582" t="str">
            <v>天庫星</v>
          </cell>
        </row>
        <row r="1583">
          <cell r="H1583" t="str">
            <v>26+39</v>
          </cell>
          <cell r="I1583" t="str">
            <v>－</v>
          </cell>
          <cell r="J1583" t="str">
            <v>司禄星</v>
          </cell>
          <cell r="K1583" t="str">
            <v>天極星</v>
          </cell>
        </row>
        <row r="1584">
          <cell r="H1584" t="str">
            <v>26+40</v>
          </cell>
          <cell r="I1584" t="str">
            <v>－</v>
          </cell>
          <cell r="J1584" t="str">
            <v>禄存星</v>
          </cell>
          <cell r="K1584" t="str">
            <v>天胡星</v>
          </cell>
        </row>
        <row r="1585">
          <cell r="H1585" t="str">
            <v>26+41</v>
          </cell>
          <cell r="I1585" t="str">
            <v>破</v>
          </cell>
          <cell r="J1585" t="str">
            <v>牽牛星</v>
          </cell>
          <cell r="K1585" t="str">
            <v>天堂星</v>
          </cell>
        </row>
        <row r="1586">
          <cell r="H1586" t="str">
            <v>26+42</v>
          </cell>
          <cell r="I1586" t="str">
            <v>半会</v>
          </cell>
          <cell r="J1586" t="str">
            <v>車騎星</v>
          </cell>
          <cell r="K1586" t="str">
            <v>天将星</v>
          </cell>
        </row>
        <row r="1587">
          <cell r="H1587" t="str">
            <v>26+43</v>
          </cell>
          <cell r="I1587" t="str">
            <v>害</v>
          </cell>
          <cell r="J1587" t="str">
            <v>玉堂星</v>
          </cell>
          <cell r="K1587" t="str">
            <v>天禄星</v>
          </cell>
        </row>
        <row r="1588">
          <cell r="H1588" t="str">
            <v>26+44</v>
          </cell>
          <cell r="I1588" t="str">
            <v>対冲</v>
          </cell>
          <cell r="J1588" t="str">
            <v>龍高星</v>
          </cell>
          <cell r="K1588" t="str">
            <v>天南星</v>
          </cell>
        </row>
        <row r="1589">
          <cell r="H1589" t="str">
            <v>26+45</v>
          </cell>
          <cell r="I1589" t="str">
            <v>－</v>
          </cell>
          <cell r="J1589" t="str">
            <v>石門星</v>
          </cell>
          <cell r="K1589" t="str">
            <v>天恍星</v>
          </cell>
        </row>
        <row r="1590">
          <cell r="H1590" t="str">
            <v>26+46</v>
          </cell>
          <cell r="I1590" t="str">
            <v>大半会</v>
          </cell>
          <cell r="J1590" t="str">
            <v>貫索星</v>
          </cell>
          <cell r="K1590" t="str">
            <v>天貴星</v>
          </cell>
        </row>
        <row r="1591">
          <cell r="H1591" t="str">
            <v>26+47</v>
          </cell>
          <cell r="I1591" t="str">
            <v>刑</v>
          </cell>
          <cell r="J1591" t="str">
            <v>調舒星</v>
          </cell>
          <cell r="K1591" t="str">
            <v>天印星</v>
          </cell>
        </row>
        <row r="1592">
          <cell r="H1592" t="str">
            <v>26+48</v>
          </cell>
          <cell r="I1592" t="str">
            <v>準方位</v>
          </cell>
          <cell r="J1592" t="str">
            <v>鳳閣星</v>
          </cell>
          <cell r="K1592" t="str">
            <v>天報星</v>
          </cell>
        </row>
        <row r="1593">
          <cell r="H1593" t="str">
            <v>26+49</v>
          </cell>
          <cell r="I1593" t="str">
            <v>支合</v>
          </cell>
          <cell r="J1593" t="str">
            <v>司禄星</v>
          </cell>
          <cell r="K1593" t="str">
            <v>天馳星</v>
          </cell>
        </row>
        <row r="1594">
          <cell r="H1594" t="str">
            <v>26+50</v>
          </cell>
          <cell r="I1594" t="str">
            <v>同</v>
          </cell>
          <cell r="J1594" t="str">
            <v>禄存星</v>
          </cell>
          <cell r="K1594" t="str">
            <v>天庫星</v>
          </cell>
        </row>
        <row r="1595">
          <cell r="H1595" t="str">
            <v>26+51</v>
          </cell>
          <cell r="I1595" t="str">
            <v>－</v>
          </cell>
          <cell r="J1595" t="str">
            <v>牽牛星</v>
          </cell>
          <cell r="K1595" t="str">
            <v>天極星</v>
          </cell>
        </row>
        <row r="1596">
          <cell r="H1596" t="str">
            <v>26+52</v>
          </cell>
          <cell r="I1596" t="str">
            <v>－</v>
          </cell>
          <cell r="J1596" t="str">
            <v>車騎星</v>
          </cell>
          <cell r="K1596" t="str">
            <v>天胡星</v>
          </cell>
        </row>
        <row r="1597">
          <cell r="H1597" t="str">
            <v>26+53</v>
          </cell>
          <cell r="I1597" t="str">
            <v>破</v>
          </cell>
          <cell r="J1597" t="str">
            <v>玉堂星</v>
          </cell>
          <cell r="K1597" t="str">
            <v>天堂星</v>
          </cell>
        </row>
        <row r="1598">
          <cell r="H1598" t="str">
            <v>26+54</v>
          </cell>
          <cell r="I1598" t="str">
            <v>半会</v>
          </cell>
          <cell r="J1598" t="str">
            <v>龍高星</v>
          </cell>
          <cell r="K1598" t="str">
            <v>天将星</v>
          </cell>
        </row>
        <row r="1599">
          <cell r="H1599" t="str">
            <v>26+55</v>
          </cell>
          <cell r="I1599" t="str">
            <v>害</v>
          </cell>
          <cell r="J1599" t="str">
            <v>石門星</v>
          </cell>
          <cell r="K1599" t="str">
            <v>天禄星</v>
          </cell>
        </row>
        <row r="1600">
          <cell r="H1600" t="str">
            <v>26+56</v>
          </cell>
          <cell r="I1600" t="str">
            <v>納音</v>
          </cell>
          <cell r="J1600" t="str">
            <v>貫索星</v>
          </cell>
          <cell r="K1600" t="str">
            <v>天南星</v>
          </cell>
        </row>
        <row r="1601">
          <cell r="H1601" t="str">
            <v>26+57</v>
          </cell>
          <cell r="I1601" t="str">
            <v>－</v>
          </cell>
          <cell r="J1601" t="str">
            <v>調舒星</v>
          </cell>
          <cell r="K1601" t="str">
            <v>天恍星</v>
          </cell>
        </row>
        <row r="1602">
          <cell r="H1602" t="str">
            <v>26+58</v>
          </cell>
          <cell r="I1602" t="str">
            <v>半会</v>
          </cell>
          <cell r="J1602" t="str">
            <v>鳳閣星</v>
          </cell>
          <cell r="K1602" t="str">
            <v>天貴星</v>
          </cell>
        </row>
        <row r="1603">
          <cell r="H1603" t="str">
            <v>26+59</v>
          </cell>
          <cell r="I1603" t="str">
            <v>刑</v>
          </cell>
          <cell r="J1603" t="str">
            <v>司禄星</v>
          </cell>
          <cell r="K1603" t="str">
            <v>天印星</v>
          </cell>
        </row>
        <row r="1604">
          <cell r="H1604" t="str">
            <v>26+60</v>
          </cell>
          <cell r="I1604" t="str">
            <v>準方位</v>
          </cell>
          <cell r="J1604" t="str">
            <v>禄存星</v>
          </cell>
          <cell r="K1604" t="str">
            <v>天報星</v>
          </cell>
        </row>
        <row r="1605">
          <cell r="H1605" t="str">
            <v>27+1</v>
          </cell>
          <cell r="I1605" t="str">
            <v>－</v>
          </cell>
          <cell r="J1605" t="str">
            <v>禄存星</v>
          </cell>
          <cell r="K1605" t="str">
            <v>天極星</v>
          </cell>
        </row>
        <row r="1606">
          <cell r="H1606" t="str">
            <v>27+2</v>
          </cell>
          <cell r="I1606" t="str">
            <v>－</v>
          </cell>
          <cell r="J1606" t="str">
            <v>司禄星</v>
          </cell>
          <cell r="K1606" t="str">
            <v>天庫星</v>
          </cell>
        </row>
        <row r="1607">
          <cell r="H1607" t="str">
            <v>27+3</v>
          </cell>
          <cell r="I1607" t="str">
            <v>同</v>
          </cell>
          <cell r="J1607" t="str">
            <v>車騎星</v>
          </cell>
          <cell r="K1607" t="str">
            <v>天馳星</v>
          </cell>
        </row>
        <row r="1608">
          <cell r="H1608" t="str">
            <v>27+4</v>
          </cell>
          <cell r="I1608" t="str">
            <v>準方位</v>
          </cell>
          <cell r="J1608" t="str">
            <v>牽牛星</v>
          </cell>
          <cell r="K1608" t="str">
            <v>天報星</v>
          </cell>
        </row>
        <row r="1609">
          <cell r="H1609" t="str">
            <v>27+5</v>
          </cell>
          <cell r="I1609" t="str">
            <v>準方位</v>
          </cell>
          <cell r="J1609" t="str">
            <v>龍高星</v>
          </cell>
          <cell r="K1609" t="str">
            <v>天印星</v>
          </cell>
        </row>
        <row r="1610">
          <cell r="H1610" t="str">
            <v>27+6</v>
          </cell>
          <cell r="I1610" t="str">
            <v>害</v>
          </cell>
          <cell r="J1610" t="str">
            <v>玉堂星</v>
          </cell>
          <cell r="K1610" t="str">
            <v>天貴星</v>
          </cell>
        </row>
        <row r="1611">
          <cell r="H1611" t="str">
            <v>27+7</v>
          </cell>
          <cell r="I1611" t="str">
            <v>大半会</v>
          </cell>
          <cell r="J1611" t="str">
            <v>貫索星</v>
          </cell>
          <cell r="K1611" t="str">
            <v>天恍星</v>
          </cell>
        </row>
        <row r="1612">
          <cell r="H1612" t="str">
            <v>27+8</v>
          </cell>
          <cell r="I1612" t="str">
            <v>－</v>
          </cell>
          <cell r="J1612" t="str">
            <v>石門星</v>
          </cell>
          <cell r="K1612" t="str">
            <v>天南星</v>
          </cell>
        </row>
        <row r="1613">
          <cell r="H1613" t="str">
            <v>27+9</v>
          </cell>
          <cell r="I1613" t="str">
            <v>対冲</v>
          </cell>
          <cell r="J1613" t="str">
            <v>鳳閣星</v>
          </cell>
          <cell r="K1613" t="str">
            <v>天禄星</v>
          </cell>
        </row>
        <row r="1614">
          <cell r="H1614" t="str">
            <v>27+10</v>
          </cell>
          <cell r="I1614" t="str">
            <v>－</v>
          </cell>
          <cell r="J1614" t="str">
            <v>調舒星</v>
          </cell>
          <cell r="K1614" t="str">
            <v>天将星</v>
          </cell>
        </row>
        <row r="1615">
          <cell r="H1615" t="str">
            <v>27+11</v>
          </cell>
          <cell r="I1615" t="str">
            <v>半会</v>
          </cell>
          <cell r="J1615" t="str">
            <v>禄存星</v>
          </cell>
          <cell r="K1615" t="str">
            <v>天堂星</v>
          </cell>
        </row>
        <row r="1616">
          <cell r="H1616" t="str">
            <v>27+12</v>
          </cell>
          <cell r="I1616" t="str">
            <v>支合</v>
          </cell>
          <cell r="J1616" t="str">
            <v>司禄星</v>
          </cell>
          <cell r="K1616" t="str">
            <v>天胡星</v>
          </cell>
        </row>
        <row r="1617">
          <cell r="H1617" t="str">
            <v>27+13</v>
          </cell>
          <cell r="I1617" t="str">
            <v>－</v>
          </cell>
          <cell r="J1617" t="str">
            <v>車騎星</v>
          </cell>
          <cell r="K1617" t="str">
            <v>天極星</v>
          </cell>
        </row>
        <row r="1618">
          <cell r="H1618" t="str">
            <v>27+14</v>
          </cell>
          <cell r="I1618" t="str">
            <v>－</v>
          </cell>
          <cell r="J1618" t="str">
            <v>牽牛星</v>
          </cell>
          <cell r="K1618" t="str">
            <v>天庫星</v>
          </cell>
        </row>
        <row r="1619">
          <cell r="H1619" t="str">
            <v>27+15</v>
          </cell>
          <cell r="I1619" t="str">
            <v>同</v>
          </cell>
          <cell r="J1619" t="str">
            <v>龍高星</v>
          </cell>
          <cell r="K1619" t="str">
            <v>天馳星</v>
          </cell>
        </row>
        <row r="1620">
          <cell r="H1620" t="str">
            <v>27+16</v>
          </cell>
          <cell r="I1620" t="str">
            <v>準方位</v>
          </cell>
          <cell r="J1620" t="str">
            <v>玉堂星</v>
          </cell>
          <cell r="K1620" t="str">
            <v>天報星</v>
          </cell>
        </row>
        <row r="1621">
          <cell r="H1621" t="str">
            <v>27+17</v>
          </cell>
          <cell r="I1621" t="str">
            <v>準方位</v>
          </cell>
          <cell r="J1621" t="str">
            <v>貫索星</v>
          </cell>
          <cell r="K1621" t="str">
            <v>天印星</v>
          </cell>
        </row>
        <row r="1622">
          <cell r="H1622" t="str">
            <v>27+18</v>
          </cell>
          <cell r="I1622" t="str">
            <v>害</v>
          </cell>
          <cell r="J1622" t="str">
            <v>石門星</v>
          </cell>
          <cell r="K1622" t="str">
            <v>天貴星</v>
          </cell>
        </row>
        <row r="1623">
          <cell r="H1623" t="str">
            <v>27+19</v>
          </cell>
          <cell r="I1623" t="str">
            <v>半会</v>
          </cell>
          <cell r="J1623" t="str">
            <v>鳳閣星</v>
          </cell>
          <cell r="K1623" t="str">
            <v>天恍星</v>
          </cell>
        </row>
        <row r="1624">
          <cell r="H1624" t="str">
            <v>27+20</v>
          </cell>
          <cell r="I1624" t="str">
            <v>－</v>
          </cell>
          <cell r="J1624" t="str">
            <v>調舒星</v>
          </cell>
          <cell r="K1624" t="str">
            <v>天南星</v>
          </cell>
        </row>
        <row r="1625">
          <cell r="H1625" t="str">
            <v>27+21</v>
          </cell>
          <cell r="I1625" t="str">
            <v>天剋地冲</v>
          </cell>
          <cell r="J1625" t="str">
            <v>禄存星</v>
          </cell>
          <cell r="K1625" t="str">
            <v>天禄星</v>
          </cell>
        </row>
        <row r="1626">
          <cell r="H1626" t="str">
            <v>27+22</v>
          </cell>
          <cell r="I1626" t="str">
            <v>－</v>
          </cell>
          <cell r="J1626" t="str">
            <v>司禄星</v>
          </cell>
          <cell r="K1626" t="str">
            <v>天将星</v>
          </cell>
        </row>
        <row r="1627">
          <cell r="H1627" t="str">
            <v>27+23</v>
          </cell>
          <cell r="I1627" t="str">
            <v>半会</v>
          </cell>
          <cell r="J1627" t="str">
            <v>車騎星</v>
          </cell>
          <cell r="K1627" t="str">
            <v>天堂星</v>
          </cell>
        </row>
        <row r="1628">
          <cell r="H1628" t="str">
            <v>27+24</v>
          </cell>
          <cell r="I1628" t="str">
            <v>支合</v>
          </cell>
          <cell r="J1628" t="str">
            <v>牽牛星</v>
          </cell>
          <cell r="K1628" t="str">
            <v>天胡星</v>
          </cell>
        </row>
        <row r="1629">
          <cell r="H1629" t="str">
            <v>27+25</v>
          </cell>
          <cell r="I1629" t="str">
            <v>－</v>
          </cell>
          <cell r="J1629" t="str">
            <v>龍高星</v>
          </cell>
          <cell r="K1629" t="str">
            <v>天極星</v>
          </cell>
        </row>
        <row r="1630">
          <cell r="H1630" t="str">
            <v>27+26</v>
          </cell>
          <cell r="I1630" t="str">
            <v>－</v>
          </cell>
          <cell r="J1630" t="str">
            <v>玉堂星</v>
          </cell>
          <cell r="K1630" t="str">
            <v>天庫星</v>
          </cell>
        </row>
        <row r="1631">
          <cell r="H1631" t="str">
            <v>27+27</v>
          </cell>
          <cell r="I1631" t="str">
            <v>律音</v>
          </cell>
          <cell r="J1631" t="str">
            <v>貫索星</v>
          </cell>
          <cell r="K1631" t="str">
            <v>天馳星</v>
          </cell>
        </row>
        <row r="1632">
          <cell r="H1632" t="str">
            <v>27+28</v>
          </cell>
          <cell r="I1632" t="str">
            <v>準方位</v>
          </cell>
          <cell r="J1632" t="str">
            <v>石門星</v>
          </cell>
          <cell r="K1632" t="str">
            <v>天報星</v>
          </cell>
        </row>
        <row r="1633">
          <cell r="H1633" t="str">
            <v>27+29</v>
          </cell>
          <cell r="I1633" t="str">
            <v>準方位</v>
          </cell>
          <cell r="J1633" t="str">
            <v>鳳閣星</v>
          </cell>
          <cell r="K1633" t="str">
            <v>天印星</v>
          </cell>
        </row>
        <row r="1634">
          <cell r="H1634" t="str">
            <v>27+30</v>
          </cell>
          <cell r="I1634" t="str">
            <v>害</v>
          </cell>
          <cell r="J1634" t="str">
            <v>調舒星</v>
          </cell>
          <cell r="K1634" t="str">
            <v>天貴星</v>
          </cell>
        </row>
        <row r="1635">
          <cell r="H1635" t="str">
            <v>27+31</v>
          </cell>
          <cell r="I1635" t="str">
            <v>半会</v>
          </cell>
          <cell r="J1635" t="str">
            <v>禄存星</v>
          </cell>
          <cell r="K1635" t="str">
            <v>天恍星</v>
          </cell>
        </row>
        <row r="1636">
          <cell r="H1636" t="str">
            <v>27+32</v>
          </cell>
          <cell r="I1636" t="str">
            <v>－</v>
          </cell>
          <cell r="J1636" t="str">
            <v>司禄星</v>
          </cell>
          <cell r="K1636" t="str">
            <v>天南星</v>
          </cell>
        </row>
        <row r="1637">
          <cell r="H1637" t="str">
            <v>27+33</v>
          </cell>
          <cell r="I1637" t="str">
            <v>天剋地冲</v>
          </cell>
          <cell r="J1637" t="str">
            <v>車騎星</v>
          </cell>
          <cell r="K1637" t="str">
            <v>天禄星</v>
          </cell>
        </row>
        <row r="1638">
          <cell r="H1638" t="str">
            <v>27+34</v>
          </cell>
          <cell r="I1638" t="str">
            <v>－</v>
          </cell>
          <cell r="J1638" t="str">
            <v>牽牛星</v>
          </cell>
          <cell r="K1638" t="str">
            <v>天将星</v>
          </cell>
        </row>
        <row r="1639">
          <cell r="H1639" t="str">
            <v>27+35</v>
          </cell>
          <cell r="I1639" t="str">
            <v>半会</v>
          </cell>
          <cell r="J1639" t="str">
            <v>龍高星</v>
          </cell>
          <cell r="K1639" t="str">
            <v>天堂星</v>
          </cell>
        </row>
        <row r="1640">
          <cell r="H1640" t="str">
            <v>27+36</v>
          </cell>
          <cell r="I1640" t="str">
            <v>支合</v>
          </cell>
          <cell r="J1640" t="str">
            <v>玉堂星</v>
          </cell>
          <cell r="K1640" t="str">
            <v>天胡星</v>
          </cell>
        </row>
        <row r="1641">
          <cell r="H1641" t="str">
            <v>27+37</v>
          </cell>
          <cell r="I1641" t="str">
            <v>－</v>
          </cell>
          <cell r="J1641" t="str">
            <v>貫索星</v>
          </cell>
          <cell r="K1641" t="str">
            <v>天極星</v>
          </cell>
        </row>
        <row r="1642">
          <cell r="H1642" t="str">
            <v>27+38</v>
          </cell>
          <cell r="I1642" t="str">
            <v>－</v>
          </cell>
          <cell r="J1642" t="str">
            <v>石門星</v>
          </cell>
          <cell r="K1642" t="str">
            <v>天庫星</v>
          </cell>
        </row>
        <row r="1643">
          <cell r="H1643" t="str">
            <v>27+39</v>
          </cell>
          <cell r="I1643" t="str">
            <v>同</v>
          </cell>
          <cell r="J1643" t="str">
            <v>鳳閣星</v>
          </cell>
          <cell r="K1643" t="str">
            <v>天馳星</v>
          </cell>
        </row>
        <row r="1644">
          <cell r="H1644" t="str">
            <v>27+40</v>
          </cell>
          <cell r="I1644" t="str">
            <v>準方位</v>
          </cell>
          <cell r="J1644" t="str">
            <v>調舒星</v>
          </cell>
          <cell r="K1644" t="str">
            <v>天報星</v>
          </cell>
        </row>
        <row r="1645">
          <cell r="H1645" t="str">
            <v>27+41</v>
          </cell>
          <cell r="I1645" t="str">
            <v>準方位</v>
          </cell>
          <cell r="J1645" t="str">
            <v>禄存星</v>
          </cell>
          <cell r="K1645" t="str">
            <v>天印星</v>
          </cell>
        </row>
        <row r="1646">
          <cell r="H1646" t="str">
            <v>27+42</v>
          </cell>
          <cell r="I1646" t="str">
            <v>害</v>
          </cell>
          <cell r="J1646" t="str">
            <v>司禄星</v>
          </cell>
          <cell r="K1646" t="str">
            <v>天貴星</v>
          </cell>
        </row>
        <row r="1647">
          <cell r="H1647" t="str">
            <v>27+43</v>
          </cell>
          <cell r="I1647" t="str">
            <v>半会</v>
          </cell>
          <cell r="J1647" t="str">
            <v>車騎星</v>
          </cell>
          <cell r="K1647" t="str">
            <v>天恍星</v>
          </cell>
        </row>
        <row r="1648">
          <cell r="H1648" t="str">
            <v>27+44</v>
          </cell>
          <cell r="I1648" t="str">
            <v>－</v>
          </cell>
          <cell r="J1648" t="str">
            <v>牽牛星</v>
          </cell>
          <cell r="K1648" t="str">
            <v>天南星</v>
          </cell>
        </row>
        <row r="1649">
          <cell r="H1649" t="str">
            <v>27+45</v>
          </cell>
          <cell r="I1649" t="str">
            <v>対冲</v>
          </cell>
          <cell r="J1649" t="str">
            <v>龍高星</v>
          </cell>
          <cell r="K1649" t="str">
            <v>天禄星</v>
          </cell>
        </row>
        <row r="1650">
          <cell r="H1650" t="str">
            <v>27+46</v>
          </cell>
          <cell r="I1650" t="str">
            <v>－</v>
          </cell>
          <cell r="J1650" t="str">
            <v>玉堂星</v>
          </cell>
          <cell r="K1650" t="str">
            <v>天将星</v>
          </cell>
        </row>
        <row r="1651">
          <cell r="H1651" t="str">
            <v>27+47</v>
          </cell>
          <cell r="I1651" t="str">
            <v>大半会</v>
          </cell>
          <cell r="J1651" t="str">
            <v>貫索星</v>
          </cell>
          <cell r="K1651" t="str">
            <v>天堂星</v>
          </cell>
        </row>
        <row r="1652">
          <cell r="H1652" t="str">
            <v>27+48</v>
          </cell>
          <cell r="I1652" t="str">
            <v>支合</v>
          </cell>
          <cell r="J1652" t="str">
            <v>石門星</v>
          </cell>
          <cell r="K1652" t="str">
            <v>天胡星</v>
          </cell>
        </row>
        <row r="1653">
          <cell r="H1653" t="str">
            <v>27+49</v>
          </cell>
          <cell r="I1653" t="str">
            <v>－</v>
          </cell>
          <cell r="J1653" t="str">
            <v>鳳閣星</v>
          </cell>
          <cell r="K1653" t="str">
            <v>天極星</v>
          </cell>
        </row>
        <row r="1654">
          <cell r="H1654" t="str">
            <v>27+50</v>
          </cell>
          <cell r="I1654" t="str">
            <v>－</v>
          </cell>
          <cell r="J1654" t="str">
            <v>調舒星</v>
          </cell>
          <cell r="K1654" t="str">
            <v>天庫星</v>
          </cell>
        </row>
        <row r="1655">
          <cell r="H1655" t="str">
            <v>27+51</v>
          </cell>
          <cell r="I1655" t="str">
            <v>同</v>
          </cell>
          <cell r="J1655" t="str">
            <v>禄存星</v>
          </cell>
          <cell r="K1655" t="str">
            <v>天馳星</v>
          </cell>
        </row>
        <row r="1656">
          <cell r="H1656" t="str">
            <v>27+52</v>
          </cell>
          <cell r="I1656" t="str">
            <v>準方位</v>
          </cell>
          <cell r="J1656" t="str">
            <v>司禄星</v>
          </cell>
          <cell r="K1656" t="str">
            <v>天報星</v>
          </cell>
        </row>
        <row r="1657">
          <cell r="H1657" t="str">
            <v>27+53</v>
          </cell>
          <cell r="I1657" t="str">
            <v>準方位</v>
          </cell>
          <cell r="J1657" t="str">
            <v>車騎星</v>
          </cell>
          <cell r="K1657" t="str">
            <v>天印星</v>
          </cell>
        </row>
        <row r="1658">
          <cell r="H1658" t="str">
            <v>27+54</v>
          </cell>
          <cell r="I1658" t="str">
            <v>害</v>
          </cell>
          <cell r="J1658" t="str">
            <v>牽牛星</v>
          </cell>
          <cell r="K1658" t="str">
            <v>天貴星</v>
          </cell>
        </row>
        <row r="1659">
          <cell r="H1659" t="str">
            <v>27+55</v>
          </cell>
          <cell r="I1659" t="str">
            <v>半会</v>
          </cell>
          <cell r="J1659" t="str">
            <v>龍高星</v>
          </cell>
          <cell r="K1659" t="str">
            <v>天恍星</v>
          </cell>
        </row>
        <row r="1660">
          <cell r="H1660" t="str">
            <v>27+56</v>
          </cell>
          <cell r="I1660" t="str">
            <v>－</v>
          </cell>
          <cell r="J1660" t="str">
            <v>玉堂星</v>
          </cell>
          <cell r="K1660" t="str">
            <v>天南星</v>
          </cell>
        </row>
        <row r="1661">
          <cell r="H1661" t="str">
            <v>27+57</v>
          </cell>
          <cell r="I1661" t="str">
            <v>納音</v>
          </cell>
          <cell r="J1661" t="str">
            <v>貫索星</v>
          </cell>
          <cell r="K1661" t="str">
            <v>天禄星</v>
          </cell>
        </row>
        <row r="1662">
          <cell r="H1662" t="str">
            <v>27+58</v>
          </cell>
          <cell r="I1662" t="str">
            <v>－</v>
          </cell>
          <cell r="J1662" t="str">
            <v>石門星</v>
          </cell>
          <cell r="K1662" t="str">
            <v>天将星</v>
          </cell>
        </row>
        <row r="1663">
          <cell r="H1663" t="str">
            <v>27+59</v>
          </cell>
          <cell r="I1663" t="str">
            <v>半会</v>
          </cell>
          <cell r="J1663" t="str">
            <v>鳳閣星</v>
          </cell>
          <cell r="K1663" t="str">
            <v>天堂星</v>
          </cell>
        </row>
        <row r="1664">
          <cell r="H1664" t="str">
            <v>27+60</v>
          </cell>
          <cell r="I1664" t="str">
            <v>支合</v>
          </cell>
          <cell r="J1664" t="str">
            <v>調舒星</v>
          </cell>
          <cell r="K1664" t="str">
            <v>天胡星</v>
          </cell>
        </row>
        <row r="1665">
          <cell r="H1665" t="str">
            <v>28+1</v>
          </cell>
          <cell r="I1665" t="str">
            <v>刑</v>
          </cell>
          <cell r="J1665" t="str">
            <v>司禄星</v>
          </cell>
          <cell r="K1665" t="str">
            <v>天貴星</v>
          </cell>
        </row>
        <row r="1666">
          <cell r="H1666" t="str">
            <v>28+2</v>
          </cell>
          <cell r="I1666" t="str">
            <v>－</v>
          </cell>
          <cell r="J1666" t="str">
            <v>禄存星</v>
          </cell>
          <cell r="K1666" t="str">
            <v>天印星</v>
          </cell>
        </row>
        <row r="1667">
          <cell r="H1667" t="str">
            <v>28+3</v>
          </cell>
          <cell r="I1667" t="str">
            <v>準方位</v>
          </cell>
          <cell r="J1667" t="str">
            <v>牽牛星</v>
          </cell>
          <cell r="K1667" t="str">
            <v>天報星</v>
          </cell>
        </row>
        <row r="1668">
          <cell r="H1668" t="str">
            <v>28+4</v>
          </cell>
          <cell r="I1668" t="str">
            <v>同</v>
          </cell>
          <cell r="J1668" t="str">
            <v>車騎星</v>
          </cell>
          <cell r="K1668" t="str">
            <v>天馳星</v>
          </cell>
        </row>
        <row r="1669">
          <cell r="H1669" t="str">
            <v>28+5</v>
          </cell>
          <cell r="I1669" t="str">
            <v>害</v>
          </cell>
          <cell r="J1669" t="str">
            <v>玉堂星</v>
          </cell>
          <cell r="K1669" t="str">
            <v>天庫星</v>
          </cell>
        </row>
        <row r="1670">
          <cell r="H1670" t="str">
            <v>28+6</v>
          </cell>
          <cell r="I1670" t="str">
            <v>－</v>
          </cell>
          <cell r="J1670" t="str">
            <v>龍高星</v>
          </cell>
          <cell r="K1670" t="str">
            <v>天極星</v>
          </cell>
        </row>
        <row r="1671">
          <cell r="H1671" t="str">
            <v>28+7</v>
          </cell>
          <cell r="I1671" t="str">
            <v>破</v>
          </cell>
          <cell r="J1671" t="str">
            <v>石門星</v>
          </cell>
          <cell r="K1671" t="str">
            <v>天胡星</v>
          </cell>
        </row>
        <row r="1672">
          <cell r="H1672" t="str">
            <v>28+8</v>
          </cell>
          <cell r="I1672" t="str">
            <v>大半会</v>
          </cell>
          <cell r="J1672" t="str">
            <v>貫索星</v>
          </cell>
          <cell r="K1672" t="str">
            <v>天堂星</v>
          </cell>
        </row>
        <row r="1673">
          <cell r="H1673" t="str">
            <v>28+9</v>
          </cell>
          <cell r="I1673" t="str">
            <v>－</v>
          </cell>
          <cell r="J1673" t="str">
            <v>調舒星</v>
          </cell>
          <cell r="K1673" t="str">
            <v>天将星</v>
          </cell>
        </row>
        <row r="1674">
          <cell r="H1674" t="str">
            <v>28+10</v>
          </cell>
          <cell r="I1674" t="str">
            <v>対冲</v>
          </cell>
          <cell r="J1674" t="str">
            <v>鳳閣星</v>
          </cell>
          <cell r="K1674" t="str">
            <v>天禄星</v>
          </cell>
        </row>
        <row r="1675">
          <cell r="H1675" t="str">
            <v>28+11</v>
          </cell>
          <cell r="I1675" t="str">
            <v>支合</v>
          </cell>
          <cell r="J1675" t="str">
            <v>司禄星</v>
          </cell>
          <cell r="K1675" t="str">
            <v>天南星</v>
          </cell>
        </row>
        <row r="1676">
          <cell r="H1676" t="str">
            <v>28+12</v>
          </cell>
          <cell r="I1676" t="str">
            <v>半会</v>
          </cell>
          <cell r="J1676" t="str">
            <v>禄存星</v>
          </cell>
          <cell r="K1676" t="str">
            <v>天恍星</v>
          </cell>
        </row>
        <row r="1677">
          <cell r="H1677" t="str">
            <v>28+13</v>
          </cell>
          <cell r="I1677" t="str">
            <v>刑</v>
          </cell>
          <cell r="J1677" t="str">
            <v>牽牛星</v>
          </cell>
          <cell r="K1677" t="str">
            <v>天貴星</v>
          </cell>
        </row>
        <row r="1678">
          <cell r="H1678" t="str">
            <v>28+14</v>
          </cell>
          <cell r="I1678" t="str">
            <v>－</v>
          </cell>
          <cell r="J1678" t="str">
            <v>車騎星</v>
          </cell>
          <cell r="K1678" t="str">
            <v>天印星</v>
          </cell>
        </row>
        <row r="1679">
          <cell r="H1679" t="str">
            <v>28+15</v>
          </cell>
          <cell r="I1679" t="str">
            <v>準方位</v>
          </cell>
          <cell r="J1679" t="str">
            <v>玉堂星</v>
          </cell>
          <cell r="K1679" t="str">
            <v>天報星</v>
          </cell>
        </row>
        <row r="1680">
          <cell r="H1680" t="str">
            <v>28+16</v>
          </cell>
          <cell r="I1680" t="str">
            <v>同</v>
          </cell>
          <cell r="J1680" t="str">
            <v>龍高星</v>
          </cell>
          <cell r="K1680" t="str">
            <v>天馳星</v>
          </cell>
        </row>
        <row r="1681">
          <cell r="H1681" t="str">
            <v>28+17</v>
          </cell>
          <cell r="I1681" t="str">
            <v>害</v>
          </cell>
          <cell r="J1681" t="str">
            <v>石門星</v>
          </cell>
          <cell r="K1681" t="str">
            <v>天庫星</v>
          </cell>
        </row>
        <row r="1682">
          <cell r="H1682" t="str">
            <v>28+18</v>
          </cell>
          <cell r="I1682" t="str">
            <v>－</v>
          </cell>
          <cell r="J1682" t="str">
            <v>貫索星</v>
          </cell>
          <cell r="K1682" t="str">
            <v>天極星</v>
          </cell>
        </row>
        <row r="1683">
          <cell r="H1683" t="str">
            <v>28+19</v>
          </cell>
          <cell r="I1683" t="str">
            <v>破</v>
          </cell>
          <cell r="J1683" t="str">
            <v>調舒星</v>
          </cell>
          <cell r="K1683" t="str">
            <v>天胡星</v>
          </cell>
        </row>
        <row r="1684">
          <cell r="H1684" t="str">
            <v>28+20</v>
          </cell>
          <cell r="I1684" t="str">
            <v>半会</v>
          </cell>
          <cell r="J1684" t="str">
            <v>鳳閣星</v>
          </cell>
          <cell r="K1684" t="str">
            <v>天堂星</v>
          </cell>
        </row>
        <row r="1685">
          <cell r="H1685" t="str">
            <v>28+21</v>
          </cell>
          <cell r="I1685" t="str">
            <v>－</v>
          </cell>
          <cell r="J1685" t="str">
            <v>司禄星</v>
          </cell>
          <cell r="K1685" t="str">
            <v>天将星</v>
          </cell>
        </row>
        <row r="1686">
          <cell r="H1686" t="str">
            <v>28+22</v>
          </cell>
          <cell r="I1686" t="str">
            <v>天剋地冲</v>
          </cell>
          <cell r="J1686" t="str">
            <v>禄存星</v>
          </cell>
          <cell r="K1686" t="str">
            <v>天禄星</v>
          </cell>
        </row>
        <row r="1687">
          <cell r="H1687" t="str">
            <v>28+23</v>
          </cell>
          <cell r="I1687" t="str">
            <v>支合</v>
          </cell>
          <cell r="J1687" t="str">
            <v>牽牛星</v>
          </cell>
          <cell r="K1687" t="str">
            <v>天南星</v>
          </cell>
        </row>
        <row r="1688">
          <cell r="H1688" t="str">
            <v>28+24</v>
          </cell>
          <cell r="I1688" t="str">
            <v>半会</v>
          </cell>
          <cell r="J1688" t="str">
            <v>車騎星</v>
          </cell>
          <cell r="K1688" t="str">
            <v>天恍星</v>
          </cell>
        </row>
        <row r="1689">
          <cell r="H1689" t="str">
            <v>28+25</v>
          </cell>
          <cell r="I1689" t="str">
            <v>刑</v>
          </cell>
          <cell r="J1689" t="str">
            <v>玉堂星</v>
          </cell>
          <cell r="K1689" t="str">
            <v>天貴星</v>
          </cell>
        </row>
        <row r="1690">
          <cell r="H1690" t="str">
            <v>28+26</v>
          </cell>
          <cell r="I1690" t="str">
            <v>－</v>
          </cell>
          <cell r="J1690" t="str">
            <v>龍高星</v>
          </cell>
          <cell r="K1690" t="str">
            <v>天印星</v>
          </cell>
        </row>
        <row r="1691">
          <cell r="H1691" t="str">
            <v>28+27</v>
          </cell>
          <cell r="I1691" t="str">
            <v>準方位</v>
          </cell>
          <cell r="J1691" t="str">
            <v>石門星</v>
          </cell>
          <cell r="K1691" t="str">
            <v>天報星</v>
          </cell>
        </row>
        <row r="1692">
          <cell r="H1692" t="str">
            <v>28+28</v>
          </cell>
          <cell r="I1692" t="str">
            <v>律音</v>
          </cell>
          <cell r="J1692" t="str">
            <v>貫索星</v>
          </cell>
          <cell r="K1692" t="str">
            <v>天馳星</v>
          </cell>
        </row>
        <row r="1693">
          <cell r="H1693" t="str">
            <v>28+29</v>
          </cell>
          <cell r="I1693" t="str">
            <v>害</v>
          </cell>
          <cell r="J1693" t="str">
            <v>調舒星</v>
          </cell>
          <cell r="K1693" t="str">
            <v>天庫星</v>
          </cell>
        </row>
        <row r="1694">
          <cell r="H1694" t="str">
            <v>28+30</v>
          </cell>
          <cell r="I1694" t="str">
            <v>－</v>
          </cell>
          <cell r="J1694" t="str">
            <v>鳳閣星</v>
          </cell>
          <cell r="K1694" t="str">
            <v>天極星</v>
          </cell>
        </row>
        <row r="1695">
          <cell r="H1695" t="str">
            <v>28+31</v>
          </cell>
          <cell r="I1695" t="str">
            <v>破</v>
          </cell>
          <cell r="J1695" t="str">
            <v>司禄星</v>
          </cell>
          <cell r="K1695" t="str">
            <v>天胡星</v>
          </cell>
        </row>
        <row r="1696">
          <cell r="H1696" t="str">
            <v>28+32</v>
          </cell>
          <cell r="I1696" t="str">
            <v>半会</v>
          </cell>
          <cell r="J1696" t="str">
            <v>禄存星</v>
          </cell>
          <cell r="K1696" t="str">
            <v>天堂星</v>
          </cell>
        </row>
        <row r="1697">
          <cell r="H1697" t="str">
            <v>28+33</v>
          </cell>
          <cell r="I1697" t="str">
            <v>－</v>
          </cell>
          <cell r="J1697" t="str">
            <v>牽牛星</v>
          </cell>
          <cell r="K1697" t="str">
            <v>天将星</v>
          </cell>
        </row>
        <row r="1698">
          <cell r="H1698" t="str">
            <v>28+34</v>
          </cell>
          <cell r="I1698" t="str">
            <v>天剋地冲</v>
          </cell>
          <cell r="J1698" t="str">
            <v>車騎星</v>
          </cell>
          <cell r="K1698" t="str">
            <v>天禄星</v>
          </cell>
        </row>
        <row r="1699">
          <cell r="H1699" t="str">
            <v>28+35</v>
          </cell>
          <cell r="I1699" t="str">
            <v>支合</v>
          </cell>
          <cell r="J1699" t="str">
            <v>玉堂星</v>
          </cell>
          <cell r="K1699" t="str">
            <v>天南星</v>
          </cell>
        </row>
        <row r="1700">
          <cell r="H1700" t="str">
            <v>28+36</v>
          </cell>
          <cell r="I1700" t="str">
            <v>半会</v>
          </cell>
          <cell r="J1700" t="str">
            <v>龍高星</v>
          </cell>
          <cell r="K1700" t="str">
            <v>天恍星</v>
          </cell>
        </row>
        <row r="1701">
          <cell r="H1701" t="str">
            <v>28+37</v>
          </cell>
          <cell r="I1701" t="str">
            <v>刑</v>
          </cell>
          <cell r="J1701" t="str">
            <v>石門星</v>
          </cell>
          <cell r="K1701" t="str">
            <v>天貴星</v>
          </cell>
        </row>
        <row r="1702">
          <cell r="H1702" t="str">
            <v>28+38</v>
          </cell>
          <cell r="I1702" t="str">
            <v>－</v>
          </cell>
          <cell r="J1702" t="str">
            <v>貫索星</v>
          </cell>
          <cell r="K1702" t="str">
            <v>天印星</v>
          </cell>
        </row>
        <row r="1703">
          <cell r="H1703" t="str">
            <v>28+39</v>
          </cell>
          <cell r="I1703" t="str">
            <v>準方位</v>
          </cell>
          <cell r="J1703" t="str">
            <v>調舒星</v>
          </cell>
          <cell r="K1703" t="str">
            <v>天報星</v>
          </cell>
        </row>
        <row r="1704">
          <cell r="H1704" t="str">
            <v>28+40</v>
          </cell>
          <cell r="I1704" t="str">
            <v>同</v>
          </cell>
          <cell r="J1704" t="str">
            <v>鳳閣星</v>
          </cell>
          <cell r="K1704" t="str">
            <v>天馳星</v>
          </cell>
        </row>
        <row r="1705">
          <cell r="H1705" t="str">
            <v>28+41</v>
          </cell>
          <cell r="I1705" t="str">
            <v>害</v>
          </cell>
          <cell r="J1705" t="str">
            <v>司禄星</v>
          </cell>
          <cell r="K1705" t="str">
            <v>天庫星</v>
          </cell>
        </row>
        <row r="1706">
          <cell r="H1706" t="str">
            <v>28+42</v>
          </cell>
          <cell r="I1706" t="str">
            <v>－</v>
          </cell>
          <cell r="J1706" t="str">
            <v>禄存星</v>
          </cell>
          <cell r="K1706" t="str">
            <v>天極星</v>
          </cell>
        </row>
        <row r="1707">
          <cell r="H1707" t="str">
            <v>28+43</v>
          </cell>
          <cell r="I1707" t="str">
            <v>破</v>
          </cell>
          <cell r="J1707" t="str">
            <v>牽牛星</v>
          </cell>
          <cell r="K1707" t="str">
            <v>天胡星</v>
          </cell>
        </row>
        <row r="1708">
          <cell r="H1708" t="str">
            <v>28+44</v>
          </cell>
          <cell r="I1708" t="str">
            <v>半会</v>
          </cell>
          <cell r="J1708" t="str">
            <v>車騎星</v>
          </cell>
          <cell r="K1708" t="str">
            <v>天堂星</v>
          </cell>
        </row>
        <row r="1709">
          <cell r="H1709" t="str">
            <v>28+45</v>
          </cell>
          <cell r="I1709" t="str">
            <v>－</v>
          </cell>
          <cell r="J1709" t="str">
            <v>玉堂星</v>
          </cell>
          <cell r="K1709" t="str">
            <v>天将星</v>
          </cell>
        </row>
        <row r="1710">
          <cell r="H1710" t="str">
            <v>28+46</v>
          </cell>
          <cell r="I1710" t="str">
            <v>対冲</v>
          </cell>
          <cell r="J1710" t="str">
            <v>龍高星</v>
          </cell>
          <cell r="K1710" t="str">
            <v>天禄星</v>
          </cell>
        </row>
        <row r="1711">
          <cell r="H1711" t="str">
            <v>28+47</v>
          </cell>
          <cell r="I1711" t="str">
            <v>支合</v>
          </cell>
          <cell r="J1711" t="str">
            <v>石門星</v>
          </cell>
          <cell r="K1711" t="str">
            <v>天南星</v>
          </cell>
        </row>
        <row r="1712">
          <cell r="H1712" t="str">
            <v>28+48</v>
          </cell>
          <cell r="I1712" t="str">
            <v>大半会</v>
          </cell>
          <cell r="J1712" t="str">
            <v>貫索星</v>
          </cell>
          <cell r="K1712" t="str">
            <v>天恍星</v>
          </cell>
        </row>
        <row r="1713">
          <cell r="H1713" t="str">
            <v>28+49</v>
          </cell>
          <cell r="I1713" t="str">
            <v>刑</v>
          </cell>
          <cell r="J1713" t="str">
            <v>調舒星</v>
          </cell>
          <cell r="K1713" t="str">
            <v>天貴星</v>
          </cell>
        </row>
        <row r="1714">
          <cell r="H1714" t="str">
            <v>28+50</v>
          </cell>
          <cell r="I1714" t="str">
            <v>－</v>
          </cell>
          <cell r="J1714" t="str">
            <v>鳳閣星</v>
          </cell>
          <cell r="K1714" t="str">
            <v>天印星</v>
          </cell>
        </row>
        <row r="1715">
          <cell r="H1715" t="str">
            <v>28+51</v>
          </cell>
          <cell r="I1715" t="str">
            <v>準方位</v>
          </cell>
          <cell r="J1715" t="str">
            <v>司禄星</v>
          </cell>
          <cell r="K1715" t="str">
            <v>天報星</v>
          </cell>
        </row>
        <row r="1716">
          <cell r="H1716" t="str">
            <v>28+52</v>
          </cell>
          <cell r="I1716" t="str">
            <v>同</v>
          </cell>
          <cell r="J1716" t="str">
            <v>禄存星</v>
          </cell>
          <cell r="K1716" t="str">
            <v>天馳星</v>
          </cell>
        </row>
        <row r="1717">
          <cell r="H1717" t="str">
            <v>28+53</v>
          </cell>
          <cell r="I1717" t="str">
            <v>害</v>
          </cell>
          <cell r="J1717" t="str">
            <v>牽牛星</v>
          </cell>
          <cell r="K1717" t="str">
            <v>天庫星</v>
          </cell>
        </row>
        <row r="1718">
          <cell r="H1718" t="str">
            <v>28+54</v>
          </cell>
          <cell r="I1718" t="str">
            <v>－</v>
          </cell>
          <cell r="J1718" t="str">
            <v>車騎星</v>
          </cell>
          <cell r="K1718" t="str">
            <v>天極星</v>
          </cell>
        </row>
        <row r="1719">
          <cell r="H1719" t="str">
            <v>28+55</v>
          </cell>
          <cell r="I1719" t="str">
            <v>破</v>
          </cell>
          <cell r="J1719" t="str">
            <v>玉堂星</v>
          </cell>
          <cell r="K1719" t="str">
            <v>天胡星</v>
          </cell>
        </row>
        <row r="1720">
          <cell r="H1720" t="str">
            <v>28+56</v>
          </cell>
          <cell r="I1720" t="str">
            <v>半会</v>
          </cell>
          <cell r="J1720" t="str">
            <v>龍高星</v>
          </cell>
          <cell r="K1720" t="str">
            <v>天堂星</v>
          </cell>
        </row>
        <row r="1721">
          <cell r="H1721" t="str">
            <v>28+57</v>
          </cell>
          <cell r="I1721" t="str">
            <v>－</v>
          </cell>
          <cell r="J1721" t="str">
            <v>石門星</v>
          </cell>
          <cell r="K1721" t="str">
            <v>天将星</v>
          </cell>
        </row>
        <row r="1722">
          <cell r="H1722" t="str">
            <v>28+58</v>
          </cell>
          <cell r="I1722" t="str">
            <v>納音</v>
          </cell>
          <cell r="J1722" t="str">
            <v>貫索星</v>
          </cell>
          <cell r="K1722" t="str">
            <v>天禄星</v>
          </cell>
        </row>
        <row r="1723">
          <cell r="H1723" t="str">
            <v>28+59</v>
          </cell>
          <cell r="I1723" t="str">
            <v>支合</v>
          </cell>
          <cell r="J1723" t="str">
            <v>調舒星</v>
          </cell>
          <cell r="K1723" t="str">
            <v>天南星</v>
          </cell>
        </row>
        <row r="1724">
          <cell r="H1724" t="str">
            <v>28+60</v>
          </cell>
          <cell r="I1724" t="str">
            <v>半会</v>
          </cell>
          <cell r="J1724" t="str">
            <v>鳳閣星</v>
          </cell>
          <cell r="K1724" t="str">
            <v>天恍星</v>
          </cell>
        </row>
        <row r="1725">
          <cell r="H1725" t="str">
            <v>29+1</v>
          </cell>
          <cell r="I1725" t="str">
            <v>半会</v>
          </cell>
          <cell r="J1725" t="str">
            <v>鳳閣星</v>
          </cell>
          <cell r="K1725" t="str">
            <v>天将星</v>
          </cell>
        </row>
        <row r="1726">
          <cell r="H1726" t="str">
            <v>29+2</v>
          </cell>
          <cell r="I1726" t="str">
            <v>破</v>
          </cell>
          <cell r="J1726" t="str">
            <v>調舒星</v>
          </cell>
          <cell r="K1726" t="str">
            <v>天堂星</v>
          </cell>
        </row>
        <row r="1727">
          <cell r="H1727" t="str">
            <v>29+3</v>
          </cell>
          <cell r="I1727" t="str">
            <v>準方位</v>
          </cell>
          <cell r="J1727" t="str">
            <v>禄存星</v>
          </cell>
          <cell r="K1727" t="str">
            <v>天胡星</v>
          </cell>
        </row>
        <row r="1728">
          <cell r="H1728" t="str">
            <v>29+4</v>
          </cell>
          <cell r="I1728" t="str">
            <v>害</v>
          </cell>
          <cell r="J1728" t="str">
            <v>司禄星</v>
          </cell>
          <cell r="K1728" t="str">
            <v>天極星</v>
          </cell>
        </row>
        <row r="1729">
          <cell r="H1729" t="str">
            <v>29+5</v>
          </cell>
          <cell r="I1729" t="str">
            <v>自刑</v>
          </cell>
          <cell r="J1729" t="str">
            <v>車騎星</v>
          </cell>
          <cell r="K1729" t="str">
            <v>天庫星</v>
          </cell>
        </row>
        <row r="1730">
          <cell r="H1730" t="str">
            <v>29+6</v>
          </cell>
          <cell r="I1730" t="str">
            <v>－</v>
          </cell>
          <cell r="J1730" t="str">
            <v>牽牛星</v>
          </cell>
          <cell r="K1730" t="str">
            <v>天馳星</v>
          </cell>
        </row>
        <row r="1731">
          <cell r="H1731" t="str">
            <v>29+7</v>
          </cell>
          <cell r="I1731" t="str">
            <v>－</v>
          </cell>
          <cell r="J1731" t="str">
            <v>龍高星</v>
          </cell>
          <cell r="K1731" t="str">
            <v>天報星</v>
          </cell>
        </row>
        <row r="1732">
          <cell r="H1732" t="str">
            <v>29+8</v>
          </cell>
          <cell r="I1732" t="str">
            <v>－</v>
          </cell>
          <cell r="J1732" t="str">
            <v>玉堂星</v>
          </cell>
          <cell r="K1732" t="str">
            <v>天印星</v>
          </cell>
        </row>
        <row r="1733">
          <cell r="H1733" t="str">
            <v>29+9</v>
          </cell>
          <cell r="I1733" t="str">
            <v>大半会</v>
          </cell>
          <cell r="J1733" t="str">
            <v>貫索星</v>
          </cell>
          <cell r="K1733" t="str">
            <v>天貴星</v>
          </cell>
        </row>
        <row r="1734">
          <cell r="H1734" t="str">
            <v>29+10</v>
          </cell>
          <cell r="I1734" t="str">
            <v>支合</v>
          </cell>
          <cell r="J1734" t="str">
            <v>石門星</v>
          </cell>
          <cell r="K1734" t="str">
            <v>天恍星</v>
          </cell>
        </row>
        <row r="1735">
          <cell r="H1735" t="str">
            <v>29+11</v>
          </cell>
          <cell r="I1735" t="str">
            <v>対冲</v>
          </cell>
          <cell r="J1735" t="str">
            <v>鳳閣星</v>
          </cell>
          <cell r="K1735" t="str">
            <v>天南星</v>
          </cell>
        </row>
        <row r="1736">
          <cell r="H1736" t="str">
            <v>29+12</v>
          </cell>
          <cell r="I1736" t="str">
            <v>－</v>
          </cell>
          <cell r="J1736" t="str">
            <v>調舒星</v>
          </cell>
          <cell r="K1736" t="str">
            <v>天禄星</v>
          </cell>
        </row>
        <row r="1737">
          <cell r="H1737" t="str">
            <v>29+13</v>
          </cell>
          <cell r="I1737" t="str">
            <v>半会</v>
          </cell>
          <cell r="J1737" t="str">
            <v>禄存星</v>
          </cell>
          <cell r="K1737" t="str">
            <v>天将星</v>
          </cell>
        </row>
        <row r="1738">
          <cell r="H1738" t="str">
            <v>29+14</v>
          </cell>
          <cell r="I1738" t="str">
            <v>破</v>
          </cell>
          <cell r="J1738" t="str">
            <v>司禄星</v>
          </cell>
          <cell r="K1738" t="str">
            <v>天堂星</v>
          </cell>
        </row>
        <row r="1739">
          <cell r="H1739" t="str">
            <v>29+15</v>
          </cell>
          <cell r="I1739" t="str">
            <v>準方位</v>
          </cell>
          <cell r="J1739" t="str">
            <v>車騎星</v>
          </cell>
          <cell r="K1739" t="str">
            <v>天胡星</v>
          </cell>
        </row>
        <row r="1740">
          <cell r="H1740" t="str">
            <v>29+16</v>
          </cell>
          <cell r="I1740" t="str">
            <v>害</v>
          </cell>
          <cell r="J1740" t="str">
            <v>牽牛星</v>
          </cell>
          <cell r="K1740" t="str">
            <v>天極星</v>
          </cell>
        </row>
        <row r="1741">
          <cell r="H1741" t="str">
            <v>29+17</v>
          </cell>
          <cell r="I1741" t="str">
            <v>自刑</v>
          </cell>
          <cell r="J1741" t="str">
            <v>龍高星</v>
          </cell>
          <cell r="K1741" t="str">
            <v>天庫星</v>
          </cell>
        </row>
        <row r="1742">
          <cell r="H1742" t="str">
            <v>29+18</v>
          </cell>
          <cell r="I1742" t="str">
            <v>－</v>
          </cell>
          <cell r="J1742" t="str">
            <v>玉堂星</v>
          </cell>
          <cell r="K1742" t="str">
            <v>天馳星</v>
          </cell>
        </row>
        <row r="1743">
          <cell r="H1743" t="str">
            <v>29+19</v>
          </cell>
          <cell r="I1743" t="str">
            <v>－</v>
          </cell>
          <cell r="J1743" t="str">
            <v>貫索星</v>
          </cell>
          <cell r="K1743" t="str">
            <v>天報星</v>
          </cell>
        </row>
        <row r="1744">
          <cell r="H1744" t="str">
            <v>29+20</v>
          </cell>
          <cell r="I1744" t="str">
            <v>－</v>
          </cell>
          <cell r="J1744" t="str">
            <v>石門星</v>
          </cell>
          <cell r="K1744" t="str">
            <v>天印星</v>
          </cell>
        </row>
        <row r="1745">
          <cell r="H1745" t="str">
            <v>29+21</v>
          </cell>
          <cell r="I1745" t="str">
            <v>半会</v>
          </cell>
          <cell r="J1745" t="str">
            <v>鳳閣星</v>
          </cell>
          <cell r="K1745" t="str">
            <v>天貴星</v>
          </cell>
        </row>
        <row r="1746">
          <cell r="H1746" t="str">
            <v>29+22</v>
          </cell>
          <cell r="I1746" t="str">
            <v>支合</v>
          </cell>
          <cell r="J1746" t="str">
            <v>調舒星</v>
          </cell>
          <cell r="K1746" t="str">
            <v>天恍星</v>
          </cell>
        </row>
        <row r="1747">
          <cell r="H1747" t="str">
            <v>29+23</v>
          </cell>
          <cell r="I1747" t="str">
            <v>天剋地冲</v>
          </cell>
          <cell r="J1747" t="str">
            <v>禄存星</v>
          </cell>
          <cell r="K1747" t="str">
            <v>天南星</v>
          </cell>
        </row>
        <row r="1748">
          <cell r="H1748" t="str">
            <v>29+24</v>
          </cell>
          <cell r="I1748" t="str">
            <v>－</v>
          </cell>
          <cell r="J1748" t="str">
            <v>司禄星</v>
          </cell>
          <cell r="K1748" t="str">
            <v>天禄星</v>
          </cell>
        </row>
        <row r="1749">
          <cell r="H1749" t="str">
            <v>29+25</v>
          </cell>
          <cell r="I1749" t="str">
            <v>半会</v>
          </cell>
          <cell r="J1749" t="str">
            <v>車騎星</v>
          </cell>
          <cell r="K1749" t="str">
            <v>天将星</v>
          </cell>
        </row>
        <row r="1750">
          <cell r="H1750" t="str">
            <v>29+26</v>
          </cell>
          <cell r="I1750" t="str">
            <v>破</v>
          </cell>
          <cell r="J1750" t="str">
            <v>牽牛星</v>
          </cell>
          <cell r="K1750" t="str">
            <v>天堂星</v>
          </cell>
        </row>
        <row r="1751">
          <cell r="H1751" t="str">
            <v>29+27</v>
          </cell>
          <cell r="I1751" t="str">
            <v>準方位</v>
          </cell>
          <cell r="J1751" t="str">
            <v>龍高星</v>
          </cell>
          <cell r="K1751" t="str">
            <v>天胡星</v>
          </cell>
        </row>
        <row r="1752">
          <cell r="H1752" t="str">
            <v>29+28</v>
          </cell>
          <cell r="I1752" t="str">
            <v>害</v>
          </cell>
          <cell r="J1752" t="str">
            <v>玉堂星</v>
          </cell>
          <cell r="K1752" t="str">
            <v>天極星</v>
          </cell>
        </row>
        <row r="1753">
          <cell r="H1753" t="str">
            <v>29+29</v>
          </cell>
          <cell r="I1753" t="str">
            <v>律音</v>
          </cell>
          <cell r="J1753" t="str">
            <v>貫索星</v>
          </cell>
          <cell r="K1753" t="str">
            <v>天庫星</v>
          </cell>
        </row>
        <row r="1754">
          <cell r="H1754" t="str">
            <v>29+30</v>
          </cell>
          <cell r="I1754" t="str">
            <v>－</v>
          </cell>
          <cell r="J1754" t="str">
            <v>石門星</v>
          </cell>
          <cell r="K1754" t="str">
            <v>天馳星</v>
          </cell>
        </row>
        <row r="1755">
          <cell r="H1755" t="str">
            <v>29+31</v>
          </cell>
          <cell r="I1755" t="str">
            <v>－</v>
          </cell>
          <cell r="J1755" t="str">
            <v>鳳閣星</v>
          </cell>
          <cell r="K1755" t="str">
            <v>天報星</v>
          </cell>
        </row>
        <row r="1756">
          <cell r="H1756" t="str">
            <v>29+32</v>
          </cell>
          <cell r="I1756" t="str">
            <v>－</v>
          </cell>
          <cell r="J1756" t="str">
            <v>調舒星</v>
          </cell>
          <cell r="K1756" t="str">
            <v>天印星</v>
          </cell>
        </row>
        <row r="1757">
          <cell r="H1757" t="str">
            <v>29+33</v>
          </cell>
          <cell r="I1757" t="str">
            <v>半会</v>
          </cell>
          <cell r="J1757" t="str">
            <v>禄存星</v>
          </cell>
          <cell r="K1757" t="str">
            <v>天貴星</v>
          </cell>
        </row>
        <row r="1758">
          <cell r="H1758" t="str">
            <v>29+34</v>
          </cell>
          <cell r="I1758" t="str">
            <v>支合</v>
          </cell>
          <cell r="J1758" t="str">
            <v>司禄星</v>
          </cell>
          <cell r="K1758" t="str">
            <v>天恍星</v>
          </cell>
        </row>
        <row r="1759">
          <cell r="H1759" t="str">
            <v>29+35</v>
          </cell>
          <cell r="I1759" t="str">
            <v>天剋地冲</v>
          </cell>
          <cell r="J1759" t="str">
            <v>車騎星</v>
          </cell>
          <cell r="K1759" t="str">
            <v>天南星</v>
          </cell>
        </row>
        <row r="1760">
          <cell r="H1760" t="str">
            <v>29+36</v>
          </cell>
          <cell r="I1760" t="str">
            <v>－</v>
          </cell>
          <cell r="J1760" t="str">
            <v>牽牛星</v>
          </cell>
          <cell r="K1760" t="str">
            <v>天禄星</v>
          </cell>
        </row>
        <row r="1761">
          <cell r="H1761" t="str">
            <v>29+37</v>
          </cell>
          <cell r="I1761" t="str">
            <v>半会</v>
          </cell>
          <cell r="J1761" t="str">
            <v>龍高星</v>
          </cell>
          <cell r="K1761" t="str">
            <v>天将星</v>
          </cell>
        </row>
        <row r="1762">
          <cell r="H1762" t="str">
            <v>29+38</v>
          </cell>
          <cell r="I1762" t="str">
            <v>破</v>
          </cell>
          <cell r="J1762" t="str">
            <v>玉堂星</v>
          </cell>
          <cell r="K1762" t="str">
            <v>天堂星</v>
          </cell>
        </row>
        <row r="1763">
          <cell r="H1763" t="str">
            <v>29+39</v>
          </cell>
          <cell r="I1763" t="str">
            <v>準方位</v>
          </cell>
          <cell r="J1763" t="str">
            <v>貫索星</v>
          </cell>
          <cell r="K1763" t="str">
            <v>天胡星</v>
          </cell>
        </row>
        <row r="1764">
          <cell r="H1764" t="str">
            <v>29+40</v>
          </cell>
          <cell r="I1764" t="str">
            <v>害</v>
          </cell>
          <cell r="J1764" t="str">
            <v>石門星</v>
          </cell>
          <cell r="K1764" t="str">
            <v>天極星</v>
          </cell>
        </row>
        <row r="1765">
          <cell r="H1765" t="str">
            <v>29+41</v>
          </cell>
          <cell r="I1765" t="str">
            <v>自刑</v>
          </cell>
          <cell r="J1765" t="str">
            <v>鳳閣星</v>
          </cell>
          <cell r="K1765" t="str">
            <v>天庫星</v>
          </cell>
        </row>
        <row r="1766">
          <cell r="H1766" t="str">
            <v>29+42</v>
          </cell>
          <cell r="I1766" t="str">
            <v>－</v>
          </cell>
          <cell r="J1766" t="str">
            <v>調舒星</v>
          </cell>
          <cell r="K1766" t="str">
            <v>天馳星</v>
          </cell>
        </row>
        <row r="1767">
          <cell r="H1767" t="str">
            <v>29+43</v>
          </cell>
          <cell r="I1767" t="str">
            <v>－</v>
          </cell>
          <cell r="J1767" t="str">
            <v>禄存星</v>
          </cell>
          <cell r="K1767" t="str">
            <v>天報星</v>
          </cell>
        </row>
        <row r="1768">
          <cell r="H1768" t="str">
            <v>29+44</v>
          </cell>
          <cell r="I1768" t="str">
            <v>－</v>
          </cell>
          <cell r="J1768" t="str">
            <v>司禄星</v>
          </cell>
          <cell r="K1768" t="str">
            <v>天印星</v>
          </cell>
        </row>
        <row r="1769">
          <cell r="H1769" t="str">
            <v>29+45</v>
          </cell>
          <cell r="I1769" t="str">
            <v>半会</v>
          </cell>
          <cell r="J1769" t="str">
            <v>車騎星</v>
          </cell>
          <cell r="K1769" t="str">
            <v>天貴星</v>
          </cell>
        </row>
        <row r="1770">
          <cell r="H1770" t="str">
            <v>29+46</v>
          </cell>
          <cell r="I1770" t="str">
            <v>支合</v>
          </cell>
          <cell r="J1770" t="str">
            <v>牽牛星</v>
          </cell>
          <cell r="K1770" t="str">
            <v>天恍星</v>
          </cell>
        </row>
        <row r="1771">
          <cell r="H1771" t="str">
            <v>29+47</v>
          </cell>
          <cell r="I1771" t="str">
            <v>対冲</v>
          </cell>
          <cell r="J1771" t="str">
            <v>龍高星</v>
          </cell>
          <cell r="K1771" t="str">
            <v>天南星</v>
          </cell>
        </row>
        <row r="1772">
          <cell r="H1772" t="str">
            <v>29+48</v>
          </cell>
          <cell r="I1772" t="str">
            <v>－</v>
          </cell>
          <cell r="J1772" t="str">
            <v>玉堂星</v>
          </cell>
          <cell r="K1772" t="str">
            <v>天禄星</v>
          </cell>
        </row>
        <row r="1773">
          <cell r="H1773" t="str">
            <v>29+49</v>
          </cell>
          <cell r="I1773" t="str">
            <v>大半会</v>
          </cell>
          <cell r="J1773" t="str">
            <v>貫索星</v>
          </cell>
          <cell r="K1773" t="str">
            <v>天将星</v>
          </cell>
        </row>
        <row r="1774">
          <cell r="H1774" t="str">
            <v>29+50</v>
          </cell>
          <cell r="I1774" t="str">
            <v>破</v>
          </cell>
          <cell r="J1774" t="str">
            <v>石門星</v>
          </cell>
          <cell r="K1774" t="str">
            <v>天堂星</v>
          </cell>
        </row>
        <row r="1775">
          <cell r="H1775" t="str">
            <v>29+51</v>
          </cell>
          <cell r="I1775" t="str">
            <v>準方位</v>
          </cell>
          <cell r="J1775" t="str">
            <v>鳳閣星</v>
          </cell>
          <cell r="K1775" t="str">
            <v>天胡星</v>
          </cell>
        </row>
        <row r="1776">
          <cell r="H1776" t="str">
            <v>29+52</v>
          </cell>
          <cell r="I1776" t="str">
            <v>害</v>
          </cell>
          <cell r="J1776" t="str">
            <v>調舒星</v>
          </cell>
          <cell r="K1776" t="str">
            <v>天極星</v>
          </cell>
        </row>
        <row r="1777">
          <cell r="H1777" t="str">
            <v>29+53</v>
          </cell>
          <cell r="I1777" t="str">
            <v>自刑</v>
          </cell>
          <cell r="J1777" t="str">
            <v>禄存星</v>
          </cell>
          <cell r="K1777" t="str">
            <v>天庫星</v>
          </cell>
        </row>
        <row r="1778">
          <cell r="H1778" t="str">
            <v>29+54</v>
          </cell>
          <cell r="I1778" t="str">
            <v>－</v>
          </cell>
          <cell r="J1778" t="str">
            <v>司禄星</v>
          </cell>
          <cell r="K1778" t="str">
            <v>天馳星</v>
          </cell>
        </row>
        <row r="1779">
          <cell r="H1779" t="str">
            <v>29+55</v>
          </cell>
          <cell r="I1779" t="str">
            <v>－</v>
          </cell>
          <cell r="J1779" t="str">
            <v>車騎星</v>
          </cell>
          <cell r="K1779" t="str">
            <v>天報星</v>
          </cell>
        </row>
        <row r="1780">
          <cell r="H1780" t="str">
            <v>29+56</v>
          </cell>
          <cell r="I1780" t="str">
            <v>－</v>
          </cell>
          <cell r="J1780" t="str">
            <v>牽牛星</v>
          </cell>
          <cell r="K1780" t="str">
            <v>天印星</v>
          </cell>
        </row>
        <row r="1781">
          <cell r="H1781" t="str">
            <v>29+57</v>
          </cell>
          <cell r="I1781" t="str">
            <v>半会</v>
          </cell>
          <cell r="J1781" t="str">
            <v>龍高星</v>
          </cell>
          <cell r="K1781" t="str">
            <v>天貴星</v>
          </cell>
        </row>
        <row r="1782">
          <cell r="H1782" t="str">
            <v>29+58</v>
          </cell>
          <cell r="I1782" t="str">
            <v>支合</v>
          </cell>
          <cell r="J1782" t="str">
            <v>玉堂星</v>
          </cell>
          <cell r="K1782" t="str">
            <v>天恍星</v>
          </cell>
        </row>
        <row r="1783">
          <cell r="H1783" t="str">
            <v>29+59</v>
          </cell>
          <cell r="I1783" t="str">
            <v>納音</v>
          </cell>
          <cell r="J1783" t="str">
            <v>貫索星</v>
          </cell>
          <cell r="K1783" t="str">
            <v>天南星</v>
          </cell>
        </row>
        <row r="1784">
          <cell r="H1784" t="str">
            <v>29+60</v>
          </cell>
          <cell r="I1784" t="str">
            <v>－</v>
          </cell>
          <cell r="J1784" t="str">
            <v>石門星</v>
          </cell>
          <cell r="K1784" t="str">
            <v>天禄星</v>
          </cell>
        </row>
        <row r="1785">
          <cell r="H1785" t="str">
            <v>30+1</v>
          </cell>
          <cell r="I1785" t="str">
            <v>－</v>
          </cell>
          <cell r="J1785" t="str">
            <v>調舒星</v>
          </cell>
          <cell r="K1785" t="str">
            <v>天禄星</v>
          </cell>
        </row>
        <row r="1786">
          <cell r="H1786" t="str">
            <v>30+2</v>
          </cell>
          <cell r="I1786" t="str">
            <v>半会</v>
          </cell>
          <cell r="J1786" t="str">
            <v>鳳閣星</v>
          </cell>
          <cell r="K1786" t="str">
            <v>天南星</v>
          </cell>
        </row>
        <row r="1787">
          <cell r="H1787" t="str">
            <v>30+3</v>
          </cell>
          <cell r="I1787" t="str">
            <v>害</v>
          </cell>
          <cell r="J1787" t="str">
            <v>司禄星</v>
          </cell>
          <cell r="K1787" t="str">
            <v>天恍星</v>
          </cell>
        </row>
        <row r="1788">
          <cell r="H1788" t="str">
            <v>30+4</v>
          </cell>
          <cell r="I1788" t="str">
            <v>－</v>
          </cell>
          <cell r="J1788" t="str">
            <v>禄存星</v>
          </cell>
          <cell r="K1788" t="str">
            <v>天貴星</v>
          </cell>
        </row>
        <row r="1789">
          <cell r="H1789" t="str">
            <v>30+5</v>
          </cell>
          <cell r="I1789" t="str">
            <v>－</v>
          </cell>
          <cell r="J1789" t="str">
            <v>牽牛星</v>
          </cell>
          <cell r="K1789" t="str">
            <v>天印星</v>
          </cell>
        </row>
        <row r="1790">
          <cell r="H1790" t="str">
            <v>30+6</v>
          </cell>
          <cell r="I1790" t="str">
            <v>同</v>
          </cell>
          <cell r="J1790" t="str">
            <v>車騎星</v>
          </cell>
          <cell r="K1790" t="str">
            <v>天報星</v>
          </cell>
        </row>
        <row r="1791">
          <cell r="H1791" t="str">
            <v>30+7</v>
          </cell>
          <cell r="I1791" t="str">
            <v>準方位</v>
          </cell>
          <cell r="J1791" t="str">
            <v>玉堂星</v>
          </cell>
          <cell r="K1791" t="str">
            <v>天馳星</v>
          </cell>
        </row>
        <row r="1792">
          <cell r="H1792" t="str">
            <v>30+8</v>
          </cell>
          <cell r="I1792" t="str">
            <v>準方位</v>
          </cell>
          <cell r="J1792" t="str">
            <v>龍高星</v>
          </cell>
          <cell r="K1792" t="str">
            <v>天庫星</v>
          </cell>
        </row>
        <row r="1793">
          <cell r="H1793" t="str">
            <v>30+9</v>
          </cell>
          <cell r="I1793" t="str">
            <v>支合</v>
          </cell>
          <cell r="J1793" t="str">
            <v>石門星</v>
          </cell>
          <cell r="K1793" t="str">
            <v>天極星</v>
          </cell>
        </row>
        <row r="1794">
          <cell r="H1794" t="str">
            <v>30+10</v>
          </cell>
          <cell r="I1794" t="str">
            <v>大半会</v>
          </cell>
          <cell r="J1794" t="str">
            <v>貫索星</v>
          </cell>
          <cell r="K1794" t="str">
            <v>天胡星</v>
          </cell>
        </row>
        <row r="1795">
          <cell r="H1795" t="str">
            <v>30+11</v>
          </cell>
          <cell r="I1795" t="str">
            <v>－</v>
          </cell>
          <cell r="J1795" t="str">
            <v>調舒星</v>
          </cell>
          <cell r="K1795" t="str">
            <v>天堂星</v>
          </cell>
        </row>
        <row r="1796">
          <cell r="H1796" t="str">
            <v>30+12</v>
          </cell>
          <cell r="I1796" t="str">
            <v>対冲</v>
          </cell>
          <cell r="J1796" t="str">
            <v>鳳閣星</v>
          </cell>
          <cell r="K1796" t="str">
            <v>天将星</v>
          </cell>
        </row>
        <row r="1797">
          <cell r="H1797" t="str">
            <v>30+13</v>
          </cell>
          <cell r="I1797" t="str">
            <v>－</v>
          </cell>
          <cell r="J1797" t="str">
            <v>司禄星</v>
          </cell>
          <cell r="K1797" t="str">
            <v>天禄星</v>
          </cell>
        </row>
        <row r="1798">
          <cell r="H1798" t="str">
            <v>30+14</v>
          </cell>
          <cell r="I1798" t="str">
            <v>半会</v>
          </cell>
          <cell r="J1798" t="str">
            <v>禄存星</v>
          </cell>
          <cell r="K1798" t="str">
            <v>天南星</v>
          </cell>
        </row>
        <row r="1799">
          <cell r="H1799" t="str">
            <v>30+15</v>
          </cell>
          <cell r="I1799" t="str">
            <v>害</v>
          </cell>
          <cell r="J1799" t="str">
            <v>牽牛星</v>
          </cell>
          <cell r="K1799" t="str">
            <v>天恍星</v>
          </cell>
        </row>
        <row r="1800">
          <cell r="H1800" t="str">
            <v>30+16</v>
          </cell>
          <cell r="I1800" t="str">
            <v>－</v>
          </cell>
          <cell r="J1800" t="str">
            <v>車騎星</v>
          </cell>
          <cell r="K1800" t="str">
            <v>天貴星</v>
          </cell>
        </row>
        <row r="1801">
          <cell r="H1801" t="str">
            <v>30+17</v>
          </cell>
          <cell r="I1801" t="str">
            <v>－</v>
          </cell>
          <cell r="J1801" t="str">
            <v>玉堂星</v>
          </cell>
          <cell r="K1801" t="str">
            <v>天印星</v>
          </cell>
        </row>
        <row r="1802">
          <cell r="H1802" t="str">
            <v>30+18</v>
          </cell>
          <cell r="I1802" t="str">
            <v>同</v>
          </cell>
          <cell r="J1802" t="str">
            <v>龍高星</v>
          </cell>
          <cell r="K1802" t="str">
            <v>天報星</v>
          </cell>
        </row>
        <row r="1803">
          <cell r="H1803" t="str">
            <v>30+19</v>
          </cell>
          <cell r="I1803" t="str">
            <v>準方位</v>
          </cell>
          <cell r="J1803" t="str">
            <v>石門星</v>
          </cell>
          <cell r="K1803" t="str">
            <v>天馳星</v>
          </cell>
        </row>
        <row r="1804">
          <cell r="H1804" t="str">
            <v>30+20</v>
          </cell>
          <cell r="I1804" t="str">
            <v>準方位</v>
          </cell>
          <cell r="J1804" t="str">
            <v>貫索星</v>
          </cell>
          <cell r="K1804" t="str">
            <v>天庫星</v>
          </cell>
        </row>
        <row r="1805">
          <cell r="H1805" t="str">
            <v>30+21</v>
          </cell>
          <cell r="I1805" t="str">
            <v>支合</v>
          </cell>
          <cell r="J1805" t="str">
            <v>調舒星</v>
          </cell>
          <cell r="K1805" t="str">
            <v>天極星</v>
          </cell>
        </row>
        <row r="1806">
          <cell r="H1806" t="str">
            <v>30+22</v>
          </cell>
          <cell r="I1806" t="str">
            <v>半会</v>
          </cell>
          <cell r="J1806" t="str">
            <v>鳳閣星</v>
          </cell>
          <cell r="K1806" t="str">
            <v>天胡星</v>
          </cell>
        </row>
        <row r="1807">
          <cell r="H1807" t="str">
            <v>30+23</v>
          </cell>
          <cell r="I1807" t="str">
            <v>－</v>
          </cell>
          <cell r="J1807" t="str">
            <v>司禄星</v>
          </cell>
          <cell r="K1807" t="str">
            <v>天堂星</v>
          </cell>
        </row>
        <row r="1808">
          <cell r="H1808" t="str">
            <v>30+24</v>
          </cell>
          <cell r="I1808" t="str">
            <v>天剋地冲</v>
          </cell>
          <cell r="J1808" t="str">
            <v>禄存星</v>
          </cell>
          <cell r="K1808" t="str">
            <v>天将星</v>
          </cell>
        </row>
        <row r="1809">
          <cell r="H1809" t="str">
            <v>30+25</v>
          </cell>
          <cell r="I1809" t="str">
            <v>－</v>
          </cell>
          <cell r="J1809" t="str">
            <v>牽牛星</v>
          </cell>
          <cell r="K1809" t="str">
            <v>天禄星</v>
          </cell>
        </row>
        <row r="1810">
          <cell r="H1810" t="str">
            <v>30+26</v>
          </cell>
          <cell r="I1810" t="str">
            <v>半会</v>
          </cell>
          <cell r="J1810" t="str">
            <v>車騎星</v>
          </cell>
          <cell r="K1810" t="str">
            <v>天南星</v>
          </cell>
        </row>
        <row r="1811">
          <cell r="H1811" t="str">
            <v>30+27</v>
          </cell>
          <cell r="I1811" t="str">
            <v>害</v>
          </cell>
          <cell r="J1811" t="str">
            <v>玉堂星</v>
          </cell>
          <cell r="K1811" t="str">
            <v>天恍星</v>
          </cell>
        </row>
        <row r="1812">
          <cell r="H1812" t="str">
            <v>30+28</v>
          </cell>
          <cell r="I1812" t="str">
            <v>－</v>
          </cell>
          <cell r="J1812" t="str">
            <v>龍高星</v>
          </cell>
          <cell r="K1812" t="str">
            <v>天貴星</v>
          </cell>
        </row>
        <row r="1813">
          <cell r="H1813" t="str">
            <v>30+29</v>
          </cell>
          <cell r="I1813" t="str">
            <v>－</v>
          </cell>
          <cell r="J1813" t="str">
            <v>石門星</v>
          </cell>
          <cell r="K1813" t="str">
            <v>天印星</v>
          </cell>
        </row>
        <row r="1814">
          <cell r="H1814" t="str">
            <v>30+30</v>
          </cell>
          <cell r="I1814" t="str">
            <v>律音</v>
          </cell>
          <cell r="J1814" t="str">
            <v>貫索星</v>
          </cell>
          <cell r="K1814" t="str">
            <v>天報星</v>
          </cell>
        </row>
        <row r="1815">
          <cell r="H1815" t="str">
            <v>30+31</v>
          </cell>
          <cell r="I1815" t="str">
            <v>準方位</v>
          </cell>
          <cell r="J1815" t="str">
            <v>調舒星</v>
          </cell>
          <cell r="K1815" t="str">
            <v>天馳星</v>
          </cell>
        </row>
        <row r="1816">
          <cell r="H1816" t="str">
            <v>30+32</v>
          </cell>
          <cell r="I1816" t="str">
            <v>準方位</v>
          </cell>
          <cell r="J1816" t="str">
            <v>鳳閣星</v>
          </cell>
          <cell r="K1816" t="str">
            <v>天庫星</v>
          </cell>
        </row>
        <row r="1817">
          <cell r="H1817" t="str">
            <v>30+33</v>
          </cell>
          <cell r="I1817" t="str">
            <v>支合</v>
          </cell>
          <cell r="J1817" t="str">
            <v>司禄星</v>
          </cell>
          <cell r="K1817" t="str">
            <v>天極星</v>
          </cell>
        </row>
        <row r="1818">
          <cell r="H1818" t="str">
            <v>30+34</v>
          </cell>
          <cell r="I1818" t="str">
            <v>半会</v>
          </cell>
          <cell r="J1818" t="str">
            <v>禄存星</v>
          </cell>
          <cell r="K1818" t="str">
            <v>天胡星</v>
          </cell>
        </row>
        <row r="1819">
          <cell r="H1819" t="str">
            <v>30+35</v>
          </cell>
          <cell r="I1819" t="str">
            <v>－</v>
          </cell>
          <cell r="J1819" t="str">
            <v>牽牛星</v>
          </cell>
          <cell r="K1819" t="str">
            <v>天堂星</v>
          </cell>
        </row>
        <row r="1820">
          <cell r="H1820" t="str">
            <v>30+36</v>
          </cell>
          <cell r="I1820" t="str">
            <v>天剋地冲</v>
          </cell>
          <cell r="J1820" t="str">
            <v>車騎星</v>
          </cell>
          <cell r="K1820" t="str">
            <v>天将星</v>
          </cell>
        </row>
        <row r="1821">
          <cell r="H1821" t="str">
            <v>30+37</v>
          </cell>
          <cell r="I1821" t="str">
            <v>－</v>
          </cell>
          <cell r="J1821" t="str">
            <v>玉堂星</v>
          </cell>
          <cell r="K1821" t="str">
            <v>天禄星</v>
          </cell>
        </row>
        <row r="1822">
          <cell r="H1822" t="str">
            <v>30+38</v>
          </cell>
          <cell r="I1822" t="str">
            <v>半会</v>
          </cell>
          <cell r="J1822" t="str">
            <v>龍高星</v>
          </cell>
          <cell r="K1822" t="str">
            <v>天南星</v>
          </cell>
        </row>
        <row r="1823">
          <cell r="H1823" t="str">
            <v>30+39</v>
          </cell>
          <cell r="I1823" t="str">
            <v>害</v>
          </cell>
          <cell r="J1823" t="str">
            <v>石門星</v>
          </cell>
          <cell r="K1823" t="str">
            <v>天恍星</v>
          </cell>
        </row>
        <row r="1824">
          <cell r="H1824" t="str">
            <v>30+40</v>
          </cell>
          <cell r="I1824" t="str">
            <v>－</v>
          </cell>
          <cell r="J1824" t="str">
            <v>貫索星</v>
          </cell>
          <cell r="K1824" t="str">
            <v>天貴星</v>
          </cell>
        </row>
        <row r="1825">
          <cell r="H1825" t="str">
            <v>30+41</v>
          </cell>
          <cell r="I1825" t="str">
            <v>－</v>
          </cell>
          <cell r="J1825" t="str">
            <v>調舒星</v>
          </cell>
          <cell r="K1825" t="str">
            <v>天印星</v>
          </cell>
        </row>
        <row r="1826">
          <cell r="H1826" t="str">
            <v>30+42</v>
          </cell>
          <cell r="I1826" t="str">
            <v>同</v>
          </cell>
          <cell r="J1826" t="str">
            <v>鳳閣星</v>
          </cell>
          <cell r="K1826" t="str">
            <v>天報星</v>
          </cell>
        </row>
        <row r="1827">
          <cell r="H1827" t="str">
            <v>30+43</v>
          </cell>
          <cell r="I1827" t="str">
            <v>準方位</v>
          </cell>
          <cell r="J1827" t="str">
            <v>司禄星</v>
          </cell>
          <cell r="K1827" t="str">
            <v>天馳星</v>
          </cell>
        </row>
        <row r="1828">
          <cell r="H1828" t="str">
            <v>30+44</v>
          </cell>
          <cell r="I1828" t="str">
            <v>準方位</v>
          </cell>
          <cell r="J1828" t="str">
            <v>禄存星</v>
          </cell>
          <cell r="K1828" t="str">
            <v>天庫星</v>
          </cell>
        </row>
        <row r="1829">
          <cell r="H1829" t="str">
            <v>30+45</v>
          </cell>
          <cell r="I1829" t="str">
            <v>支合</v>
          </cell>
          <cell r="J1829" t="str">
            <v>牽牛星</v>
          </cell>
          <cell r="K1829" t="str">
            <v>天極星</v>
          </cell>
        </row>
        <row r="1830">
          <cell r="H1830" t="str">
            <v>30+46</v>
          </cell>
          <cell r="I1830" t="str">
            <v>半会</v>
          </cell>
          <cell r="J1830" t="str">
            <v>車騎星</v>
          </cell>
          <cell r="K1830" t="str">
            <v>天胡星</v>
          </cell>
        </row>
        <row r="1831">
          <cell r="H1831" t="str">
            <v>30+47</v>
          </cell>
          <cell r="I1831" t="str">
            <v>－</v>
          </cell>
          <cell r="J1831" t="str">
            <v>玉堂星</v>
          </cell>
          <cell r="K1831" t="str">
            <v>天堂星</v>
          </cell>
        </row>
        <row r="1832">
          <cell r="H1832" t="str">
            <v>30+48</v>
          </cell>
          <cell r="I1832" t="str">
            <v>対冲</v>
          </cell>
          <cell r="J1832" t="str">
            <v>龍高星</v>
          </cell>
          <cell r="K1832" t="str">
            <v>天将星</v>
          </cell>
        </row>
        <row r="1833">
          <cell r="H1833" t="str">
            <v>30+49</v>
          </cell>
          <cell r="I1833" t="str">
            <v>－</v>
          </cell>
          <cell r="J1833" t="str">
            <v>石門星</v>
          </cell>
          <cell r="K1833" t="str">
            <v>天禄星</v>
          </cell>
        </row>
        <row r="1834">
          <cell r="H1834" t="str">
            <v>30+50</v>
          </cell>
          <cell r="I1834" t="str">
            <v>大半会</v>
          </cell>
          <cell r="J1834" t="str">
            <v>貫索星</v>
          </cell>
          <cell r="K1834" t="str">
            <v>天南星</v>
          </cell>
        </row>
        <row r="1835">
          <cell r="H1835" t="str">
            <v>30+51</v>
          </cell>
          <cell r="I1835" t="str">
            <v>害</v>
          </cell>
          <cell r="J1835" t="str">
            <v>調舒星</v>
          </cell>
          <cell r="K1835" t="str">
            <v>天恍星</v>
          </cell>
        </row>
        <row r="1836">
          <cell r="H1836" t="str">
            <v>30+52</v>
          </cell>
          <cell r="I1836" t="str">
            <v>－</v>
          </cell>
          <cell r="J1836" t="str">
            <v>鳳閣星</v>
          </cell>
          <cell r="K1836" t="str">
            <v>天貴星</v>
          </cell>
        </row>
        <row r="1837">
          <cell r="H1837" t="str">
            <v>30+53</v>
          </cell>
          <cell r="I1837" t="str">
            <v>－</v>
          </cell>
          <cell r="J1837" t="str">
            <v>司禄星</v>
          </cell>
          <cell r="K1837" t="str">
            <v>天印星</v>
          </cell>
        </row>
        <row r="1838">
          <cell r="H1838" t="str">
            <v>30+54</v>
          </cell>
          <cell r="I1838" t="str">
            <v>同</v>
          </cell>
          <cell r="J1838" t="str">
            <v>禄存星</v>
          </cell>
          <cell r="K1838" t="str">
            <v>天報星</v>
          </cell>
        </row>
        <row r="1839">
          <cell r="H1839" t="str">
            <v>30+55</v>
          </cell>
          <cell r="I1839" t="str">
            <v>準方位</v>
          </cell>
          <cell r="J1839" t="str">
            <v>牽牛星</v>
          </cell>
          <cell r="K1839" t="str">
            <v>天馳星</v>
          </cell>
        </row>
        <row r="1840">
          <cell r="H1840" t="str">
            <v>30+56</v>
          </cell>
          <cell r="I1840" t="str">
            <v>準方位</v>
          </cell>
          <cell r="J1840" t="str">
            <v>車騎星</v>
          </cell>
          <cell r="K1840" t="str">
            <v>天庫星</v>
          </cell>
        </row>
        <row r="1841">
          <cell r="H1841" t="str">
            <v>30+57</v>
          </cell>
          <cell r="I1841" t="str">
            <v>支合</v>
          </cell>
          <cell r="J1841" t="str">
            <v>玉堂星</v>
          </cell>
          <cell r="K1841" t="str">
            <v>天極星</v>
          </cell>
        </row>
        <row r="1842">
          <cell r="H1842" t="str">
            <v>30+58</v>
          </cell>
          <cell r="I1842" t="str">
            <v>半会</v>
          </cell>
          <cell r="J1842" t="str">
            <v>龍高星</v>
          </cell>
          <cell r="K1842" t="str">
            <v>天胡星</v>
          </cell>
        </row>
        <row r="1843">
          <cell r="H1843" t="str">
            <v>30+59</v>
          </cell>
          <cell r="I1843" t="str">
            <v>－</v>
          </cell>
          <cell r="J1843" t="str">
            <v>石門星</v>
          </cell>
          <cell r="K1843" t="str">
            <v>天堂星</v>
          </cell>
        </row>
        <row r="1844">
          <cell r="H1844" t="str">
            <v>30+60</v>
          </cell>
          <cell r="I1844" t="str">
            <v>納音</v>
          </cell>
          <cell r="J1844" t="str">
            <v>貫索星</v>
          </cell>
          <cell r="K1844" t="str">
            <v>天将星</v>
          </cell>
        </row>
        <row r="1845">
          <cell r="H1845" t="str">
            <v>31+1</v>
          </cell>
          <cell r="I1845" t="str">
            <v>納音</v>
          </cell>
          <cell r="J1845" t="str">
            <v>貫索星</v>
          </cell>
          <cell r="K1845" t="str">
            <v>天恍星</v>
          </cell>
        </row>
        <row r="1846">
          <cell r="H1846" t="str">
            <v>31+2</v>
          </cell>
          <cell r="I1846" t="str">
            <v>害</v>
          </cell>
          <cell r="J1846" t="str">
            <v>石門星</v>
          </cell>
          <cell r="K1846" t="str">
            <v>天南星</v>
          </cell>
        </row>
        <row r="1847">
          <cell r="H1847" t="str">
            <v>31+3</v>
          </cell>
          <cell r="I1847" t="str">
            <v>半会</v>
          </cell>
          <cell r="J1847" t="str">
            <v>鳳閣星</v>
          </cell>
          <cell r="K1847" t="str">
            <v>天禄星</v>
          </cell>
        </row>
        <row r="1848">
          <cell r="H1848" t="str">
            <v>31+4</v>
          </cell>
          <cell r="I1848" t="str">
            <v>破</v>
          </cell>
          <cell r="J1848" t="str">
            <v>調舒星</v>
          </cell>
          <cell r="K1848" t="str">
            <v>天将星</v>
          </cell>
        </row>
        <row r="1849">
          <cell r="H1849" t="str">
            <v>31+5</v>
          </cell>
          <cell r="I1849" t="str">
            <v>－</v>
          </cell>
          <cell r="J1849" t="str">
            <v>禄存星</v>
          </cell>
          <cell r="K1849" t="str">
            <v>天堂星</v>
          </cell>
        </row>
        <row r="1850">
          <cell r="H1850" t="str">
            <v>31+6</v>
          </cell>
          <cell r="I1850" t="str">
            <v>準方位</v>
          </cell>
          <cell r="J1850" t="str">
            <v>司禄星</v>
          </cell>
          <cell r="K1850" t="str">
            <v>天胡星</v>
          </cell>
        </row>
        <row r="1851">
          <cell r="H1851" t="str">
            <v>31+7</v>
          </cell>
          <cell r="I1851" t="str">
            <v>自刑</v>
          </cell>
          <cell r="J1851" t="str">
            <v>車騎星</v>
          </cell>
          <cell r="K1851" t="str">
            <v>天極星</v>
          </cell>
        </row>
        <row r="1852">
          <cell r="H1852" t="str">
            <v>31+8</v>
          </cell>
          <cell r="I1852" t="str">
            <v>支合</v>
          </cell>
          <cell r="J1852" t="str">
            <v>牽牛星</v>
          </cell>
          <cell r="K1852" t="str">
            <v>天庫星</v>
          </cell>
        </row>
        <row r="1853">
          <cell r="H1853" t="str">
            <v>31+9</v>
          </cell>
          <cell r="I1853" t="str">
            <v>－</v>
          </cell>
          <cell r="J1853" t="str">
            <v>龍高星</v>
          </cell>
          <cell r="K1853" t="str">
            <v>天馳星</v>
          </cell>
        </row>
        <row r="1854">
          <cell r="H1854" t="str">
            <v>31+10</v>
          </cell>
          <cell r="I1854" t="str">
            <v>－</v>
          </cell>
          <cell r="J1854" t="str">
            <v>玉堂星</v>
          </cell>
          <cell r="K1854" t="str">
            <v>天報星</v>
          </cell>
        </row>
        <row r="1855">
          <cell r="H1855" t="str">
            <v>31+11</v>
          </cell>
          <cell r="I1855" t="str">
            <v>大半会</v>
          </cell>
          <cell r="J1855" t="str">
            <v>貫索星</v>
          </cell>
          <cell r="K1855" t="str">
            <v>天印星</v>
          </cell>
        </row>
        <row r="1856">
          <cell r="H1856" t="str">
            <v>31+12</v>
          </cell>
          <cell r="I1856" t="str">
            <v>－</v>
          </cell>
          <cell r="J1856" t="str">
            <v>石門星</v>
          </cell>
          <cell r="K1856" t="str">
            <v>天貴星</v>
          </cell>
        </row>
        <row r="1857">
          <cell r="H1857" t="str">
            <v>31+13</v>
          </cell>
          <cell r="I1857" t="str">
            <v>対冲</v>
          </cell>
          <cell r="J1857" t="str">
            <v>鳳閣星</v>
          </cell>
          <cell r="K1857" t="str">
            <v>天恍星</v>
          </cell>
        </row>
        <row r="1858">
          <cell r="H1858" t="str">
            <v>31+14</v>
          </cell>
          <cell r="I1858" t="str">
            <v>害</v>
          </cell>
          <cell r="J1858" t="str">
            <v>調舒星</v>
          </cell>
          <cell r="K1858" t="str">
            <v>天南星</v>
          </cell>
        </row>
        <row r="1859">
          <cell r="H1859" t="str">
            <v>31+15</v>
          </cell>
          <cell r="I1859" t="str">
            <v>半会</v>
          </cell>
          <cell r="J1859" t="str">
            <v>禄存星</v>
          </cell>
          <cell r="K1859" t="str">
            <v>天禄星</v>
          </cell>
        </row>
        <row r="1860">
          <cell r="H1860" t="str">
            <v>31+16</v>
          </cell>
          <cell r="I1860" t="str">
            <v>破</v>
          </cell>
          <cell r="J1860" t="str">
            <v>司禄星</v>
          </cell>
          <cell r="K1860" t="str">
            <v>天将星</v>
          </cell>
        </row>
        <row r="1861">
          <cell r="H1861" t="str">
            <v>31+17</v>
          </cell>
          <cell r="I1861" t="str">
            <v>－</v>
          </cell>
          <cell r="J1861" t="str">
            <v>車騎星</v>
          </cell>
          <cell r="K1861" t="str">
            <v>天堂星</v>
          </cell>
        </row>
        <row r="1862">
          <cell r="H1862" t="str">
            <v>31+18</v>
          </cell>
          <cell r="I1862" t="str">
            <v>準方位</v>
          </cell>
          <cell r="J1862" t="str">
            <v>牽牛星</v>
          </cell>
          <cell r="K1862" t="str">
            <v>天胡星</v>
          </cell>
        </row>
        <row r="1863">
          <cell r="H1863" t="str">
            <v>31+19</v>
          </cell>
          <cell r="I1863" t="str">
            <v>自刑</v>
          </cell>
          <cell r="J1863" t="str">
            <v>龍高星</v>
          </cell>
          <cell r="K1863" t="str">
            <v>天極星</v>
          </cell>
        </row>
        <row r="1864">
          <cell r="H1864" t="str">
            <v>31+20</v>
          </cell>
          <cell r="I1864" t="str">
            <v>支合</v>
          </cell>
          <cell r="J1864" t="str">
            <v>玉堂星</v>
          </cell>
          <cell r="K1864" t="str">
            <v>天庫星</v>
          </cell>
        </row>
        <row r="1865">
          <cell r="H1865" t="str">
            <v>31+21</v>
          </cell>
          <cell r="I1865" t="str">
            <v>－</v>
          </cell>
          <cell r="J1865" t="str">
            <v>貫索星</v>
          </cell>
          <cell r="K1865" t="str">
            <v>天馳星</v>
          </cell>
        </row>
        <row r="1866">
          <cell r="H1866" t="str">
            <v>31+22</v>
          </cell>
          <cell r="I1866" t="str">
            <v>－</v>
          </cell>
          <cell r="J1866" t="str">
            <v>石門星</v>
          </cell>
          <cell r="K1866" t="str">
            <v>天報星</v>
          </cell>
        </row>
        <row r="1867">
          <cell r="H1867" t="str">
            <v>31+23</v>
          </cell>
          <cell r="I1867" t="str">
            <v>半会</v>
          </cell>
          <cell r="J1867" t="str">
            <v>鳳閣星</v>
          </cell>
          <cell r="K1867" t="str">
            <v>天印星</v>
          </cell>
        </row>
        <row r="1868">
          <cell r="H1868" t="str">
            <v>31+24</v>
          </cell>
          <cell r="I1868" t="str">
            <v>－</v>
          </cell>
          <cell r="J1868" t="str">
            <v>調舒星</v>
          </cell>
          <cell r="K1868" t="str">
            <v>天貴星</v>
          </cell>
        </row>
        <row r="1869">
          <cell r="H1869" t="str">
            <v>31+25</v>
          </cell>
          <cell r="I1869" t="str">
            <v>天剋地冲</v>
          </cell>
          <cell r="J1869" t="str">
            <v>禄存星</v>
          </cell>
          <cell r="K1869" t="str">
            <v>天恍星</v>
          </cell>
        </row>
        <row r="1870">
          <cell r="H1870" t="str">
            <v>31+26</v>
          </cell>
          <cell r="I1870" t="str">
            <v>害</v>
          </cell>
          <cell r="J1870" t="str">
            <v>司禄星</v>
          </cell>
          <cell r="K1870" t="str">
            <v>天南星</v>
          </cell>
        </row>
        <row r="1871">
          <cell r="H1871" t="str">
            <v>31+27</v>
          </cell>
          <cell r="I1871" t="str">
            <v>半会</v>
          </cell>
          <cell r="J1871" t="str">
            <v>車騎星</v>
          </cell>
          <cell r="K1871" t="str">
            <v>天禄星</v>
          </cell>
        </row>
        <row r="1872">
          <cell r="H1872" t="str">
            <v>31+28</v>
          </cell>
          <cell r="I1872" t="str">
            <v>破</v>
          </cell>
          <cell r="J1872" t="str">
            <v>牽牛星</v>
          </cell>
          <cell r="K1872" t="str">
            <v>天将星</v>
          </cell>
        </row>
        <row r="1873">
          <cell r="H1873" t="str">
            <v>31+29</v>
          </cell>
          <cell r="I1873" t="str">
            <v>－</v>
          </cell>
          <cell r="J1873" t="str">
            <v>龍高星</v>
          </cell>
          <cell r="K1873" t="str">
            <v>天堂星</v>
          </cell>
        </row>
        <row r="1874">
          <cell r="H1874" t="str">
            <v>31+30</v>
          </cell>
          <cell r="I1874" t="str">
            <v>準方位</v>
          </cell>
          <cell r="J1874" t="str">
            <v>玉堂星</v>
          </cell>
          <cell r="K1874" t="str">
            <v>天胡星</v>
          </cell>
        </row>
        <row r="1875">
          <cell r="H1875" t="str">
            <v>31+31</v>
          </cell>
          <cell r="I1875" t="str">
            <v>律音</v>
          </cell>
          <cell r="J1875" t="str">
            <v>貫索星</v>
          </cell>
          <cell r="K1875" t="str">
            <v>天極星</v>
          </cell>
        </row>
        <row r="1876">
          <cell r="H1876" t="str">
            <v>31+32</v>
          </cell>
          <cell r="I1876" t="str">
            <v>支合</v>
          </cell>
          <cell r="J1876" t="str">
            <v>石門星</v>
          </cell>
          <cell r="K1876" t="str">
            <v>天庫星</v>
          </cell>
        </row>
        <row r="1877">
          <cell r="H1877" t="str">
            <v>31+33</v>
          </cell>
          <cell r="I1877" t="str">
            <v>－</v>
          </cell>
          <cell r="J1877" t="str">
            <v>鳳閣星</v>
          </cell>
          <cell r="K1877" t="str">
            <v>天馳星</v>
          </cell>
        </row>
        <row r="1878">
          <cell r="H1878" t="str">
            <v>31+34</v>
          </cell>
          <cell r="I1878" t="str">
            <v>－</v>
          </cell>
          <cell r="J1878" t="str">
            <v>調舒星</v>
          </cell>
          <cell r="K1878" t="str">
            <v>天報星</v>
          </cell>
        </row>
        <row r="1879">
          <cell r="H1879" t="str">
            <v>31+35</v>
          </cell>
          <cell r="I1879" t="str">
            <v>半会</v>
          </cell>
          <cell r="J1879" t="str">
            <v>禄存星</v>
          </cell>
          <cell r="K1879" t="str">
            <v>天印星</v>
          </cell>
        </row>
        <row r="1880">
          <cell r="H1880" t="str">
            <v>31+36</v>
          </cell>
          <cell r="I1880" t="str">
            <v>－</v>
          </cell>
          <cell r="J1880" t="str">
            <v>司禄星</v>
          </cell>
          <cell r="K1880" t="str">
            <v>天貴星</v>
          </cell>
        </row>
        <row r="1881">
          <cell r="H1881" t="str">
            <v>31+37</v>
          </cell>
          <cell r="I1881" t="str">
            <v>天剋地冲</v>
          </cell>
          <cell r="J1881" t="str">
            <v>車騎星</v>
          </cell>
          <cell r="K1881" t="str">
            <v>天恍星</v>
          </cell>
        </row>
        <row r="1882">
          <cell r="H1882" t="str">
            <v>31+38</v>
          </cell>
          <cell r="I1882" t="str">
            <v>害</v>
          </cell>
          <cell r="J1882" t="str">
            <v>牽牛星</v>
          </cell>
          <cell r="K1882" t="str">
            <v>天南星</v>
          </cell>
        </row>
        <row r="1883">
          <cell r="H1883" t="str">
            <v>31+39</v>
          </cell>
          <cell r="I1883" t="str">
            <v>半会</v>
          </cell>
          <cell r="J1883" t="str">
            <v>龍高星</v>
          </cell>
          <cell r="K1883" t="str">
            <v>天禄星</v>
          </cell>
        </row>
        <row r="1884">
          <cell r="H1884" t="str">
            <v>31+40</v>
          </cell>
          <cell r="I1884" t="str">
            <v>破</v>
          </cell>
          <cell r="J1884" t="str">
            <v>玉堂星</v>
          </cell>
          <cell r="K1884" t="str">
            <v>天将星</v>
          </cell>
        </row>
        <row r="1885">
          <cell r="H1885" t="str">
            <v>31+41</v>
          </cell>
          <cell r="I1885" t="str">
            <v>－</v>
          </cell>
          <cell r="J1885" t="str">
            <v>貫索星</v>
          </cell>
          <cell r="K1885" t="str">
            <v>天堂星</v>
          </cell>
        </row>
        <row r="1886">
          <cell r="H1886" t="str">
            <v>31+42</v>
          </cell>
          <cell r="I1886" t="str">
            <v>準方位</v>
          </cell>
          <cell r="J1886" t="str">
            <v>石門星</v>
          </cell>
          <cell r="K1886" t="str">
            <v>天胡星</v>
          </cell>
        </row>
        <row r="1887">
          <cell r="H1887" t="str">
            <v>31+43</v>
          </cell>
          <cell r="I1887" t="str">
            <v>自刑</v>
          </cell>
          <cell r="J1887" t="str">
            <v>鳳閣星</v>
          </cell>
          <cell r="K1887" t="str">
            <v>天極星</v>
          </cell>
        </row>
        <row r="1888">
          <cell r="H1888" t="str">
            <v>31+44</v>
          </cell>
          <cell r="I1888" t="str">
            <v>支合</v>
          </cell>
          <cell r="J1888" t="str">
            <v>調舒星</v>
          </cell>
          <cell r="K1888" t="str">
            <v>天庫星</v>
          </cell>
        </row>
        <row r="1889">
          <cell r="H1889" t="str">
            <v>31+45</v>
          </cell>
          <cell r="I1889" t="str">
            <v>－</v>
          </cell>
          <cell r="J1889" t="str">
            <v>禄存星</v>
          </cell>
          <cell r="K1889" t="str">
            <v>天馳星</v>
          </cell>
        </row>
        <row r="1890">
          <cell r="H1890" t="str">
            <v>31+46</v>
          </cell>
          <cell r="I1890" t="str">
            <v>－</v>
          </cell>
          <cell r="J1890" t="str">
            <v>司禄星</v>
          </cell>
          <cell r="K1890" t="str">
            <v>天報星</v>
          </cell>
        </row>
        <row r="1891">
          <cell r="H1891" t="str">
            <v>31+47</v>
          </cell>
          <cell r="I1891" t="str">
            <v>半会</v>
          </cell>
          <cell r="J1891" t="str">
            <v>車騎星</v>
          </cell>
          <cell r="K1891" t="str">
            <v>天印星</v>
          </cell>
        </row>
        <row r="1892">
          <cell r="H1892" t="str">
            <v>31+48</v>
          </cell>
          <cell r="I1892" t="str">
            <v>－</v>
          </cell>
          <cell r="J1892" t="str">
            <v>牽牛星</v>
          </cell>
          <cell r="K1892" t="str">
            <v>天貴星</v>
          </cell>
        </row>
        <row r="1893">
          <cell r="H1893" t="str">
            <v>31+49</v>
          </cell>
          <cell r="I1893" t="str">
            <v>対冲</v>
          </cell>
          <cell r="J1893" t="str">
            <v>龍高星</v>
          </cell>
          <cell r="K1893" t="str">
            <v>天恍星</v>
          </cell>
        </row>
        <row r="1894">
          <cell r="H1894" t="str">
            <v>31+50</v>
          </cell>
          <cell r="I1894" t="str">
            <v>害</v>
          </cell>
          <cell r="J1894" t="str">
            <v>玉堂星</v>
          </cell>
          <cell r="K1894" t="str">
            <v>天南星</v>
          </cell>
        </row>
        <row r="1895">
          <cell r="H1895" t="str">
            <v>31+51</v>
          </cell>
          <cell r="I1895" t="str">
            <v>大半会</v>
          </cell>
          <cell r="J1895" t="str">
            <v>貫索星</v>
          </cell>
          <cell r="K1895" t="str">
            <v>天禄星</v>
          </cell>
        </row>
        <row r="1896">
          <cell r="H1896" t="str">
            <v>31+52</v>
          </cell>
          <cell r="I1896" t="str">
            <v>破</v>
          </cell>
          <cell r="J1896" t="str">
            <v>石門星</v>
          </cell>
          <cell r="K1896" t="str">
            <v>天将星</v>
          </cell>
        </row>
        <row r="1897">
          <cell r="H1897" t="str">
            <v>31+53</v>
          </cell>
          <cell r="I1897" t="str">
            <v>－</v>
          </cell>
          <cell r="J1897" t="str">
            <v>鳳閣星</v>
          </cell>
          <cell r="K1897" t="str">
            <v>天堂星</v>
          </cell>
        </row>
        <row r="1898">
          <cell r="H1898" t="str">
            <v>31+54</v>
          </cell>
          <cell r="I1898" t="str">
            <v>準方位</v>
          </cell>
          <cell r="J1898" t="str">
            <v>調舒星</v>
          </cell>
          <cell r="K1898" t="str">
            <v>天胡星</v>
          </cell>
        </row>
        <row r="1899">
          <cell r="H1899" t="str">
            <v>31+55</v>
          </cell>
          <cell r="I1899" t="str">
            <v>自刑</v>
          </cell>
          <cell r="J1899" t="str">
            <v>禄存星</v>
          </cell>
          <cell r="K1899" t="str">
            <v>天極星</v>
          </cell>
        </row>
        <row r="1900">
          <cell r="H1900" t="str">
            <v>31+56</v>
          </cell>
          <cell r="I1900" t="str">
            <v>支合</v>
          </cell>
          <cell r="J1900" t="str">
            <v>司禄星</v>
          </cell>
          <cell r="K1900" t="str">
            <v>天庫星</v>
          </cell>
        </row>
        <row r="1901">
          <cell r="H1901" t="str">
            <v>31+57</v>
          </cell>
          <cell r="I1901" t="str">
            <v>－</v>
          </cell>
          <cell r="J1901" t="str">
            <v>車騎星</v>
          </cell>
          <cell r="K1901" t="str">
            <v>天馳星</v>
          </cell>
        </row>
        <row r="1902">
          <cell r="H1902" t="str">
            <v>31+58</v>
          </cell>
          <cell r="I1902" t="str">
            <v>－</v>
          </cell>
          <cell r="J1902" t="str">
            <v>牽牛星</v>
          </cell>
          <cell r="K1902" t="str">
            <v>天報星</v>
          </cell>
        </row>
        <row r="1903">
          <cell r="H1903" t="str">
            <v>31+59</v>
          </cell>
          <cell r="I1903" t="str">
            <v>半会</v>
          </cell>
          <cell r="J1903" t="str">
            <v>龍高星</v>
          </cell>
          <cell r="K1903" t="str">
            <v>天印星</v>
          </cell>
        </row>
        <row r="1904">
          <cell r="H1904" t="str">
            <v>31+60</v>
          </cell>
          <cell r="I1904" t="str">
            <v>－</v>
          </cell>
          <cell r="J1904" t="str">
            <v>玉堂星</v>
          </cell>
          <cell r="K1904" t="str">
            <v>天貴星</v>
          </cell>
        </row>
        <row r="1905">
          <cell r="H1905" t="str">
            <v>32+1</v>
          </cell>
          <cell r="I1905" t="str">
            <v>害</v>
          </cell>
          <cell r="J1905" t="str">
            <v>石門星</v>
          </cell>
          <cell r="K1905" t="str">
            <v>天胡星</v>
          </cell>
        </row>
        <row r="1906">
          <cell r="H1906" t="str">
            <v>32+2</v>
          </cell>
          <cell r="I1906" t="str">
            <v>納音</v>
          </cell>
          <cell r="J1906" t="str">
            <v>貫索星</v>
          </cell>
          <cell r="K1906" t="str">
            <v>天堂星</v>
          </cell>
        </row>
        <row r="1907">
          <cell r="H1907" t="str">
            <v>32+3</v>
          </cell>
          <cell r="I1907" t="str">
            <v>－</v>
          </cell>
          <cell r="J1907" t="str">
            <v>調舒星</v>
          </cell>
          <cell r="K1907" t="str">
            <v>天将星</v>
          </cell>
        </row>
        <row r="1908">
          <cell r="H1908" t="str">
            <v>32+4</v>
          </cell>
          <cell r="I1908" t="str">
            <v>半会</v>
          </cell>
          <cell r="J1908" t="str">
            <v>鳳閣星</v>
          </cell>
          <cell r="K1908" t="str">
            <v>天禄星</v>
          </cell>
        </row>
        <row r="1909">
          <cell r="H1909" t="str">
            <v>32+5</v>
          </cell>
          <cell r="I1909" t="str">
            <v>－</v>
          </cell>
          <cell r="J1909" t="str">
            <v>司禄星</v>
          </cell>
          <cell r="K1909" t="str">
            <v>天南星</v>
          </cell>
        </row>
        <row r="1910">
          <cell r="H1910" t="str">
            <v>32+6</v>
          </cell>
          <cell r="I1910" t="str">
            <v>準方位</v>
          </cell>
          <cell r="J1910" t="str">
            <v>禄存星</v>
          </cell>
          <cell r="K1910" t="str">
            <v>天恍星</v>
          </cell>
        </row>
        <row r="1911">
          <cell r="H1911" t="str">
            <v>32+7</v>
          </cell>
          <cell r="I1911" t="str">
            <v>支合</v>
          </cell>
          <cell r="J1911" t="str">
            <v>牽牛星</v>
          </cell>
          <cell r="K1911" t="str">
            <v>天貴星</v>
          </cell>
        </row>
        <row r="1912">
          <cell r="H1912" t="str">
            <v>32+8</v>
          </cell>
          <cell r="I1912" t="str">
            <v>同</v>
          </cell>
          <cell r="J1912" t="str">
            <v>車騎星</v>
          </cell>
          <cell r="K1912" t="str">
            <v>天印星</v>
          </cell>
        </row>
        <row r="1913">
          <cell r="H1913" t="str">
            <v>32+9</v>
          </cell>
          <cell r="I1913" t="str">
            <v>－</v>
          </cell>
          <cell r="J1913" t="str">
            <v>玉堂星</v>
          </cell>
          <cell r="K1913" t="str">
            <v>天報星</v>
          </cell>
        </row>
        <row r="1914">
          <cell r="H1914" t="str">
            <v>32+10</v>
          </cell>
          <cell r="I1914" t="str">
            <v>－</v>
          </cell>
          <cell r="J1914" t="str">
            <v>龍高星</v>
          </cell>
          <cell r="K1914" t="str">
            <v>天馳星</v>
          </cell>
        </row>
        <row r="1915">
          <cell r="H1915" t="str">
            <v>32+11</v>
          </cell>
          <cell r="I1915" t="str">
            <v>刑</v>
          </cell>
          <cell r="J1915" t="str">
            <v>石門星</v>
          </cell>
          <cell r="K1915" t="str">
            <v>天庫星</v>
          </cell>
        </row>
        <row r="1916">
          <cell r="H1916" t="str">
            <v>32+12</v>
          </cell>
          <cell r="I1916" t="str">
            <v>大半会</v>
          </cell>
          <cell r="J1916" t="str">
            <v>貫索星</v>
          </cell>
          <cell r="K1916" t="str">
            <v>天極星</v>
          </cell>
        </row>
        <row r="1917">
          <cell r="H1917" t="str">
            <v>32+13</v>
          </cell>
          <cell r="I1917" t="str">
            <v>害</v>
          </cell>
          <cell r="J1917" t="str">
            <v>調舒星</v>
          </cell>
          <cell r="K1917" t="str">
            <v>天胡星</v>
          </cell>
        </row>
        <row r="1918">
          <cell r="H1918" t="str">
            <v>32+14</v>
          </cell>
          <cell r="I1918" t="str">
            <v>対冲</v>
          </cell>
          <cell r="J1918" t="str">
            <v>鳳閣星</v>
          </cell>
          <cell r="K1918" t="str">
            <v>天堂星</v>
          </cell>
        </row>
        <row r="1919">
          <cell r="H1919" t="str">
            <v>32+15</v>
          </cell>
          <cell r="I1919" t="str">
            <v>－</v>
          </cell>
          <cell r="J1919" t="str">
            <v>司禄星</v>
          </cell>
          <cell r="K1919" t="str">
            <v>天将星</v>
          </cell>
        </row>
        <row r="1920">
          <cell r="H1920" t="str">
            <v>32+16</v>
          </cell>
          <cell r="I1920" t="str">
            <v>半会</v>
          </cell>
          <cell r="J1920" t="str">
            <v>禄存星</v>
          </cell>
          <cell r="K1920" t="str">
            <v>天禄星</v>
          </cell>
        </row>
        <row r="1921">
          <cell r="H1921" t="str">
            <v>32+17</v>
          </cell>
          <cell r="I1921" t="str">
            <v>－</v>
          </cell>
          <cell r="J1921" t="str">
            <v>牽牛星</v>
          </cell>
          <cell r="K1921" t="str">
            <v>天南星</v>
          </cell>
        </row>
        <row r="1922">
          <cell r="H1922" t="str">
            <v>32+18</v>
          </cell>
          <cell r="I1922" t="str">
            <v>準方位</v>
          </cell>
          <cell r="J1922" t="str">
            <v>車騎星</v>
          </cell>
          <cell r="K1922" t="str">
            <v>天恍星</v>
          </cell>
        </row>
        <row r="1923">
          <cell r="H1923" t="str">
            <v>32+19</v>
          </cell>
          <cell r="I1923" t="str">
            <v>支合</v>
          </cell>
          <cell r="J1923" t="str">
            <v>玉堂星</v>
          </cell>
          <cell r="K1923" t="str">
            <v>天貴星</v>
          </cell>
        </row>
        <row r="1924">
          <cell r="H1924" t="str">
            <v>32+20</v>
          </cell>
          <cell r="I1924" t="str">
            <v>同</v>
          </cell>
          <cell r="J1924" t="str">
            <v>龍高星</v>
          </cell>
          <cell r="K1924" t="str">
            <v>天印星</v>
          </cell>
        </row>
        <row r="1925">
          <cell r="H1925" t="str">
            <v>32+21</v>
          </cell>
          <cell r="I1925" t="str">
            <v>－</v>
          </cell>
          <cell r="J1925" t="str">
            <v>石門星</v>
          </cell>
          <cell r="K1925" t="str">
            <v>天報星</v>
          </cell>
        </row>
        <row r="1926">
          <cell r="H1926" t="str">
            <v>32+22</v>
          </cell>
          <cell r="I1926" t="str">
            <v>－</v>
          </cell>
          <cell r="J1926" t="str">
            <v>貫索星</v>
          </cell>
          <cell r="K1926" t="str">
            <v>天馳星</v>
          </cell>
        </row>
        <row r="1927">
          <cell r="H1927" t="str">
            <v>32+23</v>
          </cell>
          <cell r="I1927" t="str">
            <v>刑</v>
          </cell>
          <cell r="J1927" t="str">
            <v>調舒星</v>
          </cell>
          <cell r="K1927" t="str">
            <v>天庫星</v>
          </cell>
        </row>
        <row r="1928">
          <cell r="H1928" t="str">
            <v>32+24</v>
          </cell>
          <cell r="I1928" t="str">
            <v>半会</v>
          </cell>
          <cell r="J1928" t="str">
            <v>鳳閣星</v>
          </cell>
          <cell r="K1928" t="str">
            <v>天極星</v>
          </cell>
        </row>
        <row r="1929">
          <cell r="H1929" t="str">
            <v>32+25</v>
          </cell>
          <cell r="I1929" t="str">
            <v>害</v>
          </cell>
          <cell r="J1929" t="str">
            <v>司禄星</v>
          </cell>
          <cell r="K1929" t="str">
            <v>天胡星</v>
          </cell>
        </row>
        <row r="1930">
          <cell r="H1930" t="str">
            <v>32+26</v>
          </cell>
          <cell r="I1930" t="str">
            <v>天剋地冲</v>
          </cell>
          <cell r="J1930" t="str">
            <v>禄存星</v>
          </cell>
          <cell r="K1930" t="str">
            <v>天堂星</v>
          </cell>
        </row>
        <row r="1931">
          <cell r="H1931" t="str">
            <v>32+27</v>
          </cell>
          <cell r="I1931" t="str">
            <v>－</v>
          </cell>
          <cell r="J1931" t="str">
            <v>牽牛星</v>
          </cell>
          <cell r="K1931" t="str">
            <v>天将星</v>
          </cell>
        </row>
        <row r="1932">
          <cell r="H1932" t="str">
            <v>32+28</v>
          </cell>
          <cell r="I1932" t="str">
            <v>半会</v>
          </cell>
          <cell r="J1932" t="str">
            <v>車騎星</v>
          </cell>
          <cell r="K1932" t="str">
            <v>天禄星</v>
          </cell>
        </row>
        <row r="1933">
          <cell r="H1933" t="str">
            <v>32+29</v>
          </cell>
          <cell r="I1933" t="str">
            <v>－</v>
          </cell>
          <cell r="J1933" t="str">
            <v>玉堂星</v>
          </cell>
          <cell r="K1933" t="str">
            <v>天南星</v>
          </cell>
        </row>
        <row r="1934">
          <cell r="H1934" t="str">
            <v>32+30</v>
          </cell>
          <cell r="I1934" t="str">
            <v>準方位</v>
          </cell>
          <cell r="J1934" t="str">
            <v>龍高星</v>
          </cell>
          <cell r="K1934" t="str">
            <v>天恍星</v>
          </cell>
        </row>
        <row r="1935">
          <cell r="H1935" t="str">
            <v>32+31</v>
          </cell>
          <cell r="I1935" t="str">
            <v>支合</v>
          </cell>
          <cell r="J1935" t="str">
            <v>石門星</v>
          </cell>
          <cell r="K1935" t="str">
            <v>天貴星</v>
          </cell>
        </row>
        <row r="1936">
          <cell r="H1936" t="str">
            <v>32+32</v>
          </cell>
          <cell r="I1936" t="str">
            <v>律音</v>
          </cell>
          <cell r="J1936" t="str">
            <v>貫索星</v>
          </cell>
          <cell r="K1936" t="str">
            <v>天印星</v>
          </cell>
        </row>
        <row r="1937">
          <cell r="H1937" t="str">
            <v>32+33</v>
          </cell>
          <cell r="I1937" t="str">
            <v>－</v>
          </cell>
          <cell r="J1937" t="str">
            <v>調舒星</v>
          </cell>
          <cell r="K1937" t="str">
            <v>天報星</v>
          </cell>
        </row>
        <row r="1938">
          <cell r="H1938" t="str">
            <v>32+34</v>
          </cell>
          <cell r="I1938" t="str">
            <v>－</v>
          </cell>
          <cell r="J1938" t="str">
            <v>鳳閣星</v>
          </cell>
          <cell r="K1938" t="str">
            <v>天馳星</v>
          </cell>
        </row>
        <row r="1939">
          <cell r="H1939" t="str">
            <v>32+35</v>
          </cell>
          <cell r="I1939" t="str">
            <v>刑</v>
          </cell>
          <cell r="J1939" t="str">
            <v>司禄星</v>
          </cell>
          <cell r="K1939" t="str">
            <v>天庫星</v>
          </cell>
        </row>
        <row r="1940">
          <cell r="H1940" t="str">
            <v>32+36</v>
          </cell>
          <cell r="I1940" t="str">
            <v>半会</v>
          </cell>
          <cell r="J1940" t="str">
            <v>禄存星</v>
          </cell>
          <cell r="K1940" t="str">
            <v>天極星</v>
          </cell>
        </row>
        <row r="1941">
          <cell r="H1941" t="str">
            <v>32+37</v>
          </cell>
          <cell r="I1941" t="str">
            <v>害</v>
          </cell>
          <cell r="J1941" t="str">
            <v>牽牛星</v>
          </cell>
          <cell r="K1941" t="str">
            <v>天胡星</v>
          </cell>
        </row>
        <row r="1942">
          <cell r="H1942" t="str">
            <v>32+38</v>
          </cell>
          <cell r="I1942" t="str">
            <v>天剋地冲</v>
          </cell>
          <cell r="J1942" t="str">
            <v>車騎星</v>
          </cell>
          <cell r="K1942" t="str">
            <v>天堂星</v>
          </cell>
        </row>
        <row r="1943">
          <cell r="H1943" t="str">
            <v>32+39</v>
          </cell>
          <cell r="I1943" t="str">
            <v>－</v>
          </cell>
          <cell r="J1943" t="str">
            <v>玉堂星</v>
          </cell>
          <cell r="K1943" t="str">
            <v>天将星</v>
          </cell>
        </row>
        <row r="1944">
          <cell r="H1944" t="str">
            <v>32+40</v>
          </cell>
          <cell r="I1944" t="str">
            <v>半会</v>
          </cell>
          <cell r="J1944" t="str">
            <v>龍高星</v>
          </cell>
          <cell r="K1944" t="str">
            <v>天禄星</v>
          </cell>
        </row>
        <row r="1945">
          <cell r="H1945" t="str">
            <v>32+41</v>
          </cell>
          <cell r="I1945" t="str">
            <v>－</v>
          </cell>
          <cell r="J1945" t="str">
            <v>石門星</v>
          </cell>
          <cell r="K1945" t="str">
            <v>天南星</v>
          </cell>
        </row>
        <row r="1946">
          <cell r="H1946" t="str">
            <v>32+42</v>
          </cell>
          <cell r="I1946" t="str">
            <v>準方位</v>
          </cell>
          <cell r="J1946" t="str">
            <v>貫索星</v>
          </cell>
          <cell r="K1946" t="str">
            <v>天恍星</v>
          </cell>
        </row>
        <row r="1947">
          <cell r="H1947" t="str">
            <v>32+43</v>
          </cell>
          <cell r="I1947" t="str">
            <v>支合</v>
          </cell>
          <cell r="J1947" t="str">
            <v>調舒星</v>
          </cell>
          <cell r="K1947" t="str">
            <v>天貴星</v>
          </cell>
        </row>
        <row r="1948">
          <cell r="H1948" t="str">
            <v>32+44</v>
          </cell>
          <cell r="I1948" t="str">
            <v>同</v>
          </cell>
          <cell r="J1948" t="str">
            <v>鳳閣星</v>
          </cell>
          <cell r="K1948" t="str">
            <v>天印星</v>
          </cell>
        </row>
        <row r="1949">
          <cell r="H1949" t="str">
            <v>32+45</v>
          </cell>
          <cell r="I1949" t="str">
            <v>－</v>
          </cell>
          <cell r="J1949" t="str">
            <v>司禄星</v>
          </cell>
          <cell r="K1949" t="str">
            <v>天報星</v>
          </cell>
        </row>
        <row r="1950">
          <cell r="H1950" t="str">
            <v>32+46</v>
          </cell>
          <cell r="I1950" t="str">
            <v>－</v>
          </cell>
          <cell r="J1950" t="str">
            <v>禄存星</v>
          </cell>
          <cell r="K1950" t="str">
            <v>天馳星</v>
          </cell>
        </row>
        <row r="1951">
          <cell r="H1951" t="str">
            <v>32+47</v>
          </cell>
          <cell r="I1951" t="str">
            <v>刑</v>
          </cell>
          <cell r="J1951" t="str">
            <v>牽牛星</v>
          </cell>
          <cell r="K1951" t="str">
            <v>天庫星</v>
          </cell>
        </row>
        <row r="1952">
          <cell r="H1952" t="str">
            <v>32+48</v>
          </cell>
          <cell r="I1952" t="str">
            <v>半会</v>
          </cell>
          <cell r="J1952" t="str">
            <v>車騎星</v>
          </cell>
          <cell r="K1952" t="str">
            <v>天極星</v>
          </cell>
        </row>
        <row r="1953">
          <cell r="H1953" t="str">
            <v>32+49</v>
          </cell>
          <cell r="I1953" t="str">
            <v>害</v>
          </cell>
          <cell r="J1953" t="str">
            <v>玉堂星</v>
          </cell>
          <cell r="K1953" t="str">
            <v>天胡星</v>
          </cell>
        </row>
        <row r="1954">
          <cell r="H1954" t="str">
            <v>32+50</v>
          </cell>
          <cell r="I1954" t="str">
            <v>対冲</v>
          </cell>
          <cell r="J1954" t="str">
            <v>龍高星</v>
          </cell>
          <cell r="K1954" t="str">
            <v>天堂星</v>
          </cell>
        </row>
        <row r="1955">
          <cell r="H1955" t="str">
            <v>32+51</v>
          </cell>
          <cell r="I1955" t="str">
            <v>－</v>
          </cell>
          <cell r="J1955" t="str">
            <v>石門星</v>
          </cell>
          <cell r="K1955" t="str">
            <v>天将星</v>
          </cell>
        </row>
        <row r="1956">
          <cell r="H1956" t="str">
            <v>32+52</v>
          </cell>
          <cell r="I1956" t="str">
            <v>大半会</v>
          </cell>
          <cell r="J1956" t="str">
            <v>貫索星</v>
          </cell>
          <cell r="K1956" t="str">
            <v>天禄星</v>
          </cell>
        </row>
        <row r="1957">
          <cell r="H1957" t="str">
            <v>32+53</v>
          </cell>
          <cell r="I1957" t="str">
            <v>－</v>
          </cell>
          <cell r="J1957" t="str">
            <v>調舒星</v>
          </cell>
          <cell r="K1957" t="str">
            <v>天南星</v>
          </cell>
        </row>
        <row r="1958">
          <cell r="H1958" t="str">
            <v>32+54</v>
          </cell>
          <cell r="I1958" t="str">
            <v>準方位</v>
          </cell>
          <cell r="J1958" t="str">
            <v>鳳閣星</v>
          </cell>
          <cell r="K1958" t="str">
            <v>天恍星</v>
          </cell>
        </row>
        <row r="1959">
          <cell r="H1959" t="str">
            <v>32+55</v>
          </cell>
          <cell r="I1959" t="str">
            <v>支合</v>
          </cell>
          <cell r="J1959" t="str">
            <v>司禄星</v>
          </cell>
          <cell r="K1959" t="str">
            <v>天貴星</v>
          </cell>
        </row>
        <row r="1960">
          <cell r="H1960" t="str">
            <v>32+56</v>
          </cell>
          <cell r="I1960" t="str">
            <v>同</v>
          </cell>
          <cell r="J1960" t="str">
            <v>禄存星</v>
          </cell>
          <cell r="K1960" t="str">
            <v>天印星</v>
          </cell>
        </row>
        <row r="1961">
          <cell r="H1961" t="str">
            <v>32+57</v>
          </cell>
          <cell r="I1961" t="str">
            <v>－</v>
          </cell>
          <cell r="J1961" t="str">
            <v>牽牛星</v>
          </cell>
          <cell r="K1961" t="str">
            <v>天報星</v>
          </cell>
        </row>
        <row r="1962">
          <cell r="H1962" t="str">
            <v>32+58</v>
          </cell>
          <cell r="I1962" t="str">
            <v>－</v>
          </cell>
          <cell r="J1962" t="str">
            <v>車騎星</v>
          </cell>
          <cell r="K1962" t="str">
            <v>天馳星</v>
          </cell>
        </row>
        <row r="1963">
          <cell r="H1963" t="str">
            <v>32+59</v>
          </cell>
          <cell r="I1963" t="str">
            <v>刑</v>
          </cell>
          <cell r="J1963" t="str">
            <v>玉堂星</v>
          </cell>
          <cell r="K1963" t="str">
            <v>天庫星</v>
          </cell>
        </row>
        <row r="1964">
          <cell r="H1964" t="str">
            <v>32+60</v>
          </cell>
          <cell r="I1964" t="str">
            <v>半会</v>
          </cell>
          <cell r="J1964" t="str">
            <v>龍高星</v>
          </cell>
          <cell r="K1964" t="str">
            <v>天極星</v>
          </cell>
        </row>
        <row r="1965">
          <cell r="H1965" t="str">
            <v>33+1</v>
          </cell>
          <cell r="I1965" t="str">
            <v>半会</v>
          </cell>
          <cell r="J1965" t="str">
            <v>龍高星</v>
          </cell>
          <cell r="K1965" t="str">
            <v>天報星</v>
          </cell>
        </row>
        <row r="1966">
          <cell r="H1966" t="str">
            <v>33+2</v>
          </cell>
          <cell r="I1966" t="str">
            <v>－</v>
          </cell>
          <cell r="J1966" t="str">
            <v>玉堂星</v>
          </cell>
          <cell r="K1966" t="str">
            <v>天印星</v>
          </cell>
        </row>
        <row r="1967">
          <cell r="H1967" t="str">
            <v>33+3</v>
          </cell>
          <cell r="I1967" t="str">
            <v>納音</v>
          </cell>
          <cell r="J1967" t="str">
            <v>貫索星</v>
          </cell>
          <cell r="K1967" t="str">
            <v>天貴星</v>
          </cell>
        </row>
        <row r="1968">
          <cell r="H1968" t="str">
            <v>33+4</v>
          </cell>
          <cell r="I1968" t="str">
            <v>－</v>
          </cell>
          <cell r="J1968" t="str">
            <v>石門星</v>
          </cell>
          <cell r="K1968" t="str">
            <v>天恍星</v>
          </cell>
        </row>
        <row r="1969">
          <cell r="H1969" t="str">
            <v>33+5</v>
          </cell>
          <cell r="I1969" t="str">
            <v>半会</v>
          </cell>
          <cell r="J1969" t="str">
            <v>鳳閣星</v>
          </cell>
          <cell r="K1969" t="str">
            <v>天南星</v>
          </cell>
        </row>
        <row r="1970">
          <cell r="H1970" t="str">
            <v>33+6</v>
          </cell>
          <cell r="I1970" t="str">
            <v>支合</v>
          </cell>
          <cell r="J1970" t="str">
            <v>調舒星</v>
          </cell>
          <cell r="K1970" t="str">
            <v>天禄星</v>
          </cell>
        </row>
        <row r="1971">
          <cell r="H1971" t="str">
            <v>33+7</v>
          </cell>
          <cell r="I1971" t="str">
            <v>－</v>
          </cell>
          <cell r="J1971" t="str">
            <v>禄存星</v>
          </cell>
          <cell r="K1971" t="str">
            <v>天将星</v>
          </cell>
        </row>
        <row r="1972">
          <cell r="H1972" t="str">
            <v>33+8</v>
          </cell>
          <cell r="I1972" t="str">
            <v>－</v>
          </cell>
          <cell r="J1972" t="str">
            <v>司禄星</v>
          </cell>
          <cell r="K1972" t="str">
            <v>天堂星</v>
          </cell>
        </row>
        <row r="1973">
          <cell r="H1973" t="str">
            <v>33+9</v>
          </cell>
          <cell r="I1973" t="str">
            <v>同</v>
          </cell>
          <cell r="J1973" t="str">
            <v>車騎星</v>
          </cell>
          <cell r="K1973" t="str">
            <v>天胡星</v>
          </cell>
        </row>
        <row r="1974">
          <cell r="H1974" t="str">
            <v>33+10</v>
          </cell>
          <cell r="I1974" t="str">
            <v>準方位</v>
          </cell>
          <cell r="J1974" t="str">
            <v>牽牛星</v>
          </cell>
          <cell r="K1974" t="str">
            <v>天極星</v>
          </cell>
        </row>
        <row r="1975">
          <cell r="H1975" t="str">
            <v>33+11</v>
          </cell>
          <cell r="I1975" t="str">
            <v>準方位</v>
          </cell>
          <cell r="J1975" t="str">
            <v>龍高星</v>
          </cell>
          <cell r="K1975" t="str">
            <v>天庫星</v>
          </cell>
        </row>
        <row r="1976">
          <cell r="H1976" t="str">
            <v>33+12</v>
          </cell>
          <cell r="I1976" t="str">
            <v>害</v>
          </cell>
          <cell r="J1976" t="str">
            <v>玉堂星</v>
          </cell>
          <cell r="K1976" t="str">
            <v>天馳星</v>
          </cell>
        </row>
        <row r="1977">
          <cell r="H1977" t="str">
            <v>33+13</v>
          </cell>
          <cell r="I1977" t="str">
            <v>大半会</v>
          </cell>
          <cell r="J1977" t="str">
            <v>貫索星</v>
          </cell>
          <cell r="K1977" t="str">
            <v>天報星</v>
          </cell>
        </row>
        <row r="1978">
          <cell r="H1978" t="str">
            <v>33+14</v>
          </cell>
          <cell r="I1978" t="str">
            <v>－</v>
          </cell>
          <cell r="J1978" t="str">
            <v>石門星</v>
          </cell>
          <cell r="K1978" t="str">
            <v>天印星</v>
          </cell>
        </row>
        <row r="1979">
          <cell r="H1979" t="str">
            <v>33+15</v>
          </cell>
          <cell r="I1979" t="str">
            <v>対冲</v>
          </cell>
          <cell r="J1979" t="str">
            <v>鳳閣星</v>
          </cell>
          <cell r="K1979" t="str">
            <v>天貴星</v>
          </cell>
        </row>
        <row r="1980">
          <cell r="H1980" t="str">
            <v>33+16</v>
          </cell>
          <cell r="I1980" t="str">
            <v>－</v>
          </cell>
          <cell r="J1980" t="str">
            <v>調舒星</v>
          </cell>
          <cell r="K1980" t="str">
            <v>天恍星</v>
          </cell>
        </row>
        <row r="1981">
          <cell r="H1981" t="str">
            <v>33+17</v>
          </cell>
          <cell r="I1981" t="str">
            <v>半会</v>
          </cell>
          <cell r="J1981" t="str">
            <v>禄存星</v>
          </cell>
          <cell r="K1981" t="str">
            <v>天南星</v>
          </cell>
        </row>
        <row r="1982">
          <cell r="H1982" t="str">
            <v>33+18</v>
          </cell>
          <cell r="I1982" t="str">
            <v>支合</v>
          </cell>
          <cell r="J1982" t="str">
            <v>司禄星</v>
          </cell>
          <cell r="K1982" t="str">
            <v>天禄星</v>
          </cell>
        </row>
        <row r="1983">
          <cell r="H1983" t="str">
            <v>33+19</v>
          </cell>
          <cell r="I1983" t="str">
            <v>－</v>
          </cell>
          <cell r="J1983" t="str">
            <v>車騎星</v>
          </cell>
          <cell r="K1983" t="str">
            <v>天将星</v>
          </cell>
        </row>
        <row r="1984">
          <cell r="H1984" t="str">
            <v>33+20</v>
          </cell>
          <cell r="I1984" t="str">
            <v>－</v>
          </cell>
          <cell r="J1984" t="str">
            <v>牽牛星</v>
          </cell>
          <cell r="K1984" t="str">
            <v>天堂星</v>
          </cell>
        </row>
        <row r="1985">
          <cell r="H1985" t="str">
            <v>33+21</v>
          </cell>
          <cell r="I1985" t="str">
            <v>同</v>
          </cell>
          <cell r="J1985" t="str">
            <v>龍高星</v>
          </cell>
          <cell r="K1985" t="str">
            <v>天胡星</v>
          </cell>
        </row>
        <row r="1986">
          <cell r="H1986" t="str">
            <v>33+22</v>
          </cell>
          <cell r="I1986" t="str">
            <v>準方位</v>
          </cell>
          <cell r="J1986" t="str">
            <v>玉堂星</v>
          </cell>
          <cell r="K1986" t="str">
            <v>天極星</v>
          </cell>
        </row>
        <row r="1987">
          <cell r="H1987" t="str">
            <v>33+23</v>
          </cell>
          <cell r="I1987" t="str">
            <v>準方位</v>
          </cell>
          <cell r="J1987" t="str">
            <v>貫索星</v>
          </cell>
          <cell r="K1987" t="str">
            <v>天庫星</v>
          </cell>
        </row>
        <row r="1988">
          <cell r="H1988" t="str">
            <v>33+24</v>
          </cell>
          <cell r="I1988" t="str">
            <v>害</v>
          </cell>
          <cell r="J1988" t="str">
            <v>石門星</v>
          </cell>
          <cell r="K1988" t="str">
            <v>天馳星</v>
          </cell>
        </row>
        <row r="1989">
          <cell r="H1989" t="str">
            <v>33+25</v>
          </cell>
          <cell r="I1989" t="str">
            <v>半会</v>
          </cell>
          <cell r="J1989" t="str">
            <v>鳳閣星</v>
          </cell>
          <cell r="K1989" t="str">
            <v>天報星</v>
          </cell>
        </row>
        <row r="1990">
          <cell r="H1990" t="str">
            <v>33+26</v>
          </cell>
          <cell r="I1990" t="str">
            <v>－</v>
          </cell>
          <cell r="J1990" t="str">
            <v>調舒星</v>
          </cell>
          <cell r="K1990" t="str">
            <v>天印星</v>
          </cell>
        </row>
        <row r="1991">
          <cell r="H1991" t="str">
            <v>33+27</v>
          </cell>
          <cell r="I1991" t="str">
            <v>天剋地冲</v>
          </cell>
          <cell r="J1991" t="str">
            <v>禄存星</v>
          </cell>
          <cell r="K1991" t="str">
            <v>天貴星</v>
          </cell>
        </row>
        <row r="1992">
          <cell r="H1992" t="str">
            <v>33+28</v>
          </cell>
          <cell r="I1992" t="str">
            <v>－</v>
          </cell>
          <cell r="J1992" t="str">
            <v>司禄星</v>
          </cell>
          <cell r="K1992" t="str">
            <v>天恍星</v>
          </cell>
        </row>
        <row r="1993">
          <cell r="H1993" t="str">
            <v>33+29</v>
          </cell>
          <cell r="I1993" t="str">
            <v>半会</v>
          </cell>
          <cell r="J1993" t="str">
            <v>車騎星</v>
          </cell>
          <cell r="K1993" t="str">
            <v>天南星</v>
          </cell>
        </row>
        <row r="1994">
          <cell r="H1994" t="str">
            <v>33+30</v>
          </cell>
          <cell r="I1994" t="str">
            <v>支合</v>
          </cell>
          <cell r="J1994" t="str">
            <v>牽牛星</v>
          </cell>
          <cell r="K1994" t="str">
            <v>天禄星</v>
          </cell>
        </row>
        <row r="1995">
          <cell r="H1995" t="str">
            <v>33+31</v>
          </cell>
          <cell r="I1995" t="str">
            <v>－</v>
          </cell>
          <cell r="J1995" t="str">
            <v>龍高星</v>
          </cell>
          <cell r="K1995" t="str">
            <v>天将星</v>
          </cell>
        </row>
        <row r="1996">
          <cell r="H1996" t="str">
            <v>33+32</v>
          </cell>
          <cell r="I1996" t="str">
            <v>－</v>
          </cell>
          <cell r="J1996" t="str">
            <v>玉堂星</v>
          </cell>
          <cell r="K1996" t="str">
            <v>天堂星</v>
          </cell>
        </row>
        <row r="1997">
          <cell r="H1997" t="str">
            <v>33+33</v>
          </cell>
          <cell r="I1997" t="str">
            <v>律音</v>
          </cell>
          <cell r="J1997" t="str">
            <v>貫索星</v>
          </cell>
          <cell r="K1997" t="str">
            <v>天胡星</v>
          </cell>
        </row>
        <row r="1998">
          <cell r="H1998" t="str">
            <v>33+34</v>
          </cell>
          <cell r="I1998" t="str">
            <v>準方位</v>
          </cell>
          <cell r="J1998" t="str">
            <v>石門星</v>
          </cell>
          <cell r="K1998" t="str">
            <v>天極星</v>
          </cell>
        </row>
        <row r="1999">
          <cell r="H1999" t="str">
            <v>33+35</v>
          </cell>
          <cell r="I1999" t="str">
            <v>準方位</v>
          </cell>
          <cell r="J1999" t="str">
            <v>鳳閣星</v>
          </cell>
          <cell r="K1999" t="str">
            <v>天庫星</v>
          </cell>
        </row>
        <row r="2000">
          <cell r="H2000" t="str">
            <v>33+36</v>
          </cell>
          <cell r="I2000" t="str">
            <v>害</v>
          </cell>
          <cell r="J2000" t="str">
            <v>調舒星</v>
          </cell>
          <cell r="K2000" t="str">
            <v>天馳星</v>
          </cell>
        </row>
        <row r="2001">
          <cell r="H2001" t="str">
            <v>33+37</v>
          </cell>
          <cell r="I2001" t="str">
            <v>半会</v>
          </cell>
          <cell r="J2001" t="str">
            <v>禄存星</v>
          </cell>
          <cell r="K2001" t="str">
            <v>天報星</v>
          </cell>
        </row>
        <row r="2002">
          <cell r="H2002" t="str">
            <v>33+38</v>
          </cell>
          <cell r="I2002" t="str">
            <v>－</v>
          </cell>
          <cell r="J2002" t="str">
            <v>司禄星</v>
          </cell>
          <cell r="K2002" t="str">
            <v>天印星</v>
          </cell>
        </row>
        <row r="2003">
          <cell r="H2003" t="str">
            <v>33+39</v>
          </cell>
          <cell r="I2003" t="str">
            <v>天剋地冲</v>
          </cell>
          <cell r="J2003" t="str">
            <v>車騎星</v>
          </cell>
          <cell r="K2003" t="str">
            <v>天貴星</v>
          </cell>
        </row>
        <row r="2004">
          <cell r="H2004" t="str">
            <v>33+40</v>
          </cell>
          <cell r="I2004" t="str">
            <v>－</v>
          </cell>
          <cell r="J2004" t="str">
            <v>牽牛星</v>
          </cell>
          <cell r="K2004" t="str">
            <v>天恍星</v>
          </cell>
        </row>
        <row r="2005">
          <cell r="H2005" t="str">
            <v>33+41</v>
          </cell>
          <cell r="I2005" t="str">
            <v>半会</v>
          </cell>
          <cell r="J2005" t="str">
            <v>龍高星</v>
          </cell>
          <cell r="K2005" t="str">
            <v>天南星</v>
          </cell>
        </row>
        <row r="2006">
          <cell r="H2006" t="str">
            <v>33+42</v>
          </cell>
          <cell r="I2006" t="str">
            <v>支合</v>
          </cell>
          <cell r="J2006" t="str">
            <v>玉堂星</v>
          </cell>
          <cell r="K2006" t="str">
            <v>天禄星</v>
          </cell>
        </row>
        <row r="2007">
          <cell r="H2007" t="str">
            <v>33+43</v>
          </cell>
          <cell r="I2007" t="str">
            <v>－</v>
          </cell>
          <cell r="J2007" t="str">
            <v>貫索星</v>
          </cell>
          <cell r="K2007" t="str">
            <v>天将星</v>
          </cell>
        </row>
        <row r="2008">
          <cell r="H2008" t="str">
            <v>33+44</v>
          </cell>
          <cell r="I2008" t="str">
            <v>－</v>
          </cell>
          <cell r="J2008" t="str">
            <v>石門星</v>
          </cell>
          <cell r="K2008" t="str">
            <v>天堂星</v>
          </cell>
        </row>
        <row r="2009">
          <cell r="H2009" t="str">
            <v>33+45</v>
          </cell>
          <cell r="I2009" t="str">
            <v>同</v>
          </cell>
          <cell r="J2009" t="str">
            <v>鳳閣星</v>
          </cell>
          <cell r="K2009" t="str">
            <v>天胡星</v>
          </cell>
        </row>
        <row r="2010">
          <cell r="H2010" t="str">
            <v>33+46</v>
          </cell>
          <cell r="I2010" t="str">
            <v>準方位</v>
          </cell>
          <cell r="J2010" t="str">
            <v>調舒星</v>
          </cell>
          <cell r="K2010" t="str">
            <v>天極星</v>
          </cell>
        </row>
        <row r="2011">
          <cell r="H2011" t="str">
            <v>33+47</v>
          </cell>
          <cell r="I2011" t="str">
            <v>準方位</v>
          </cell>
          <cell r="J2011" t="str">
            <v>禄存星</v>
          </cell>
          <cell r="K2011" t="str">
            <v>天庫星</v>
          </cell>
        </row>
        <row r="2012">
          <cell r="H2012" t="str">
            <v>33+48</v>
          </cell>
          <cell r="I2012" t="str">
            <v>害</v>
          </cell>
          <cell r="J2012" t="str">
            <v>司禄星</v>
          </cell>
          <cell r="K2012" t="str">
            <v>天馳星</v>
          </cell>
        </row>
        <row r="2013">
          <cell r="H2013" t="str">
            <v>33+49</v>
          </cell>
          <cell r="I2013" t="str">
            <v>半会</v>
          </cell>
          <cell r="J2013" t="str">
            <v>車騎星</v>
          </cell>
          <cell r="K2013" t="str">
            <v>天報星</v>
          </cell>
        </row>
        <row r="2014">
          <cell r="H2014" t="str">
            <v>33+50</v>
          </cell>
          <cell r="I2014" t="str">
            <v>－</v>
          </cell>
          <cell r="J2014" t="str">
            <v>牽牛星</v>
          </cell>
          <cell r="K2014" t="str">
            <v>天印星</v>
          </cell>
        </row>
        <row r="2015">
          <cell r="H2015" t="str">
            <v>33+51</v>
          </cell>
          <cell r="I2015" t="str">
            <v>対冲</v>
          </cell>
          <cell r="J2015" t="str">
            <v>龍高星</v>
          </cell>
          <cell r="K2015" t="str">
            <v>天貴星</v>
          </cell>
        </row>
        <row r="2016">
          <cell r="H2016" t="str">
            <v>33+52</v>
          </cell>
          <cell r="I2016" t="str">
            <v>－</v>
          </cell>
          <cell r="J2016" t="str">
            <v>玉堂星</v>
          </cell>
          <cell r="K2016" t="str">
            <v>天恍星</v>
          </cell>
        </row>
        <row r="2017">
          <cell r="H2017" t="str">
            <v>33+53</v>
          </cell>
          <cell r="I2017" t="str">
            <v>大半会</v>
          </cell>
          <cell r="J2017" t="str">
            <v>貫索星</v>
          </cell>
          <cell r="K2017" t="str">
            <v>天南星</v>
          </cell>
        </row>
        <row r="2018">
          <cell r="H2018" t="str">
            <v>33+54</v>
          </cell>
          <cell r="I2018" t="str">
            <v>支合</v>
          </cell>
          <cell r="J2018" t="str">
            <v>石門星</v>
          </cell>
          <cell r="K2018" t="str">
            <v>天禄星</v>
          </cell>
        </row>
        <row r="2019">
          <cell r="H2019" t="str">
            <v>33+55</v>
          </cell>
          <cell r="I2019" t="str">
            <v>－</v>
          </cell>
          <cell r="J2019" t="str">
            <v>鳳閣星</v>
          </cell>
          <cell r="K2019" t="str">
            <v>天将星</v>
          </cell>
        </row>
        <row r="2020">
          <cell r="H2020" t="str">
            <v>33+56</v>
          </cell>
          <cell r="I2020" t="str">
            <v>－</v>
          </cell>
          <cell r="J2020" t="str">
            <v>調舒星</v>
          </cell>
          <cell r="K2020" t="str">
            <v>天堂星</v>
          </cell>
        </row>
        <row r="2021">
          <cell r="H2021" t="str">
            <v>33+57</v>
          </cell>
          <cell r="I2021" t="str">
            <v>同</v>
          </cell>
          <cell r="J2021" t="str">
            <v>禄存星</v>
          </cell>
          <cell r="K2021" t="str">
            <v>天胡星</v>
          </cell>
        </row>
        <row r="2022">
          <cell r="H2022" t="str">
            <v>33+58</v>
          </cell>
          <cell r="I2022" t="str">
            <v>準方位</v>
          </cell>
          <cell r="J2022" t="str">
            <v>司禄星</v>
          </cell>
          <cell r="K2022" t="str">
            <v>天極星</v>
          </cell>
        </row>
        <row r="2023">
          <cell r="H2023" t="str">
            <v>33+59</v>
          </cell>
          <cell r="I2023" t="str">
            <v>準方位</v>
          </cell>
          <cell r="J2023" t="str">
            <v>車騎星</v>
          </cell>
          <cell r="K2023" t="str">
            <v>天庫星</v>
          </cell>
        </row>
        <row r="2024">
          <cell r="H2024" t="str">
            <v>33+60</v>
          </cell>
          <cell r="I2024" t="str">
            <v>害</v>
          </cell>
          <cell r="J2024" t="str">
            <v>牽牛星</v>
          </cell>
          <cell r="K2024" t="str">
            <v>天馳星</v>
          </cell>
        </row>
        <row r="2025">
          <cell r="H2025" t="str">
            <v>34+1</v>
          </cell>
          <cell r="I2025" t="str">
            <v>破</v>
          </cell>
          <cell r="J2025" t="str">
            <v>玉堂星</v>
          </cell>
          <cell r="K2025" t="str">
            <v>天馳星</v>
          </cell>
        </row>
        <row r="2026">
          <cell r="H2026" t="str">
            <v>34+2</v>
          </cell>
          <cell r="I2026" t="str">
            <v>半会</v>
          </cell>
          <cell r="J2026" t="str">
            <v>龍高星</v>
          </cell>
          <cell r="K2026" t="str">
            <v>天庫星</v>
          </cell>
        </row>
        <row r="2027">
          <cell r="H2027" t="str">
            <v>34+3</v>
          </cell>
          <cell r="I2027" t="str">
            <v>－</v>
          </cell>
          <cell r="J2027" t="str">
            <v>石門星</v>
          </cell>
          <cell r="K2027" t="str">
            <v>天極星</v>
          </cell>
        </row>
        <row r="2028">
          <cell r="H2028" t="str">
            <v>34+4</v>
          </cell>
          <cell r="I2028" t="str">
            <v>納音</v>
          </cell>
          <cell r="J2028" t="str">
            <v>貫索星</v>
          </cell>
          <cell r="K2028" t="str">
            <v>天胡星</v>
          </cell>
        </row>
        <row r="2029">
          <cell r="H2029" t="str">
            <v>34+5</v>
          </cell>
          <cell r="I2029" t="str">
            <v>支合</v>
          </cell>
          <cell r="J2029" t="str">
            <v>調舒星</v>
          </cell>
          <cell r="K2029" t="str">
            <v>天堂星</v>
          </cell>
        </row>
        <row r="2030">
          <cell r="H2030" t="str">
            <v>34+6</v>
          </cell>
          <cell r="I2030" t="str">
            <v>半会</v>
          </cell>
          <cell r="J2030" t="str">
            <v>鳳閣星</v>
          </cell>
          <cell r="K2030" t="str">
            <v>天将星</v>
          </cell>
        </row>
        <row r="2031">
          <cell r="H2031" t="str">
            <v>34+7</v>
          </cell>
          <cell r="I2031" t="str">
            <v>－</v>
          </cell>
          <cell r="J2031" t="str">
            <v>司禄星</v>
          </cell>
          <cell r="K2031" t="str">
            <v>天禄星</v>
          </cell>
        </row>
        <row r="2032">
          <cell r="H2032" t="str">
            <v>34+8</v>
          </cell>
          <cell r="I2032" t="str">
            <v>－</v>
          </cell>
          <cell r="J2032" t="str">
            <v>禄存星</v>
          </cell>
          <cell r="K2032" t="str">
            <v>天南星</v>
          </cell>
        </row>
        <row r="2033">
          <cell r="H2033" t="str">
            <v>34+9</v>
          </cell>
          <cell r="I2033" t="str">
            <v>準方位</v>
          </cell>
          <cell r="J2033" t="str">
            <v>牽牛星</v>
          </cell>
          <cell r="K2033" t="str">
            <v>天恍星</v>
          </cell>
        </row>
        <row r="2034">
          <cell r="H2034" t="str">
            <v>34+10</v>
          </cell>
          <cell r="I2034" t="str">
            <v>自刑</v>
          </cell>
          <cell r="J2034" t="str">
            <v>車騎星</v>
          </cell>
          <cell r="K2034" t="str">
            <v>天貴星</v>
          </cell>
        </row>
        <row r="2035">
          <cell r="H2035" t="str">
            <v>34+11</v>
          </cell>
          <cell r="I2035" t="str">
            <v>害</v>
          </cell>
          <cell r="J2035" t="str">
            <v>玉堂星</v>
          </cell>
          <cell r="K2035" t="str">
            <v>天印星</v>
          </cell>
        </row>
        <row r="2036">
          <cell r="H2036" t="str">
            <v>34+12</v>
          </cell>
          <cell r="I2036" t="str">
            <v>－</v>
          </cell>
          <cell r="J2036" t="str">
            <v>龍高星</v>
          </cell>
          <cell r="K2036" t="str">
            <v>天報星</v>
          </cell>
        </row>
        <row r="2037">
          <cell r="H2037" t="str">
            <v>34+13</v>
          </cell>
          <cell r="I2037" t="str">
            <v>破</v>
          </cell>
          <cell r="J2037" t="str">
            <v>石門星</v>
          </cell>
          <cell r="K2037" t="str">
            <v>天馳星</v>
          </cell>
        </row>
        <row r="2038">
          <cell r="H2038" t="str">
            <v>34+14</v>
          </cell>
          <cell r="I2038" t="str">
            <v>大半会</v>
          </cell>
          <cell r="J2038" t="str">
            <v>貫索星</v>
          </cell>
          <cell r="K2038" t="str">
            <v>天庫星</v>
          </cell>
        </row>
        <row r="2039">
          <cell r="H2039" t="str">
            <v>34+15</v>
          </cell>
          <cell r="I2039" t="str">
            <v>－</v>
          </cell>
          <cell r="J2039" t="str">
            <v>調舒星</v>
          </cell>
          <cell r="K2039" t="str">
            <v>天極星</v>
          </cell>
        </row>
        <row r="2040">
          <cell r="H2040" t="str">
            <v>34+16</v>
          </cell>
          <cell r="I2040" t="str">
            <v>対冲</v>
          </cell>
          <cell r="J2040" t="str">
            <v>鳳閣星</v>
          </cell>
          <cell r="K2040" t="str">
            <v>天胡星</v>
          </cell>
        </row>
        <row r="2041">
          <cell r="H2041" t="str">
            <v>34+17</v>
          </cell>
          <cell r="I2041" t="str">
            <v>支合</v>
          </cell>
          <cell r="J2041" t="str">
            <v>司禄星</v>
          </cell>
          <cell r="K2041" t="str">
            <v>天堂星</v>
          </cell>
        </row>
        <row r="2042">
          <cell r="H2042" t="str">
            <v>34+18</v>
          </cell>
          <cell r="I2042" t="str">
            <v>半会</v>
          </cell>
          <cell r="J2042" t="str">
            <v>禄存星</v>
          </cell>
          <cell r="K2042" t="str">
            <v>天将星</v>
          </cell>
        </row>
        <row r="2043">
          <cell r="H2043" t="str">
            <v>34+19</v>
          </cell>
          <cell r="I2043" t="str">
            <v>－</v>
          </cell>
          <cell r="J2043" t="str">
            <v>牽牛星</v>
          </cell>
          <cell r="K2043" t="str">
            <v>天禄星</v>
          </cell>
        </row>
        <row r="2044">
          <cell r="H2044" t="str">
            <v>34+20</v>
          </cell>
          <cell r="I2044" t="str">
            <v>－</v>
          </cell>
          <cell r="J2044" t="str">
            <v>車騎星</v>
          </cell>
          <cell r="K2044" t="str">
            <v>天南星</v>
          </cell>
        </row>
        <row r="2045">
          <cell r="H2045" t="str">
            <v>34+21</v>
          </cell>
          <cell r="I2045" t="str">
            <v>準方位</v>
          </cell>
          <cell r="J2045" t="str">
            <v>玉堂星</v>
          </cell>
          <cell r="K2045" t="str">
            <v>天恍星</v>
          </cell>
        </row>
        <row r="2046">
          <cell r="H2046" t="str">
            <v>34+22</v>
          </cell>
          <cell r="I2046" t="str">
            <v>自刑</v>
          </cell>
          <cell r="J2046" t="str">
            <v>龍高星</v>
          </cell>
          <cell r="K2046" t="str">
            <v>天貴星</v>
          </cell>
        </row>
        <row r="2047">
          <cell r="H2047" t="str">
            <v>34+23</v>
          </cell>
          <cell r="I2047" t="str">
            <v>害</v>
          </cell>
          <cell r="J2047" t="str">
            <v>石門星</v>
          </cell>
          <cell r="K2047" t="str">
            <v>天印星</v>
          </cell>
        </row>
        <row r="2048">
          <cell r="H2048" t="str">
            <v>34+24</v>
          </cell>
          <cell r="I2048" t="str">
            <v>－</v>
          </cell>
          <cell r="J2048" t="str">
            <v>貫索星</v>
          </cell>
          <cell r="K2048" t="str">
            <v>天報星</v>
          </cell>
        </row>
        <row r="2049">
          <cell r="H2049" t="str">
            <v>34+25</v>
          </cell>
          <cell r="I2049" t="str">
            <v>破</v>
          </cell>
          <cell r="J2049" t="str">
            <v>調舒星</v>
          </cell>
          <cell r="K2049" t="str">
            <v>天馳星</v>
          </cell>
        </row>
        <row r="2050">
          <cell r="H2050" t="str">
            <v>34+26</v>
          </cell>
          <cell r="I2050" t="str">
            <v>半会</v>
          </cell>
          <cell r="J2050" t="str">
            <v>鳳閣星</v>
          </cell>
          <cell r="K2050" t="str">
            <v>天庫星</v>
          </cell>
        </row>
        <row r="2051">
          <cell r="H2051" t="str">
            <v>34+27</v>
          </cell>
          <cell r="I2051" t="str">
            <v>－</v>
          </cell>
          <cell r="J2051" t="str">
            <v>司禄星</v>
          </cell>
          <cell r="K2051" t="str">
            <v>天極星</v>
          </cell>
        </row>
        <row r="2052">
          <cell r="H2052" t="str">
            <v>34+28</v>
          </cell>
          <cell r="I2052" t="str">
            <v>天剋地冲</v>
          </cell>
          <cell r="J2052" t="str">
            <v>禄存星</v>
          </cell>
          <cell r="K2052" t="str">
            <v>天胡星</v>
          </cell>
        </row>
        <row r="2053">
          <cell r="H2053" t="str">
            <v>34+29</v>
          </cell>
          <cell r="I2053" t="str">
            <v>支合</v>
          </cell>
          <cell r="J2053" t="str">
            <v>牽牛星</v>
          </cell>
          <cell r="K2053" t="str">
            <v>天堂星</v>
          </cell>
        </row>
        <row r="2054">
          <cell r="H2054" t="str">
            <v>34+30</v>
          </cell>
          <cell r="I2054" t="str">
            <v>半会</v>
          </cell>
          <cell r="J2054" t="str">
            <v>車騎星</v>
          </cell>
          <cell r="K2054" t="str">
            <v>天将星</v>
          </cell>
        </row>
        <row r="2055">
          <cell r="H2055" t="str">
            <v>34+31</v>
          </cell>
          <cell r="I2055" t="str">
            <v>－</v>
          </cell>
          <cell r="J2055" t="str">
            <v>玉堂星</v>
          </cell>
          <cell r="K2055" t="str">
            <v>天禄星</v>
          </cell>
        </row>
        <row r="2056">
          <cell r="H2056" t="str">
            <v>34+32</v>
          </cell>
          <cell r="I2056" t="str">
            <v>－</v>
          </cell>
          <cell r="J2056" t="str">
            <v>龍高星</v>
          </cell>
          <cell r="K2056" t="str">
            <v>天南星</v>
          </cell>
        </row>
        <row r="2057">
          <cell r="H2057" t="str">
            <v>34+33</v>
          </cell>
          <cell r="I2057" t="str">
            <v>準方位</v>
          </cell>
          <cell r="J2057" t="str">
            <v>石門星</v>
          </cell>
          <cell r="K2057" t="str">
            <v>天恍星</v>
          </cell>
        </row>
        <row r="2058">
          <cell r="H2058" t="str">
            <v>34+34</v>
          </cell>
          <cell r="I2058" t="str">
            <v>律音</v>
          </cell>
          <cell r="J2058" t="str">
            <v>貫索星</v>
          </cell>
          <cell r="K2058" t="str">
            <v>天貴星</v>
          </cell>
        </row>
        <row r="2059">
          <cell r="H2059" t="str">
            <v>34+35</v>
          </cell>
          <cell r="I2059" t="str">
            <v>害</v>
          </cell>
          <cell r="J2059" t="str">
            <v>調舒星</v>
          </cell>
          <cell r="K2059" t="str">
            <v>天印星</v>
          </cell>
        </row>
        <row r="2060">
          <cell r="H2060" t="str">
            <v>34+36</v>
          </cell>
          <cell r="I2060" t="str">
            <v>－</v>
          </cell>
          <cell r="J2060" t="str">
            <v>鳳閣星</v>
          </cell>
          <cell r="K2060" t="str">
            <v>天報星</v>
          </cell>
        </row>
        <row r="2061">
          <cell r="H2061" t="str">
            <v>34+37</v>
          </cell>
          <cell r="I2061" t="str">
            <v>破</v>
          </cell>
          <cell r="J2061" t="str">
            <v>司禄星</v>
          </cell>
          <cell r="K2061" t="str">
            <v>天馳星</v>
          </cell>
        </row>
        <row r="2062">
          <cell r="H2062" t="str">
            <v>34+38</v>
          </cell>
          <cell r="I2062" t="str">
            <v>半会</v>
          </cell>
          <cell r="J2062" t="str">
            <v>禄存星</v>
          </cell>
          <cell r="K2062" t="str">
            <v>天庫星</v>
          </cell>
        </row>
        <row r="2063">
          <cell r="H2063" t="str">
            <v>34+39</v>
          </cell>
          <cell r="I2063" t="str">
            <v>－</v>
          </cell>
          <cell r="J2063" t="str">
            <v>牽牛星</v>
          </cell>
          <cell r="K2063" t="str">
            <v>天極星</v>
          </cell>
        </row>
        <row r="2064">
          <cell r="H2064" t="str">
            <v>34+40</v>
          </cell>
          <cell r="I2064" t="str">
            <v>天剋地冲</v>
          </cell>
          <cell r="J2064" t="str">
            <v>車騎星</v>
          </cell>
          <cell r="K2064" t="str">
            <v>天胡星</v>
          </cell>
        </row>
        <row r="2065">
          <cell r="H2065" t="str">
            <v>34+41</v>
          </cell>
          <cell r="I2065" t="str">
            <v>支合</v>
          </cell>
          <cell r="J2065" t="str">
            <v>玉堂星</v>
          </cell>
          <cell r="K2065" t="str">
            <v>天堂星</v>
          </cell>
        </row>
        <row r="2066">
          <cell r="H2066" t="str">
            <v>34+42</v>
          </cell>
          <cell r="I2066" t="str">
            <v>半会</v>
          </cell>
          <cell r="J2066" t="str">
            <v>龍高星</v>
          </cell>
          <cell r="K2066" t="str">
            <v>天将星</v>
          </cell>
        </row>
        <row r="2067">
          <cell r="H2067" t="str">
            <v>34+43</v>
          </cell>
          <cell r="I2067" t="str">
            <v>－</v>
          </cell>
          <cell r="J2067" t="str">
            <v>石門星</v>
          </cell>
          <cell r="K2067" t="str">
            <v>天禄星</v>
          </cell>
        </row>
        <row r="2068">
          <cell r="H2068" t="str">
            <v>34+44</v>
          </cell>
          <cell r="I2068" t="str">
            <v>－</v>
          </cell>
          <cell r="J2068" t="str">
            <v>貫索星</v>
          </cell>
          <cell r="K2068" t="str">
            <v>天南星</v>
          </cell>
        </row>
        <row r="2069">
          <cell r="H2069" t="str">
            <v>34+45</v>
          </cell>
          <cell r="I2069" t="str">
            <v>準方位</v>
          </cell>
          <cell r="J2069" t="str">
            <v>調舒星</v>
          </cell>
          <cell r="K2069" t="str">
            <v>天恍星</v>
          </cell>
        </row>
        <row r="2070">
          <cell r="H2070" t="str">
            <v>34+46</v>
          </cell>
          <cell r="I2070" t="str">
            <v>自刑</v>
          </cell>
          <cell r="J2070" t="str">
            <v>鳳閣星</v>
          </cell>
          <cell r="K2070" t="str">
            <v>天貴星</v>
          </cell>
        </row>
        <row r="2071">
          <cell r="H2071" t="str">
            <v>34+47</v>
          </cell>
          <cell r="I2071" t="str">
            <v>害</v>
          </cell>
          <cell r="J2071" t="str">
            <v>司禄星</v>
          </cell>
          <cell r="K2071" t="str">
            <v>天印星</v>
          </cell>
        </row>
        <row r="2072">
          <cell r="H2072" t="str">
            <v>34+48</v>
          </cell>
          <cell r="I2072" t="str">
            <v>－</v>
          </cell>
          <cell r="J2072" t="str">
            <v>禄存星</v>
          </cell>
          <cell r="K2072" t="str">
            <v>天報星</v>
          </cell>
        </row>
        <row r="2073">
          <cell r="H2073" t="str">
            <v>34+49</v>
          </cell>
          <cell r="I2073" t="str">
            <v>破</v>
          </cell>
          <cell r="J2073" t="str">
            <v>牽牛星</v>
          </cell>
          <cell r="K2073" t="str">
            <v>天馳星</v>
          </cell>
        </row>
        <row r="2074">
          <cell r="H2074" t="str">
            <v>34+50</v>
          </cell>
          <cell r="I2074" t="str">
            <v>半会</v>
          </cell>
          <cell r="J2074" t="str">
            <v>車騎星</v>
          </cell>
          <cell r="K2074" t="str">
            <v>天庫星</v>
          </cell>
        </row>
        <row r="2075">
          <cell r="H2075" t="str">
            <v>34+51</v>
          </cell>
          <cell r="I2075" t="str">
            <v>－</v>
          </cell>
          <cell r="J2075" t="str">
            <v>玉堂星</v>
          </cell>
          <cell r="K2075" t="str">
            <v>天極星</v>
          </cell>
        </row>
        <row r="2076">
          <cell r="H2076" t="str">
            <v>34+52</v>
          </cell>
          <cell r="I2076" t="str">
            <v>対冲</v>
          </cell>
          <cell r="J2076" t="str">
            <v>龍高星</v>
          </cell>
          <cell r="K2076" t="str">
            <v>天胡星</v>
          </cell>
        </row>
        <row r="2077">
          <cell r="H2077" t="str">
            <v>34+53</v>
          </cell>
          <cell r="I2077" t="str">
            <v>支合</v>
          </cell>
          <cell r="J2077" t="str">
            <v>石門星</v>
          </cell>
          <cell r="K2077" t="str">
            <v>天堂星</v>
          </cell>
        </row>
        <row r="2078">
          <cell r="H2078" t="str">
            <v>34+54</v>
          </cell>
          <cell r="I2078" t="str">
            <v>大半会</v>
          </cell>
          <cell r="J2078" t="str">
            <v>貫索星</v>
          </cell>
          <cell r="K2078" t="str">
            <v>天将星</v>
          </cell>
        </row>
        <row r="2079">
          <cell r="H2079" t="str">
            <v>34+55</v>
          </cell>
          <cell r="I2079" t="str">
            <v>－</v>
          </cell>
          <cell r="J2079" t="str">
            <v>調舒星</v>
          </cell>
          <cell r="K2079" t="str">
            <v>天禄星</v>
          </cell>
        </row>
        <row r="2080">
          <cell r="H2080" t="str">
            <v>34+56</v>
          </cell>
          <cell r="I2080" t="str">
            <v>－</v>
          </cell>
          <cell r="J2080" t="str">
            <v>鳳閣星</v>
          </cell>
          <cell r="K2080" t="str">
            <v>天南星</v>
          </cell>
        </row>
        <row r="2081">
          <cell r="H2081" t="str">
            <v>34+57</v>
          </cell>
          <cell r="I2081" t="str">
            <v>準方位</v>
          </cell>
          <cell r="J2081" t="str">
            <v>司禄星</v>
          </cell>
          <cell r="K2081" t="str">
            <v>天恍星</v>
          </cell>
        </row>
        <row r="2082">
          <cell r="H2082" t="str">
            <v>34+58</v>
          </cell>
          <cell r="I2082" t="str">
            <v>自刑</v>
          </cell>
          <cell r="J2082" t="str">
            <v>禄存星</v>
          </cell>
          <cell r="K2082" t="str">
            <v>天貴星</v>
          </cell>
        </row>
        <row r="2083">
          <cell r="H2083" t="str">
            <v>34+59</v>
          </cell>
          <cell r="I2083" t="str">
            <v>害</v>
          </cell>
          <cell r="J2083" t="str">
            <v>牽牛星</v>
          </cell>
          <cell r="K2083" t="str">
            <v>天印星</v>
          </cell>
        </row>
        <row r="2084">
          <cell r="H2084" t="str">
            <v>34+60</v>
          </cell>
          <cell r="I2084" t="str">
            <v>－</v>
          </cell>
          <cell r="J2084" t="str">
            <v>車騎星</v>
          </cell>
          <cell r="K2084" t="str">
            <v>天報星</v>
          </cell>
        </row>
        <row r="2085">
          <cell r="H2085" t="str">
            <v>35+1</v>
          </cell>
          <cell r="I2085" t="str">
            <v>－</v>
          </cell>
          <cell r="J2085" t="str">
            <v>車騎星</v>
          </cell>
          <cell r="K2085" t="str">
            <v>天報星</v>
          </cell>
        </row>
        <row r="2086">
          <cell r="H2086" t="str">
            <v>35+2</v>
          </cell>
          <cell r="I2086" t="str">
            <v>刑</v>
          </cell>
          <cell r="J2086" t="str">
            <v>牽牛星</v>
          </cell>
          <cell r="K2086" t="str">
            <v>天印星</v>
          </cell>
        </row>
        <row r="2087">
          <cell r="H2087" t="str">
            <v>35+3</v>
          </cell>
          <cell r="I2087" t="str">
            <v>半会</v>
          </cell>
          <cell r="J2087" t="str">
            <v>龍高星</v>
          </cell>
          <cell r="K2087" t="str">
            <v>天貴星</v>
          </cell>
        </row>
        <row r="2088">
          <cell r="H2088" t="str">
            <v>35+4</v>
          </cell>
          <cell r="I2088" t="str">
            <v>支合</v>
          </cell>
          <cell r="J2088" t="str">
            <v>玉堂星</v>
          </cell>
          <cell r="K2088" t="str">
            <v>天恍星</v>
          </cell>
        </row>
        <row r="2089">
          <cell r="H2089" t="str">
            <v>35+5</v>
          </cell>
          <cell r="I2089" t="str">
            <v>納音</v>
          </cell>
          <cell r="J2089" t="str">
            <v>貫索星</v>
          </cell>
          <cell r="K2089" t="str">
            <v>天南星</v>
          </cell>
        </row>
        <row r="2090">
          <cell r="H2090" t="str">
            <v>35+6</v>
          </cell>
          <cell r="I2090" t="str">
            <v>－</v>
          </cell>
          <cell r="J2090" t="str">
            <v>石門星</v>
          </cell>
          <cell r="K2090" t="str">
            <v>天禄星</v>
          </cell>
        </row>
        <row r="2091">
          <cell r="H2091" t="str">
            <v>35+7</v>
          </cell>
          <cell r="I2091" t="str">
            <v>半会</v>
          </cell>
          <cell r="J2091" t="str">
            <v>鳳閣星</v>
          </cell>
          <cell r="K2091" t="str">
            <v>天将星</v>
          </cell>
        </row>
        <row r="2092">
          <cell r="H2092" t="str">
            <v>35+8</v>
          </cell>
          <cell r="I2092" t="str">
            <v>刑</v>
          </cell>
          <cell r="J2092" t="str">
            <v>調舒星</v>
          </cell>
          <cell r="K2092" t="str">
            <v>天堂星</v>
          </cell>
        </row>
        <row r="2093">
          <cell r="H2093" t="str">
            <v>35+9</v>
          </cell>
          <cell r="I2093" t="str">
            <v>準方位</v>
          </cell>
          <cell r="J2093" t="str">
            <v>禄存星</v>
          </cell>
          <cell r="K2093" t="str">
            <v>天胡星</v>
          </cell>
        </row>
        <row r="2094">
          <cell r="H2094" t="str">
            <v>35+10</v>
          </cell>
          <cell r="I2094" t="str">
            <v>害</v>
          </cell>
          <cell r="J2094" t="str">
            <v>司禄星</v>
          </cell>
          <cell r="K2094" t="str">
            <v>天極星</v>
          </cell>
        </row>
        <row r="2095">
          <cell r="H2095" t="str">
            <v>35+11</v>
          </cell>
          <cell r="I2095" t="str">
            <v>同</v>
          </cell>
          <cell r="J2095" t="str">
            <v>車騎星</v>
          </cell>
          <cell r="K2095" t="str">
            <v>天庫星</v>
          </cell>
        </row>
        <row r="2096">
          <cell r="H2096" t="str">
            <v>35+12</v>
          </cell>
          <cell r="I2096" t="str">
            <v>－</v>
          </cell>
          <cell r="J2096" t="str">
            <v>牽牛星</v>
          </cell>
          <cell r="K2096" t="str">
            <v>天馳星</v>
          </cell>
        </row>
        <row r="2097">
          <cell r="H2097" t="str">
            <v>35+13</v>
          </cell>
          <cell r="I2097" t="str">
            <v>－</v>
          </cell>
          <cell r="J2097" t="str">
            <v>龍高星</v>
          </cell>
          <cell r="K2097" t="str">
            <v>天報星</v>
          </cell>
        </row>
        <row r="2098">
          <cell r="H2098" t="str">
            <v>35+14</v>
          </cell>
          <cell r="I2098" t="str">
            <v>刑</v>
          </cell>
          <cell r="J2098" t="str">
            <v>玉堂星</v>
          </cell>
          <cell r="K2098" t="str">
            <v>天印星</v>
          </cell>
        </row>
        <row r="2099">
          <cell r="H2099" t="str">
            <v>35+15</v>
          </cell>
          <cell r="I2099" t="str">
            <v>大半会</v>
          </cell>
          <cell r="J2099" t="str">
            <v>貫索星</v>
          </cell>
          <cell r="K2099" t="str">
            <v>天貴星</v>
          </cell>
        </row>
        <row r="2100">
          <cell r="H2100" t="str">
            <v>35+16</v>
          </cell>
          <cell r="I2100" t="str">
            <v>支合</v>
          </cell>
          <cell r="J2100" t="str">
            <v>石門星</v>
          </cell>
          <cell r="K2100" t="str">
            <v>天恍星</v>
          </cell>
        </row>
        <row r="2101">
          <cell r="H2101" t="str">
            <v>35+17</v>
          </cell>
          <cell r="I2101" t="str">
            <v>対冲</v>
          </cell>
          <cell r="J2101" t="str">
            <v>鳳閣星</v>
          </cell>
          <cell r="K2101" t="str">
            <v>天南星</v>
          </cell>
        </row>
        <row r="2102">
          <cell r="H2102" t="str">
            <v>35+18</v>
          </cell>
          <cell r="I2102" t="str">
            <v>－</v>
          </cell>
          <cell r="J2102" t="str">
            <v>調舒星</v>
          </cell>
          <cell r="K2102" t="str">
            <v>天禄星</v>
          </cell>
        </row>
        <row r="2103">
          <cell r="H2103" t="str">
            <v>35+19</v>
          </cell>
          <cell r="I2103" t="str">
            <v>半会</v>
          </cell>
          <cell r="J2103" t="str">
            <v>禄存星</v>
          </cell>
          <cell r="K2103" t="str">
            <v>天将星</v>
          </cell>
        </row>
        <row r="2104">
          <cell r="H2104" t="str">
            <v>35+20</v>
          </cell>
          <cell r="I2104" t="str">
            <v>刑</v>
          </cell>
          <cell r="J2104" t="str">
            <v>司禄星</v>
          </cell>
          <cell r="K2104" t="str">
            <v>天堂星</v>
          </cell>
        </row>
        <row r="2105">
          <cell r="H2105" t="str">
            <v>35+21</v>
          </cell>
          <cell r="I2105" t="str">
            <v>準方位</v>
          </cell>
          <cell r="J2105" t="str">
            <v>車騎星</v>
          </cell>
          <cell r="K2105" t="str">
            <v>天胡星</v>
          </cell>
        </row>
        <row r="2106">
          <cell r="H2106" t="str">
            <v>35+22</v>
          </cell>
          <cell r="I2106" t="str">
            <v>害</v>
          </cell>
          <cell r="J2106" t="str">
            <v>牽牛星</v>
          </cell>
          <cell r="K2106" t="str">
            <v>天極星</v>
          </cell>
        </row>
        <row r="2107">
          <cell r="H2107" t="str">
            <v>35+23</v>
          </cell>
          <cell r="I2107" t="str">
            <v>同</v>
          </cell>
          <cell r="J2107" t="str">
            <v>龍高星</v>
          </cell>
          <cell r="K2107" t="str">
            <v>天庫星</v>
          </cell>
        </row>
        <row r="2108">
          <cell r="H2108" t="str">
            <v>35+24</v>
          </cell>
          <cell r="I2108" t="str">
            <v>－</v>
          </cell>
          <cell r="J2108" t="str">
            <v>玉堂星</v>
          </cell>
          <cell r="K2108" t="str">
            <v>天馳星</v>
          </cell>
        </row>
        <row r="2109">
          <cell r="H2109" t="str">
            <v>35+25</v>
          </cell>
          <cell r="I2109" t="str">
            <v>－</v>
          </cell>
          <cell r="J2109" t="str">
            <v>貫索星</v>
          </cell>
          <cell r="K2109" t="str">
            <v>天報星</v>
          </cell>
        </row>
        <row r="2110">
          <cell r="H2110" t="str">
            <v>35+26</v>
          </cell>
          <cell r="I2110" t="str">
            <v>刑</v>
          </cell>
          <cell r="J2110" t="str">
            <v>石門星</v>
          </cell>
          <cell r="K2110" t="str">
            <v>天印星</v>
          </cell>
        </row>
        <row r="2111">
          <cell r="H2111" t="str">
            <v>35+27</v>
          </cell>
          <cell r="I2111" t="str">
            <v>半会</v>
          </cell>
          <cell r="J2111" t="str">
            <v>鳳閣星</v>
          </cell>
          <cell r="K2111" t="str">
            <v>天貴星</v>
          </cell>
        </row>
        <row r="2112">
          <cell r="H2112" t="str">
            <v>35+28</v>
          </cell>
          <cell r="I2112" t="str">
            <v>支合</v>
          </cell>
          <cell r="J2112" t="str">
            <v>調舒星</v>
          </cell>
          <cell r="K2112" t="str">
            <v>天恍星</v>
          </cell>
        </row>
        <row r="2113">
          <cell r="H2113" t="str">
            <v>35+29</v>
          </cell>
          <cell r="I2113" t="str">
            <v>天剋地冲</v>
          </cell>
          <cell r="J2113" t="str">
            <v>禄存星</v>
          </cell>
          <cell r="K2113" t="str">
            <v>天南星</v>
          </cell>
        </row>
        <row r="2114">
          <cell r="H2114" t="str">
            <v>35+30</v>
          </cell>
          <cell r="I2114" t="str">
            <v>－</v>
          </cell>
          <cell r="J2114" t="str">
            <v>司禄星</v>
          </cell>
          <cell r="K2114" t="str">
            <v>天禄星</v>
          </cell>
        </row>
        <row r="2115">
          <cell r="H2115" t="str">
            <v>35+31</v>
          </cell>
          <cell r="I2115" t="str">
            <v>半会</v>
          </cell>
          <cell r="J2115" t="str">
            <v>車騎星</v>
          </cell>
          <cell r="K2115" t="str">
            <v>天将星</v>
          </cell>
        </row>
        <row r="2116">
          <cell r="H2116" t="str">
            <v>35+32</v>
          </cell>
          <cell r="I2116" t="str">
            <v>刑</v>
          </cell>
          <cell r="J2116" t="str">
            <v>牽牛星</v>
          </cell>
          <cell r="K2116" t="str">
            <v>天堂星</v>
          </cell>
        </row>
        <row r="2117">
          <cell r="H2117" t="str">
            <v>35+33</v>
          </cell>
          <cell r="I2117" t="str">
            <v>準方位</v>
          </cell>
          <cell r="J2117" t="str">
            <v>龍高星</v>
          </cell>
          <cell r="K2117" t="str">
            <v>天胡星</v>
          </cell>
        </row>
        <row r="2118">
          <cell r="H2118" t="str">
            <v>35+34</v>
          </cell>
          <cell r="I2118" t="str">
            <v>害</v>
          </cell>
          <cell r="J2118" t="str">
            <v>玉堂星</v>
          </cell>
          <cell r="K2118" t="str">
            <v>天極星</v>
          </cell>
        </row>
        <row r="2119">
          <cell r="H2119" t="str">
            <v>35+35</v>
          </cell>
          <cell r="I2119" t="str">
            <v>律音</v>
          </cell>
          <cell r="J2119" t="str">
            <v>貫索星</v>
          </cell>
          <cell r="K2119" t="str">
            <v>天庫星</v>
          </cell>
        </row>
        <row r="2120">
          <cell r="H2120" t="str">
            <v>35+36</v>
          </cell>
          <cell r="I2120" t="str">
            <v>－</v>
          </cell>
          <cell r="J2120" t="str">
            <v>石門星</v>
          </cell>
          <cell r="K2120" t="str">
            <v>天馳星</v>
          </cell>
        </row>
        <row r="2121">
          <cell r="H2121" t="str">
            <v>35+37</v>
          </cell>
          <cell r="I2121" t="str">
            <v>－</v>
          </cell>
          <cell r="J2121" t="str">
            <v>鳳閣星</v>
          </cell>
          <cell r="K2121" t="str">
            <v>天報星</v>
          </cell>
        </row>
        <row r="2122">
          <cell r="H2122" t="str">
            <v>35+38</v>
          </cell>
          <cell r="I2122" t="str">
            <v>刑</v>
          </cell>
          <cell r="J2122" t="str">
            <v>調舒星</v>
          </cell>
          <cell r="K2122" t="str">
            <v>天印星</v>
          </cell>
        </row>
        <row r="2123">
          <cell r="H2123" t="str">
            <v>35+39</v>
          </cell>
          <cell r="I2123" t="str">
            <v>半会</v>
          </cell>
          <cell r="J2123" t="str">
            <v>禄存星</v>
          </cell>
          <cell r="K2123" t="str">
            <v>天貴星</v>
          </cell>
        </row>
        <row r="2124">
          <cell r="H2124" t="str">
            <v>35+40</v>
          </cell>
          <cell r="I2124" t="str">
            <v>支合</v>
          </cell>
          <cell r="J2124" t="str">
            <v>司禄星</v>
          </cell>
          <cell r="K2124" t="str">
            <v>天恍星</v>
          </cell>
        </row>
        <row r="2125">
          <cell r="H2125" t="str">
            <v>35+41</v>
          </cell>
          <cell r="I2125" t="str">
            <v>天剋地冲</v>
          </cell>
          <cell r="J2125" t="str">
            <v>車騎星</v>
          </cell>
          <cell r="K2125" t="str">
            <v>天南星</v>
          </cell>
        </row>
        <row r="2126">
          <cell r="H2126" t="str">
            <v>35+42</v>
          </cell>
          <cell r="I2126" t="str">
            <v>－</v>
          </cell>
          <cell r="J2126" t="str">
            <v>牽牛星</v>
          </cell>
          <cell r="K2126" t="str">
            <v>天禄星</v>
          </cell>
        </row>
        <row r="2127">
          <cell r="H2127" t="str">
            <v>35+43</v>
          </cell>
          <cell r="I2127" t="str">
            <v>半会</v>
          </cell>
          <cell r="J2127" t="str">
            <v>龍高星</v>
          </cell>
          <cell r="K2127" t="str">
            <v>天将星</v>
          </cell>
        </row>
        <row r="2128">
          <cell r="H2128" t="str">
            <v>35+44</v>
          </cell>
          <cell r="I2128" t="str">
            <v>刑</v>
          </cell>
          <cell r="J2128" t="str">
            <v>玉堂星</v>
          </cell>
          <cell r="K2128" t="str">
            <v>天堂星</v>
          </cell>
        </row>
        <row r="2129">
          <cell r="H2129" t="str">
            <v>35+45</v>
          </cell>
          <cell r="I2129" t="str">
            <v>準方位</v>
          </cell>
          <cell r="J2129" t="str">
            <v>貫索星</v>
          </cell>
          <cell r="K2129" t="str">
            <v>天胡星</v>
          </cell>
        </row>
        <row r="2130">
          <cell r="H2130" t="str">
            <v>35+46</v>
          </cell>
          <cell r="I2130" t="str">
            <v>害</v>
          </cell>
          <cell r="J2130" t="str">
            <v>石門星</v>
          </cell>
          <cell r="K2130" t="str">
            <v>天極星</v>
          </cell>
        </row>
        <row r="2131">
          <cell r="H2131" t="str">
            <v>35+47</v>
          </cell>
          <cell r="I2131" t="str">
            <v>同</v>
          </cell>
          <cell r="J2131" t="str">
            <v>鳳閣星</v>
          </cell>
          <cell r="K2131" t="str">
            <v>天庫星</v>
          </cell>
        </row>
        <row r="2132">
          <cell r="H2132" t="str">
            <v>35+48</v>
          </cell>
          <cell r="I2132" t="str">
            <v>－</v>
          </cell>
          <cell r="J2132" t="str">
            <v>調舒星</v>
          </cell>
          <cell r="K2132" t="str">
            <v>天馳星</v>
          </cell>
        </row>
        <row r="2133">
          <cell r="H2133" t="str">
            <v>35+49</v>
          </cell>
          <cell r="I2133" t="str">
            <v>－</v>
          </cell>
          <cell r="J2133" t="str">
            <v>禄存星</v>
          </cell>
          <cell r="K2133" t="str">
            <v>天報星</v>
          </cell>
        </row>
        <row r="2134">
          <cell r="H2134" t="str">
            <v>35+50</v>
          </cell>
          <cell r="I2134" t="str">
            <v>刑</v>
          </cell>
          <cell r="J2134" t="str">
            <v>司禄星</v>
          </cell>
          <cell r="K2134" t="str">
            <v>天印星</v>
          </cell>
        </row>
        <row r="2135">
          <cell r="H2135" t="str">
            <v>35+51</v>
          </cell>
          <cell r="I2135" t="str">
            <v>半会</v>
          </cell>
          <cell r="J2135" t="str">
            <v>車騎星</v>
          </cell>
          <cell r="K2135" t="str">
            <v>天貴星</v>
          </cell>
        </row>
        <row r="2136">
          <cell r="H2136" t="str">
            <v>35+52</v>
          </cell>
          <cell r="I2136" t="str">
            <v>支合</v>
          </cell>
          <cell r="J2136" t="str">
            <v>牽牛星</v>
          </cell>
          <cell r="K2136" t="str">
            <v>天恍星</v>
          </cell>
        </row>
        <row r="2137">
          <cell r="H2137" t="str">
            <v>35+53</v>
          </cell>
          <cell r="I2137" t="str">
            <v>対冲</v>
          </cell>
          <cell r="J2137" t="str">
            <v>龍高星</v>
          </cell>
          <cell r="K2137" t="str">
            <v>天南星</v>
          </cell>
        </row>
        <row r="2138">
          <cell r="H2138" t="str">
            <v>35+54</v>
          </cell>
          <cell r="I2138" t="str">
            <v>－</v>
          </cell>
          <cell r="J2138" t="str">
            <v>玉堂星</v>
          </cell>
          <cell r="K2138" t="str">
            <v>天禄星</v>
          </cell>
        </row>
        <row r="2139">
          <cell r="H2139" t="str">
            <v>35+55</v>
          </cell>
          <cell r="I2139" t="str">
            <v>大半会</v>
          </cell>
          <cell r="J2139" t="str">
            <v>貫索星</v>
          </cell>
          <cell r="K2139" t="str">
            <v>天将星</v>
          </cell>
        </row>
        <row r="2140">
          <cell r="H2140" t="str">
            <v>35+56</v>
          </cell>
          <cell r="I2140" t="str">
            <v>刑</v>
          </cell>
          <cell r="J2140" t="str">
            <v>石門星</v>
          </cell>
          <cell r="K2140" t="str">
            <v>天堂星</v>
          </cell>
        </row>
        <row r="2141">
          <cell r="H2141" t="str">
            <v>35+57</v>
          </cell>
          <cell r="I2141" t="str">
            <v>準方位</v>
          </cell>
          <cell r="J2141" t="str">
            <v>鳳閣星</v>
          </cell>
          <cell r="K2141" t="str">
            <v>天胡星</v>
          </cell>
        </row>
        <row r="2142">
          <cell r="H2142" t="str">
            <v>35+58</v>
          </cell>
          <cell r="I2142" t="str">
            <v>害</v>
          </cell>
          <cell r="J2142" t="str">
            <v>調舒星</v>
          </cell>
          <cell r="K2142" t="str">
            <v>天極星</v>
          </cell>
        </row>
        <row r="2143">
          <cell r="H2143" t="str">
            <v>35+59</v>
          </cell>
          <cell r="I2143" t="str">
            <v>同</v>
          </cell>
          <cell r="J2143" t="str">
            <v>禄存星</v>
          </cell>
          <cell r="K2143" t="str">
            <v>天庫星</v>
          </cell>
        </row>
        <row r="2144">
          <cell r="H2144" t="str">
            <v>35+60</v>
          </cell>
          <cell r="I2144" t="str">
            <v>－</v>
          </cell>
          <cell r="J2144" t="str">
            <v>司禄星</v>
          </cell>
          <cell r="K2144" t="str">
            <v>天馳星</v>
          </cell>
        </row>
        <row r="2145">
          <cell r="H2145" t="str">
            <v>36+1</v>
          </cell>
          <cell r="I2145" t="str">
            <v>準方位</v>
          </cell>
          <cell r="J2145" t="str">
            <v>牽牛星</v>
          </cell>
          <cell r="K2145" t="str">
            <v>天馳星</v>
          </cell>
        </row>
        <row r="2146">
          <cell r="H2146" t="str">
            <v>36+2</v>
          </cell>
          <cell r="I2146" t="str">
            <v>準方位</v>
          </cell>
          <cell r="J2146" t="str">
            <v>車騎星</v>
          </cell>
          <cell r="K2146" t="str">
            <v>天庫星</v>
          </cell>
        </row>
        <row r="2147">
          <cell r="H2147" t="str">
            <v>36+3</v>
          </cell>
          <cell r="I2147" t="str">
            <v>支合</v>
          </cell>
          <cell r="J2147" t="str">
            <v>玉堂星</v>
          </cell>
          <cell r="K2147" t="str">
            <v>天極星</v>
          </cell>
        </row>
        <row r="2148">
          <cell r="H2148" t="str">
            <v>36+4</v>
          </cell>
          <cell r="I2148" t="str">
            <v>半会</v>
          </cell>
          <cell r="J2148" t="str">
            <v>龍高星</v>
          </cell>
          <cell r="K2148" t="str">
            <v>天胡星</v>
          </cell>
        </row>
        <row r="2149">
          <cell r="H2149" t="str">
            <v>36+5</v>
          </cell>
          <cell r="I2149" t="str">
            <v>－</v>
          </cell>
          <cell r="J2149" t="str">
            <v>石門星</v>
          </cell>
          <cell r="K2149" t="str">
            <v>天堂星</v>
          </cell>
        </row>
        <row r="2150">
          <cell r="H2150" t="str">
            <v>36+6</v>
          </cell>
          <cell r="I2150" t="str">
            <v>納音</v>
          </cell>
          <cell r="J2150" t="str">
            <v>貫索星</v>
          </cell>
          <cell r="K2150" t="str">
            <v>天将星</v>
          </cell>
        </row>
        <row r="2151">
          <cell r="H2151" t="str">
            <v>36+7</v>
          </cell>
          <cell r="I2151" t="str">
            <v>－</v>
          </cell>
          <cell r="J2151" t="str">
            <v>調舒星</v>
          </cell>
          <cell r="K2151" t="str">
            <v>天禄星</v>
          </cell>
        </row>
        <row r="2152">
          <cell r="H2152" t="str">
            <v>36+8</v>
          </cell>
          <cell r="I2152" t="str">
            <v>半会</v>
          </cell>
          <cell r="J2152" t="str">
            <v>鳳閣星</v>
          </cell>
          <cell r="K2152" t="str">
            <v>天南星</v>
          </cell>
        </row>
        <row r="2153">
          <cell r="H2153" t="str">
            <v>36+9</v>
          </cell>
          <cell r="I2153" t="str">
            <v>害</v>
          </cell>
          <cell r="J2153" t="str">
            <v>司禄星</v>
          </cell>
          <cell r="K2153" t="str">
            <v>天恍星</v>
          </cell>
        </row>
        <row r="2154">
          <cell r="H2154" t="str">
            <v>36+10</v>
          </cell>
          <cell r="I2154" t="str">
            <v>－</v>
          </cell>
          <cell r="J2154" t="str">
            <v>禄存星</v>
          </cell>
          <cell r="K2154" t="str">
            <v>天貴星</v>
          </cell>
        </row>
        <row r="2155">
          <cell r="H2155" t="str">
            <v>36+11</v>
          </cell>
          <cell r="I2155" t="str">
            <v>－</v>
          </cell>
          <cell r="J2155" t="str">
            <v>牽牛星</v>
          </cell>
          <cell r="K2155" t="str">
            <v>天印星</v>
          </cell>
        </row>
        <row r="2156">
          <cell r="H2156" t="str">
            <v>36+12</v>
          </cell>
          <cell r="I2156" t="str">
            <v>自刑</v>
          </cell>
          <cell r="J2156" t="str">
            <v>車騎星</v>
          </cell>
          <cell r="K2156" t="str">
            <v>天報星</v>
          </cell>
        </row>
        <row r="2157">
          <cell r="H2157" t="str">
            <v>36+13</v>
          </cell>
          <cell r="I2157" t="str">
            <v>準方位</v>
          </cell>
          <cell r="J2157" t="str">
            <v>玉堂星</v>
          </cell>
          <cell r="K2157" t="str">
            <v>天馳星</v>
          </cell>
        </row>
        <row r="2158">
          <cell r="H2158" t="str">
            <v>36+14</v>
          </cell>
          <cell r="I2158" t="str">
            <v>準方位</v>
          </cell>
          <cell r="J2158" t="str">
            <v>龍高星</v>
          </cell>
          <cell r="K2158" t="str">
            <v>天庫星</v>
          </cell>
        </row>
        <row r="2159">
          <cell r="H2159" t="str">
            <v>36+15</v>
          </cell>
          <cell r="I2159" t="str">
            <v>支合</v>
          </cell>
          <cell r="J2159" t="str">
            <v>石門星</v>
          </cell>
          <cell r="K2159" t="str">
            <v>天極星</v>
          </cell>
        </row>
        <row r="2160">
          <cell r="H2160" t="str">
            <v>36+16</v>
          </cell>
          <cell r="I2160" t="str">
            <v>大半会</v>
          </cell>
          <cell r="J2160" t="str">
            <v>貫索星</v>
          </cell>
          <cell r="K2160" t="str">
            <v>天胡星</v>
          </cell>
        </row>
        <row r="2161">
          <cell r="H2161" t="str">
            <v>36+17</v>
          </cell>
          <cell r="I2161" t="str">
            <v>－</v>
          </cell>
          <cell r="J2161" t="str">
            <v>調舒星</v>
          </cell>
          <cell r="K2161" t="str">
            <v>天堂星</v>
          </cell>
        </row>
        <row r="2162">
          <cell r="H2162" t="str">
            <v>36+18</v>
          </cell>
          <cell r="I2162" t="str">
            <v>対冲</v>
          </cell>
          <cell r="J2162" t="str">
            <v>鳳閣星</v>
          </cell>
          <cell r="K2162" t="str">
            <v>天将星</v>
          </cell>
        </row>
        <row r="2163">
          <cell r="H2163" t="str">
            <v>36+19</v>
          </cell>
          <cell r="I2163" t="str">
            <v>－</v>
          </cell>
          <cell r="J2163" t="str">
            <v>司禄星</v>
          </cell>
          <cell r="K2163" t="str">
            <v>天禄星</v>
          </cell>
        </row>
        <row r="2164">
          <cell r="H2164" t="str">
            <v>36+20</v>
          </cell>
          <cell r="I2164" t="str">
            <v>半会</v>
          </cell>
          <cell r="J2164" t="str">
            <v>禄存星</v>
          </cell>
          <cell r="K2164" t="str">
            <v>天南星</v>
          </cell>
        </row>
        <row r="2165">
          <cell r="H2165" t="str">
            <v>36+21</v>
          </cell>
          <cell r="I2165" t="str">
            <v>害</v>
          </cell>
          <cell r="J2165" t="str">
            <v>牽牛星</v>
          </cell>
          <cell r="K2165" t="str">
            <v>天恍星</v>
          </cell>
        </row>
        <row r="2166">
          <cell r="H2166" t="str">
            <v>36+22</v>
          </cell>
          <cell r="I2166" t="str">
            <v>－</v>
          </cell>
          <cell r="J2166" t="str">
            <v>車騎星</v>
          </cell>
          <cell r="K2166" t="str">
            <v>天貴星</v>
          </cell>
        </row>
        <row r="2167">
          <cell r="H2167" t="str">
            <v>36+23</v>
          </cell>
          <cell r="I2167" t="str">
            <v>－</v>
          </cell>
          <cell r="J2167" t="str">
            <v>玉堂星</v>
          </cell>
          <cell r="K2167" t="str">
            <v>天印星</v>
          </cell>
        </row>
        <row r="2168">
          <cell r="H2168" t="str">
            <v>36+24</v>
          </cell>
          <cell r="I2168" t="str">
            <v>自刑</v>
          </cell>
          <cell r="J2168" t="str">
            <v>龍高星</v>
          </cell>
          <cell r="K2168" t="str">
            <v>天報星</v>
          </cell>
        </row>
        <row r="2169">
          <cell r="H2169" t="str">
            <v>36+25</v>
          </cell>
          <cell r="I2169" t="str">
            <v>準方位</v>
          </cell>
          <cell r="J2169" t="str">
            <v>石門星</v>
          </cell>
          <cell r="K2169" t="str">
            <v>天馳星</v>
          </cell>
        </row>
        <row r="2170">
          <cell r="H2170" t="str">
            <v>36+26</v>
          </cell>
          <cell r="I2170" t="str">
            <v>準方位</v>
          </cell>
          <cell r="J2170" t="str">
            <v>貫索星</v>
          </cell>
          <cell r="K2170" t="str">
            <v>天庫星</v>
          </cell>
        </row>
        <row r="2171">
          <cell r="H2171" t="str">
            <v>36+27</v>
          </cell>
          <cell r="I2171" t="str">
            <v>支合</v>
          </cell>
          <cell r="J2171" t="str">
            <v>調舒星</v>
          </cell>
          <cell r="K2171" t="str">
            <v>天極星</v>
          </cell>
        </row>
        <row r="2172">
          <cell r="H2172" t="str">
            <v>36+28</v>
          </cell>
          <cell r="I2172" t="str">
            <v>半会</v>
          </cell>
          <cell r="J2172" t="str">
            <v>鳳閣星</v>
          </cell>
          <cell r="K2172" t="str">
            <v>天胡星</v>
          </cell>
        </row>
        <row r="2173">
          <cell r="H2173" t="str">
            <v>36+29</v>
          </cell>
          <cell r="I2173" t="str">
            <v>－</v>
          </cell>
          <cell r="J2173" t="str">
            <v>司禄星</v>
          </cell>
          <cell r="K2173" t="str">
            <v>天堂星</v>
          </cell>
        </row>
        <row r="2174">
          <cell r="H2174" t="str">
            <v>36+30</v>
          </cell>
          <cell r="I2174" t="str">
            <v>天剋地冲</v>
          </cell>
          <cell r="J2174" t="str">
            <v>禄存星</v>
          </cell>
          <cell r="K2174" t="str">
            <v>天将星</v>
          </cell>
        </row>
        <row r="2175">
          <cell r="H2175" t="str">
            <v>36+31</v>
          </cell>
          <cell r="I2175" t="str">
            <v>－</v>
          </cell>
          <cell r="J2175" t="str">
            <v>牽牛星</v>
          </cell>
          <cell r="K2175" t="str">
            <v>天禄星</v>
          </cell>
        </row>
        <row r="2176">
          <cell r="H2176" t="str">
            <v>36+32</v>
          </cell>
          <cell r="I2176" t="str">
            <v>半会</v>
          </cell>
          <cell r="J2176" t="str">
            <v>車騎星</v>
          </cell>
          <cell r="K2176" t="str">
            <v>天南星</v>
          </cell>
        </row>
        <row r="2177">
          <cell r="H2177" t="str">
            <v>36+33</v>
          </cell>
          <cell r="I2177" t="str">
            <v>害</v>
          </cell>
          <cell r="J2177" t="str">
            <v>玉堂星</v>
          </cell>
          <cell r="K2177" t="str">
            <v>天恍星</v>
          </cell>
        </row>
        <row r="2178">
          <cell r="H2178" t="str">
            <v>36+34</v>
          </cell>
          <cell r="I2178" t="str">
            <v>－</v>
          </cell>
          <cell r="J2178" t="str">
            <v>龍高星</v>
          </cell>
          <cell r="K2178" t="str">
            <v>天貴星</v>
          </cell>
        </row>
        <row r="2179">
          <cell r="H2179" t="str">
            <v>36+35</v>
          </cell>
          <cell r="I2179" t="str">
            <v>－</v>
          </cell>
          <cell r="J2179" t="str">
            <v>石門星</v>
          </cell>
          <cell r="K2179" t="str">
            <v>天印星</v>
          </cell>
        </row>
        <row r="2180">
          <cell r="H2180" t="str">
            <v>36+36</v>
          </cell>
          <cell r="I2180" t="str">
            <v>律音</v>
          </cell>
          <cell r="J2180" t="str">
            <v>貫索星</v>
          </cell>
          <cell r="K2180" t="str">
            <v>天報星</v>
          </cell>
        </row>
        <row r="2181">
          <cell r="H2181" t="str">
            <v>36+37</v>
          </cell>
          <cell r="I2181" t="str">
            <v>準方位</v>
          </cell>
          <cell r="J2181" t="str">
            <v>調舒星</v>
          </cell>
          <cell r="K2181" t="str">
            <v>天馳星</v>
          </cell>
        </row>
        <row r="2182">
          <cell r="H2182" t="str">
            <v>36+38</v>
          </cell>
          <cell r="I2182" t="str">
            <v>準方位</v>
          </cell>
          <cell r="J2182" t="str">
            <v>鳳閣星</v>
          </cell>
          <cell r="K2182" t="str">
            <v>天庫星</v>
          </cell>
        </row>
        <row r="2183">
          <cell r="H2183" t="str">
            <v>36+39</v>
          </cell>
          <cell r="I2183" t="str">
            <v>支合</v>
          </cell>
          <cell r="J2183" t="str">
            <v>司禄星</v>
          </cell>
          <cell r="K2183" t="str">
            <v>天極星</v>
          </cell>
        </row>
        <row r="2184">
          <cell r="H2184" t="str">
            <v>36+40</v>
          </cell>
          <cell r="I2184" t="str">
            <v>半会</v>
          </cell>
          <cell r="J2184" t="str">
            <v>禄存星</v>
          </cell>
          <cell r="K2184" t="str">
            <v>天胡星</v>
          </cell>
        </row>
        <row r="2185">
          <cell r="H2185" t="str">
            <v>36+41</v>
          </cell>
          <cell r="I2185" t="str">
            <v>－</v>
          </cell>
          <cell r="J2185" t="str">
            <v>牽牛星</v>
          </cell>
          <cell r="K2185" t="str">
            <v>天堂星</v>
          </cell>
        </row>
        <row r="2186">
          <cell r="H2186" t="str">
            <v>36+42</v>
          </cell>
          <cell r="I2186" t="str">
            <v>天剋地冲</v>
          </cell>
          <cell r="J2186" t="str">
            <v>車騎星</v>
          </cell>
          <cell r="K2186" t="str">
            <v>天将星</v>
          </cell>
        </row>
        <row r="2187">
          <cell r="H2187" t="str">
            <v>36+43</v>
          </cell>
          <cell r="I2187" t="str">
            <v>－</v>
          </cell>
          <cell r="J2187" t="str">
            <v>玉堂星</v>
          </cell>
          <cell r="K2187" t="str">
            <v>天禄星</v>
          </cell>
        </row>
        <row r="2188">
          <cell r="H2188" t="str">
            <v>36+44</v>
          </cell>
          <cell r="I2188" t="str">
            <v>半会</v>
          </cell>
          <cell r="J2188" t="str">
            <v>龍高星</v>
          </cell>
          <cell r="K2188" t="str">
            <v>天南星</v>
          </cell>
        </row>
        <row r="2189">
          <cell r="H2189" t="str">
            <v>36+45</v>
          </cell>
          <cell r="I2189" t="str">
            <v>害</v>
          </cell>
          <cell r="J2189" t="str">
            <v>石門星</v>
          </cell>
          <cell r="K2189" t="str">
            <v>天恍星</v>
          </cell>
        </row>
        <row r="2190">
          <cell r="H2190" t="str">
            <v>36+46</v>
          </cell>
          <cell r="I2190" t="str">
            <v>－</v>
          </cell>
          <cell r="J2190" t="str">
            <v>貫索星</v>
          </cell>
          <cell r="K2190" t="str">
            <v>天貴星</v>
          </cell>
        </row>
        <row r="2191">
          <cell r="H2191" t="str">
            <v>36+47</v>
          </cell>
          <cell r="I2191" t="str">
            <v>－</v>
          </cell>
          <cell r="J2191" t="str">
            <v>調舒星</v>
          </cell>
          <cell r="K2191" t="str">
            <v>天印星</v>
          </cell>
        </row>
        <row r="2192">
          <cell r="H2192" t="str">
            <v>36+48</v>
          </cell>
          <cell r="I2192" t="str">
            <v>自刑</v>
          </cell>
          <cell r="J2192" t="str">
            <v>鳳閣星</v>
          </cell>
          <cell r="K2192" t="str">
            <v>天報星</v>
          </cell>
        </row>
        <row r="2193">
          <cell r="H2193" t="str">
            <v>36+49</v>
          </cell>
          <cell r="I2193" t="str">
            <v>準方位</v>
          </cell>
          <cell r="J2193" t="str">
            <v>司禄星</v>
          </cell>
          <cell r="K2193" t="str">
            <v>天馳星</v>
          </cell>
        </row>
        <row r="2194">
          <cell r="H2194" t="str">
            <v>36+50</v>
          </cell>
          <cell r="I2194" t="str">
            <v>準方位</v>
          </cell>
          <cell r="J2194" t="str">
            <v>禄存星</v>
          </cell>
          <cell r="K2194" t="str">
            <v>天庫星</v>
          </cell>
        </row>
        <row r="2195">
          <cell r="H2195" t="str">
            <v>36+51</v>
          </cell>
          <cell r="I2195" t="str">
            <v>支合</v>
          </cell>
          <cell r="J2195" t="str">
            <v>牽牛星</v>
          </cell>
          <cell r="K2195" t="str">
            <v>天極星</v>
          </cell>
        </row>
        <row r="2196">
          <cell r="H2196" t="str">
            <v>36+52</v>
          </cell>
          <cell r="I2196" t="str">
            <v>半会</v>
          </cell>
          <cell r="J2196" t="str">
            <v>車騎星</v>
          </cell>
          <cell r="K2196" t="str">
            <v>天胡星</v>
          </cell>
        </row>
        <row r="2197">
          <cell r="H2197" t="str">
            <v>36+53</v>
          </cell>
          <cell r="I2197" t="str">
            <v>－</v>
          </cell>
          <cell r="J2197" t="str">
            <v>玉堂星</v>
          </cell>
          <cell r="K2197" t="str">
            <v>天堂星</v>
          </cell>
        </row>
        <row r="2198">
          <cell r="H2198" t="str">
            <v>36+54</v>
          </cell>
          <cell r="I2198" t="str">
            <v>対冲</v>
          </cell>
          <cell r="J2198" t="str">
            <v>龍高星</v>
          </cell>
          <cell r="K2198" t="str">
            <v>天将星</v>
          </cell>
        </row>
        <row r="2199">
          <cell r="H2199" t="str">
            <v>36+55</v>
          </cell>
          <cell r="I2199" t="str">
            <v>－</v>
          </cell>
          <cell r="J2199" t="str">
            <v>石門星</v>
          </cell>
          <cell r="K2199" t="str">
            <v>天禄星</v>
          </cell>
        </row>
        <row r="2200">
          <cell r="H2200" t="str">
            <v>36+56</v>
          </cell>
          <cell r="I2200" t="str">
            <v>大半会</v>
          </cell>
          <cell r="J2200" t="str">
            <v>貫索星</v>
          </cell>
          <cell r="K2200" t="str">
            <v>天南星</v>
          </cell>
        </row>
        <row r="2201">
          <cell r="H2201" t="str">
            <v>36+57</v>
          </cell>
          <cell r="I2201" t="str">
            <v>害</v>
          </cell>
          <cell r="J2201" t="str">
            <v>調舒星</v>
          </cell>
          <cell r="K2201" t="str">
            <v>天恍星</v>
          </cell>
        </row>
        <row r="2202">
          <cell r="H2202" t="str">
            <v>36+58</v>
          </cell>
          <cell r="I2202" t="str">
            <v>－</v>
          </cell>
          <cell r="J2202" t="str">
            <v>鳳閣星</v>
          </cell>
          <cell r="K2202" t="str">
            <v>天貴星</v>
          </cell>
        </row>
        <row r="2203">
          <cell r="H2203" t="str">
            <v>36+59</v>
          </cell>
          <cell r="I2203" t="str">
            <v>－</v>
          </cell>
          <cell r="J2203" t="str">
            <v>司禄星</v>
          </cell>
          <cell r="K2203" t="str">
            <v>天印星</v>
          </cell>
        </row>
        <row r="2204">
          <cell r="H2204" t="str">
            <v>36+60</v>
          </cell>
          <cell r="I2204" t="str">
            <v>自刑</v>
          </cell>
          <cell r="J2204" t="str">
            <v>禄存星</v>
          </cell>
          <cell r="K2204" t="str">
            <v>天報星</v>
          </cell>
        </row>
        <row r="2205">
          <cell r="H2205" t="str">
            <v>37+1</v>
          </cell>
          <cell r="I2205" t="str">
            <v>同</v>
          </cell>
          <cell r="J2205" t="str">
            <v>禄存星</v>
          </cell>
          <cell r="K2205" t="str">
            <v>天極星</v>
          </cell>
        </row>
        <row r="2206">
          <cell r="H2206" t="str">
            <v>37+2</v>
          </cell>
          <cell r="I2206" t="str">
            <v>支合</v>
          </cell>
          <cell r="J2206" t="str">
            <v>司禄星</v>
          </cell>
          <cell r="K2206" t="str">
            <v>天庫星</v>
          </cell>
        </row>
        <row r="2207">
          <cell r="H2207" t="str">
            <v>37+3</v>
          </cell>
          <cell r="I2207" t="str">
            <v>－</v>
          </cell>
          <cell r="J2207" t="str">
            <v>車騎星</v>
          </cell>
          <cell r="K2207" t="str">
            <v>天馳星</v>
          </cell>
        </row>
        <row r="2208">
          <cell r="H2208" t="str">
            <v>37+4</v>
          </cell>
          <cell r="I2208" t="str">
            <v>刑</v>
          </cell>
          <cell r="J2208" t="str">
            <v>牽牛星</v>
          </cell>
          <cell r="K2208" t="str">
            <v>天報星</v>
          </cell>
        </row>
        <row r="2209">
          <cell r="H2209" t="str">
            <v>37+5</v>
          </cell>
          <cell r="I2209" t="str">
            <v>半会</v>
          </cell>
          <cell r="J2209" t="str">
            <v>龍高星</v>
          </cell>
          <cell r="K2209" t="str">
            <v>天印星</v>
          </cell>
        </row>
        <row r="2210">
          <cell r="H2210" t="str">
            <v>37+6</v>
          </cell>
          <cell r="I2210" t="str">
            <v>－</v>
          </cell>
          <cell r="J2210" t="str">
            <v>玉堂星</v>
          </cell>
          <cell r="K2210" t="str">
            <v>天貴星</v>
          </cell>
        </row>
        <row r="2211">
          <cell r="H2211" t="str">
            <v>37+7</v>
          </cell>
          <cell r="I2211" t="str">
            <v>納音</v>
          </cell>
          <cell r="J2211" t="str">
            <v>貫索星</v>
          </cell>
          <cell r="K2211" t="str">
            <v>天恍星</v>
          </cell>
        </row>
        <row r="2212">
          <cell r="H2212" t="str">
            <v>37+8</v>
          </cell>
          <cell r="I2212" t="str">
            <v>害</v>
          </cell>
          <cell r="J2212" t="str">
            <v>石門星</v>
          </cell>
          <cell r="K2212" t="str">
            <v>天南星</v>
          </cell>
        </row>
        <row r="2213">
          <cell r="H2213" t="str">
            <v>37+9</v>
          </cell>
          <cell r="I2213" t="str">
            <v>半会</v>
          </cell>
          <cell r="J2213" t="str">
            <v>鳳閣星</v>
          </cell>
          <cell r="K2213" t="str">
            <v>天禄星</v>
          </cell>
        </row>
        <row r="2214">
          <cell r="H2214" t="str">
            <v>37+10</v>
          </cell>
          <cell r="I2214" t="str">
            <v>破</v>
          </cell>
          <cell r="J2214" t="str">
            <v>調舒星</v>
          </cell>
          <cell r="K2214" t="str">
            <v>天将星</v>
          </cell>
        </row>
        <row r="2215">
          <cell r="H2215" t="str">
            <v>37+11</v>
          </cell>
          <cell r="I2215" t="str">
            <v>－</v>
          </cell>
          <cell r="J2215" t="str">
            <v>禄存星</v>
          </cell>
          <cell r="K2215" t="str">
            <v>天堂星</v>
          </cell>
        </row>
        <row r="2216">
          <cell r="H2216" t="str">
            <v>37+12</v>
          </cell>
          <cell r="I2216" t="str">
            <v>準方位</v>
          </cell>
          <cell r="J2216" t="str">
            <v>司禄星</v>
          </cell>
          <cell r="K2216" t="str">
            <v>天胡星</v>
          </cell>
        </row>
        <row r="2217">
          <cell r="H2217" t="str">
            <v>37+13</v>
          </cell>
          <cell r="I2217" t="str">
            <v>同</v>
          </cell>
          <cell r="J2217" t="str">
            <v>車騎星</v>
          </cell>
          <cell r="K2217" t="str">
            <v>天極星</v>
          </cell>
        </row>
        <row r="2218">
          <cell r="H2218" t="str">
            <v>37+14</v>
          </cell>
          <cell r="I2218" t="str">
            <v>支合</v>
          </cell>
          <cell r="J2218" t="str">
            <v>牽牛星</v>
          </cell>
          <cell r="K2218" t="str">
            <v>天庫星</v>
          </cell>
        </row>
        <row r="2219">
          <cell r="H2219" t="str">
            <v>37+15</v>
          </cell>
          <cell r="I2219" t="str">
            <v>－</v>
          </cell>
          <cell r="J2219" t="str">
            <v>龍高星</v>
          </cell>
          <cell r="K2219" t="str">
            <v>天馳星</v>
          </cell>
        </row>
        <row r="2220">
          <cell r="H2220" t="str">
            <v>37+16</v>
          </cell>
          <cell r="I2220" t="str">
            <v>刑</v>
          </cell>
          <cell r="J2220" t="str">
            <v>玉堂星</v>
          </cell>
          <cell r="K2220" t="str">
            <v>天報星</v>
          </cell>
        </row>
        <row r="2221">
          <cell r="H2221" t="str">
            <v>37+17</v>
          </cell>
          <cell r="I2221" t="str">
            <v>大半会</v>
          </cell>
          <cell r="J2221" t="str">
            <v>貫索星</v>
          </cell>
          <cell r="K2221" t="str">
            <v>天印星</v>
          </cell>
        </row>
        <row r="2222">
          <cell r="H2222" t="str">
            <v>37+18</v>
          </cell>
          <cell r="I2222" t="str">
            <v>－</v>
          </cell>
          <cell r="J2222" t="str">
            <v>石門星</v>
          </cell>
          <cell r="K2222" t="str">
            <v>天貴星</v>
          </cell>
        </row>
        <row r="2223">
          <cell r="H2223" t="str">
            <v>37+19</v>
          </cell>
          <cell r="I2223" t="str">
            <v>対冲</v>
          </cell>
          <cell r="J2223" t="str">
            <v>鳳閣星</v>
          </cell>
          <cell r="K2223" t="str">
            <v>天恍星</v>
          </cell>
        </row>
        <row r="2224">
          <cell r="H2224" t="str">
            <v>37+20</v>
          </cell>
          <cell r="I2224" t="str">
            <v>害</v>
          </cell>
          <cell r="J2224" t="str">
            <v>調舒星</v>
          </cell>
          <cell r="K2224" t="str">
            <v>天南星</v>
          </cell>
        </row>
        <row r="2225">
          <cell r="H2225" t="str">
            <v>37+21</v>
          </cell>
          <cell r="I2225" t="str">
            <v>半会</v>
          </cell>
          <cell r="J2225" t="str">
            <v>禄存星</v>
          </cell>
          <cell r="K2225" t="str">
            <v>天禄星</v>
          </cell>
        </row>
        <row r="2226">
          <cell r="H2226" t="str">
            <v>37+22</v>
          </cell>
          <cell r="I2226" t="str">
            <v>破</v>
          </cell>
          <cell r="J2226" t="str">
            <v>司禄星</v>
          </cell>
          <cell r="K2226" t="str">
            <v>天将星</v>
          </cell>
        </row>
        <row r="2227">
          <cell r="H2227" t="str">
            <v>37+23</v>
          </cell>
          <cell r="I2227" t="str">
            <v>－</v>
          </cell>
          <cell r="J2227" t="str">
            <v>車騎星</v>
          </cell>
          <cell r="K2227" t="str">
            <v>天堂星</v>
          </cell>
        </row>
        <row r="2228">
          <cell r="H2228" t="str">
            <v>37+24</v>
          </cell>
          <cell r="I2228" t="str">
            <v>準方位</v>
          </cell>
          <cell r="J2228" t="str">
            <v>牽牛星</v>
          </cell>
          <cell r="K2228" t="str">
            <v>天胡星</v>
          </cell>
        </row>
        <row r="2229">
          <cell r="H2229" t="str">
            <v>37+25</v>
          </cell>
          <cell r="I2229" t="str">
            <v>同</v>
          </cell>
          <cell r="J2229" t="str">
            <v>龍高星</v>
          </cell>
          <cell r="K2229" t="str">
            <v>天極星</v>
          </cell>
        </row>
        <row r="2230">
          <cell r="H2230" t="str">
            <v>37+26</v>
          </cell>
          <cell r="I2230" t="str">
            <v>支合</v>
          </cell>
          <cell r="J2230" t="str">
            <v>玉堂星</v>
          </cell>
          <cell r="K2230" t="str">
            <v>天庫星</v>
          </cell>
        </row>
        <row r="2231">
          <cell r="H2231" t="str">
            <v>37+27</v>
          </cell>
          <cell r="I2231" t="str">
            <v>－</v>
          </cell>
          <cell r="J2231" t="str">
            <v>貫索星</v>
          </cell>
          <cell r="K2231" t="str">
            <v>天馳星</v>
          </cell>
        </row>
        <row r="2232">
          <cell r="H2232" t="str">
            <v>37+28</v>
          </cell>
          <cell r="I2232" t="str">
            <v>刑</v>
          </cell>
          <cell r="J2232" t="str">
            <v>石門星</v>
          </cell>
          <cell r="K2232" t="str">
            <v>天報星</v>
          </cell>
        </row>
        <row r="2233">
          <cell r="H2233" t="str">
            <v>37+29</v>
          </cell>
          <cell r="I2233" t="str">
            <v>半会</v>
          </cell>
          <cell r="J2233" t="str">
            <v>鳳閣星</v>
          </cell>
          <cell r="K2233" t="str">
            <v>天印星</v>
          </cell>
        </row>
        <row r="2234">
          <cell r="H2234" t="str">
            <v>37+30</v>
          </cell>
          <cell r="I2234" t="str">
            <v>－</v>
          </cell>
          <cell r="J2234" t="str">
            <v>調舒星</v>
          </cell>
          <cell r="K2234" t="str">
            <v>天貴星</v>
          </cell>
        </row>
        <row r="2235">
          <cell r="H2235" t="str">
            <v>37+31</v>
          </cell>
          <cell r="I2235" t="str">
            <v>天剋地冲</v>
          </cell>
          <cell r="J2235" t="str">
            <v>禄存星</v>
          </cell>
          <cell r="K2235" t="str">
            <v>天恍星</v>
          </cell>
        </row>
        <row r="2236">
          <cell r="H2236" t="str">
            <v>37+32</v>
          </cell>
          <cell r="I2236" t="str">
            <v>害</v>
          </cell>
          <cell r="J2236" t="str">
            <v>司禄星</v>
          </cell>
          <cell r="K2236" t="str">
            <v>天南星</v>
          </cell>
        </row>
        <row r="2237">
          <cell r="H2237" t="str">
            <v>37+33</v>
          </cell>
          <cell r="I2237" t="str">
            <v>半会</v>
          </cell>
          <cell r="J2237" t="str">
            <v>車騎星</v>
          </cell>
          <cell r="K2237" t="str">
            <v>天禄星</v>
          </cell>
        </row>
        <row r="2238">
          <cell r="H2238" t="str">
            <v>37+34</v>
          </cell>
          <cell r="I2238" t="str">
            <v>破</v>
          </cell>
          <cell r="J2238" t="str">
            <v>牽牛星</v>
          </cell>
          <cell r="K2238" t="str">
            <v>天将星</v>
          </cell>
        </row>
        <row r="2239">
          <cell r="H2239" t="str">
            <v>37+35</v>
          </cell>
          <cell r="I2239" t="str">
            <v>－</v>
          </cell>
          <cell r="J2239" t="str">
            <v>龍高星</v>
          </cell>
          <cell r="K2239" t="str">
            <v>天堂星</v>
          </cell>
        </row>
        <row r="2240">
          <cell r="H2240" t="str">
            <v>37+36</v>
          </cell>
          <cell r="I2240" t="str">
            <v>準方位</v>
          </cell>
          <cell r="J2240" t="str">
            <v>玉堂星</v>
          </cell>
          <cell r="K2240" t="str">
            <v>天胡星</v>
          </cell>
        </row>
        <row r="2241">
          <cell r="H2241" t="str">
            <v>37+37</v>
          </cell>
          <cell r="I2241" t="str">
            <v>律音</v>
          </cell>
          <cell r="J2241" t="str">
            <v>貫索星</v>
          </cell>
          <cell r="K2241" t="str">
            <v>天極星</v>
          </cell>
        </row>
        <row r="2242">
          <cell r="H2242" t="str">
            <v>37+38</v>
          </cell>
          <cell r="I2242" t="str">
            <v>支合</v>
          </cell>
          <cell r="J2242" t="str">
            <v>石門星</v>
          </cell>
          <cell r="K2242" t="str">
            <v>天庫星</v>
          </cell>
        </row>
        <row r="2243">
          <cell r="H2243" t="str">
            <v>37+39</v>
          </cell>
          <cell r="I2243" t="str">
            <v>－</v>
          </cell>
          <cell r="J2243" t="str">
            <v>鳳閣星</v>
          </cell>
          <cell r="K2243" t="str">
            <v>天馳星</v>
          </cell>
        </row>
        <row r="2244">
          <cell r="H2244" t="str">
            <v>37+40</v>
          </cell>
          <cell r="I2244" t="str">
            <v>刑</v>
          </cell>
          <cell r="J2244" t="str">
            <v>調舒星</v>
          </cell>
          <cell r="K2244" t="str">
            <v>天報星</v>
          </cell>
        </row>
        <row r="2245">
          <cell r="H2245" t="str">
            <v>37+41</v>
          </cell>
          <cell r="I2245" t="str">
            <v>半会</v>
          </cell>
          <cell r="J2245" t="str">
            <v>禄存星</v>
          </cell>
          <cell r="K2245" t="str">
            <v>天印星</v>
          </cell>
        </row>
        <row r="2246">
          <cell r="H2246" t="str">
            <v>37+42</v>
          </cell>
          <cell r="I2246" t="str">
            <v>－</v>
          </cell>
          <cell r="J2246" t="str">
            <v>司禄星</v>
          </cell>
          <cell r="K2246" t="str">
            <v>天貴星</v>
          </cell>
        </row>
        <row r="2247">
          <cell r="H2247" t="str">
            <v>37+43</v>
          </cell>
          <cell r="I2247" t="str">
            <v>天剋地冲</v>
          </cell>
          <cell r="J2247" t="str">
            <v>車騎星</v>
          </cell>
          <cell r="K2247" t="str">
            <v>天恍星</v>
          </cell>
        </row>
        <row r="2248">
          <cell r="H2248" t="str">
            <v>37+44</v>
          </cell>
          <cell r="I2248" t="str">
            <v>害</v>
          </cell>
          <cell r="J2248" t="str">
            <v>牽牛星</v>
          </cell>
          <cell r="K2248" t="str">
            <v>天南星</v>
          </cell>
        </row>
        <row r="2249">
          <cell r="H2249" t="str">
            <v>37+45</v>
          </cell>
          <cell r="I2249" t="str">
            <v>半会</v>
          </cell>
          <cell r="J2249" t="str">
            <v>龍高星</v>
          </cell>
          <cell r="K2249" t="str">
            <v>天禄星</v>
          </cell>
        </row>
        <row r="2250">
          <cell r="H2250" t="str">
            <v>37+46</v>
          </cell>
          <cell r="I2250" t="str">
            <v>破</v>
          </cell>
          <cell r="J2250" t="str">
            <v>玉堂星</v>
          </cell>
          <cell r="K2250" t="str">
            <v>天将星</v>
          </cell>
        </row>
        <row r="2251">
          <cell r="H2251" t="str">
            <v>37+47</v>
          </cell>
          <cell r="I2251" t="str">
            <v>－</v>
          </cell>
          <cell r="J2251" t="str">
            <v>貫索星</v>
          </cell>
          <cell r="K2251" t="str">
            <v>天堂星</v>
          </cell>
        </row>
        <row r="2252">
          <cell r="H2252" t="str">
            <v>37+48</v>
          </cell>
          <cell r="I2252" t="str">
            <v>準方位</v>
          </cell>
          <cell r="J2252" t="str">
            <v>石門星</v>
          </cell>
          <cell r="K2252" t="str">
            <v>天胡星</v>
          </cell>
        </row>
        <row r="2253">
          <cell r="H2253" t="str">
            <v>37+49</v>
          </cell>
          <cell r="I2253" t="str">
            <v>同</v>
          </cell>
          <cell r="J2253" t="str">
            <v>鳳閣星</v>
          </cell>
          <cell r="K2253" t="str">
            <v>天極星</v>
          </cell>
        </row>
        <row r="2254">
          <cell r="H2254" t="str">
            <v>37+50</v>
          </cell>
          <cell r="I2254" t="str">
            <v>支合</v>
          </cell>
          <cell r="J2254" t="str">
            <v>調舒星</v>
          </cell>
          <cell r="K2254" t="str">
            <v>天庫星</v>
          </cell>
        </row>
        <row r="2255">
          <cell r="H2255" t="str">
            <v>37+51</v>
          </cell>
          <cell r="I2255" t="str">
            <v>－</v>
          </cell>
          <cell r="J2255" t="str">
            <v>禄存星</v>
          </cell>
          <cell r="K2255" t="str">
            <v>天馳星</v>
          </cell>
        </row>
        <row r="2256">
          <cell r="H2256" t="str">
            <v>37+52</v>
          </cell>
          <cell r="I2256" t="str">
            <v>刑</v>
          </cell>
          <cell r="J2256" t="str">
            <v>司禄星</v>
          </cell>
          <cell r="K2256" t="str">
            <v>天報星</v>
          </cell>
        </row>
        <row r="2257">
          <cell r="H2257" t="str">
            <v>37+53</v>
          </cell>
          <cell r="I2257" t="str">
            <v>半会</v>
          </cell>
          <cell r="J2257" t="str">
            <v>車騎星</v>
          </cell>
          <cell r="K2257" t="str">
            <v>天印星</v>
          </cell>
        </row>
        <row r="2258">
          <cell r="H2258" t="str">
            <v>37+54</v>
          </cell>
          <cell r="I2258" t="str">
            <v>－</v>
          </cell>
          <cell r="J2258" t="str">
            <v>牽牛星</v>
          </cell>
          <cell r="K2258" t="str">
            <v>天貴星</v>
          </cell>
        </row>
        <row r="2259">
          <cell r="H2259" t="str">
            <v>37+55</v>
          </cell>
          <cell r="I2259" t="str">
            <v>対冲</v>
          </cell>
          <cell r="J2259" t="str">
            <v>龍高星</v>
          </cell>
          <cell r="K2259" t="str">
            <v>天恍星</v>
          </cell>
        </row>
        <row r="2260">
          <cell r="H2260" t="str">
            <v>37+56</v>
          </cell>
          <cell r="I2260" t="str">
            <v>害</v>
          </cell>
          <cell r="J2260" t="str">
            <v>玉堂星</v>
          </cell>
          <cell r="K2260" t="str">
            <v>天南星</v>
          </cell>
        </row>
        <row r="2261">
          <cell r="H2261" t="str">
            <v>37+57</v>
          </cell>
          <cell r="I2261" t="str">
            <v>大半会</v>
          </cell>
          <cell r="J2261" t="str">
            <v>貫索星</v>
          </cell>
          <cell r="K2261" t="str">
            <v>天禄星</v>
          </cell>
        </row>
        <row r="2262">
          <cell r="H2262" t="str">
            <v>37+58</v>
          </cell>
          <cell r="I2262" t="str">
            <v>破</v>
          </cell>
          <cell r="J2262" t="str">
            <v>石門星</v>
          </cell>
          <cell r="K2262" t="str">
            <v>天将星</v>
          </cell>
        </row>
        <row r="2263">
          <cell r="H2263" t="str">
            <v>37+59</v>
          </cell>
          <cell r="I2263" t="str">
            <v>－</v>
          </cell>
          <cell r="J2263" t="str">
            <v>鳳閣星</v>
          </cell>
          <cell r="K2263" t="str">
            <v>天堂星</v>
          </cell>
        </row>
        <row r="2264">
          <cell r="H2264" t="str">
            <v>37+60</v>
          </cell>
          <cell r="I2264" t="str">
            <v>準方位</v>
          </cell>
          <cell r="J2264" t="str">
            <v>調舒星</v>
          </cell>
          <cell r="K2264" t="str">
            <v>天胡星</v>
          </cell>
        </row>
        <row r="2265">
          <cell r="H2265" t="str">
            <v>38+1</v>
          </cell>
          <cell r="I2265" t="str">
            <v>支合</v>
          </cell>
          <cell r="J2265" t="str">
            <v>司禄星</v>
          </cell>
          <cell r="K2265" t="str">
            <v>天貴星</v>
          </cell>
        </row>
        <row r="2266">
          <cell r="H2266" t="str">
            <v>38+2</v>
          </cell>
          <cell r="I2266" t="str">
            <v>同</v>
          </cell>
          <cell r="J2266" t="str">
            <v>禄存星</v>
          </cell>
          <cell r="K2266" t="str">
            <v>天印星</v>
          </cell>
        </row>
        <row r="2267">
          <cell r="H2267" t="str">
            <v>38+3</v>
          </cell>
          <cell r="I2267" t="str">
            <v>－</v>
          </cell>
          <cell r="J2267" t="str">
            <v>牽牛星</v>
          </cell>
          <cell r="K2267" t="str">
            <v>天報星</v>
          </cell>
        </row>
        <row r="2268">
          <cell r="H2268" t="str">
            <v>38+4</v>
          </cell>
          <cell r="I2268" t="str">
            <v>－</v>
          </cell>
          <cell r="J2268" t="str">
            <v>車騎星</v>
          </cell>
          <cell r="K2268" t="str">
            <v>天馳星</v>
          </cell>
        </row>
        <row r="2269">
          <cell r="H2269" t="str">
            <v>38+5</v>
          </cell>
          <cell r="I2269" t="str">
            <v>破</v>
          </cell>
          <cell r="J2269" t="str">
            <v>玉堂星</v>
          </cell>
          <cell r="K2269" t="str">
            <v>天庫星</v>
          </cell>
        </row>
        <row r="2270">
          <cell r="H2270" t="str">
            <v>38+6</v>
          </cell>
          <cell r="I2270" t="str">
            <v>半会</v>
          </cell>
          <cell r="J2270" t="str">
            <v>龍高星</v>
          </cell>
          <cell r="K2270" t="str">
            <v>天極星</v>
          </cell>
        </row>
        <row r="2271">
          <cell r="H2271" t="str">
            <v>38+7</v>
          </cell>
          <cell r="I2271" t="str">
            <v>害</v>
          </cell>
          <cell r="J2271" t="str">
            <v>石門星</v>
          </cell>
          <cell r="K2271" t="str">
            <v>天胡星</v>
          </cell>
        </row>
        <row r="2272">
          <cell r="H2272" t="str">
            <v>38+8</v>
          </cell>
          <cell r="I2272" t="str">
            <v>納音</v>
          </cell>
          <cell r="J2272" t="str">
            <v>貫索星</v>
          </cell>
          <cell r="K2272" t="str">
            <v>天堂星</v>
          </cell>
        </row>
        <row r="2273">
          <cell r="H2273" t="str">
            <v>38+9</v>
          </cell>
          <cell r="I2273" t="str">
            <v>－</v>
          </cell>
          <cell r="J2273" t="str">
            <v>調舒星</v>
          </cell>
          <cell r="K2273" t="str">
            <v>天将星</v>
          </cell>
        </row>
        <row r="2274">
          <cell r="H2274" t="str">
            <v>38+10</v>
          </cell>
          <cell r="I2274" t="str">
            <v>半会</v>
          </cell>
          <cell r="J2274" t="str">
            <v>鳳閣星</v>
          </cell>
          <cell r="K2274" t="str">
            <v>天禄星</v>
          </cell>
        </row>
        <row r="2275">
          <cell r="H2275" t="str">
            <v>38+11</v>
          </cell>
          <cell r="I2275" t="str">
            <v>刑</v>
          </cell>
          <cell r="J2275" t="str">
            <v>司禄星</v>
          </cell>
          <cell r="K2275" t="str">
            <v>天南星</v>
          </cell>
        </row>
        <row r="2276">
          <cell r="H2276" t="str">
            <v>38+12</v>
          </cell>
          <cell r="I2276" t="str">
            <v>準方位</v>
          </cell>
          <cell r="J2276" t="str">
            <v>禄存星</v>
          </cell>
          <cell r="K2276" t="str">
            <v>天恍星</v>
          </cell>
        </row>
        <row r="2277">
          <cell r="H2277" t="str">
            <v>38+13</v>
          </cell>
          <cell r="I2277" t="str">
            <v>支合</v>
          </cell>
          <cell r="J2277" t="str">
            <v>牽牛星</v>
          </cell>
          <cell r="K2277" t="str">
            <v>天貴星</v>
          </cell>
        </row>
        <row r="2278">
          <cell r="H2278" t="str">
            <v>38+14</v>
          </cell>
          <cell r="I2278" t="str">
            <v>同</v>
          </cell>
          <cell r="J2278" t="str">
            <v>車騎星</v>
          </cell>
          <cell r="K2278" t="str">
            <v>天印星</v>
          </cell>
        </row>
        <row r="2279">
          <cell r="H2279" t="str">
            <v>38+15</v>
          </cell>
          <cell r="I2279" t="str">
            <v>－</v>
          </cell>
          <cell r="J2279" t="str">
            <v>玉堂星</v>
          </cell>
          <cell r="K2279" t="str">
            <v>天報星</v>
          </cell>
        </row>
        <row r="2280">
          <cell r="H2280" t="str">
            <v>38+16</v>
          </cell>
          <cell r="I2280" t="str">
            <v>－</v>
          </cell>
          <cell r="J2280" t="str">
            <v>龍高星</v>
          </cell>
          <cell r="K2280" t="str">
            <v>天馳星</v>
          </cell>
        </row>
        <row r="2281">
          <cell r="H2281" t="str">
            <v>38+17</v>
          </cell>
          <cell r="I2281" t="str">
            <v>破</v>
          </cell>
          <cell r="J2281" t="str">
            <v>石門星</v>
          </cell>
          <cell r="K2281" t="str">
            <v>天庫星</v>
          </cell>
        </row>
        <row r="2282">
          <cell r="H2282" t="str">
            <v>38+18</v>
          </cell>
          <cell r="I2282" t="str">
            <v>大半会</v>
          </cell>
          <cell r="J2282" t="str">
            <v>貫索星</v>
          </cell>
          <cell r="K2282" t="str">
            <v>天極星</v>
          </cell>
        </row>
        <row r="2283">
          <cell r="H2283" t="str">
            <v>38+19</v>
          </cell>
          <cell r="I2283" t="str">
            <v>害</v>
          </cell>
          <cell r="J2283" t="str">
            <v>調舒星</v>
          </cell>
          <cell r="K2283" t="str">
            <v>天胡星</v>
          </cell>
        </row>
        <row r="2284">
          <cell r="H2284" t="str">
            <v>38+20</v>
          </cell>
          <cell r="I2284" t="str">
            <v>対冲</v>
          </cell>
          <cell r="J2284" t="str">
            <v>鳳閣星</v>
          </cell>
          <cell r="K2284" t="str">
            <v>天堂星</v>
          </cell>
        </row>
        <row r="2285">
          <cell r="H2285" t="str">
            <v>38+21</v>
          </cell>
          <cell r="I2285" t="str">
            <v>－</v>
          </cell>
          <cell r="J2285" t="str">
            <v>司禄星</v>
          </cell>
          <cell r="K2285" t="str">
            <v>天将星</v>
          </cell>
        </row>
        <row r="2286">
          <cell r="H2286" t="str">
            <v>38+22</v>
          </cell>
          <cell r="I2286" t="str">
            <v>半会</v>
          </cell>
          <cell r="J2286" t="str">
            <v>禄存星</v>
          </cell>
          <cell r="K2286" t="str">
            <v>天禄星</v>
          </cell>
        </row>
        <row r="2287">
          <cell r="H2287" t="str">
            <v>38+23</v>
          </cell>
          <cell r="I2287" t="str">
            <v>刑</v>
          </cell>
          <cell r="J2287" t="str">
            <v>牽牛星</v>
          </cell>
          <cell r="K2287" t="str">
            <v>天南星</v>
          </cell>
        </row>
        <row r="2288">
          <cell r="H2288" t="str">
            <v>38+24</v>
          </cell>
          <cell r="I2288" t="str">
            <v>準方位</v>
          </cell>
          <cell r="J2288" t="str">
            <v>車騎星</v>
          </cell>
          <cell r="K2288" t="str">
            <v>天恍星</v>
          </cell>
        </row>
        <row r="2289">
          <cell r="H2289" t="str">
            <v>38+25</v>
          </cell>
          <cell r="I2289" t="str">
            <v>支合</v>
          </cell>
          <cell r="J2289" t="str">
            <v>玉堂星</v>
          </cell>
          <cell r="K2289" t="str">
            <v>天貴星</v>
          </cell>
        </row>
        <row r="2290">
          <cell r="H2290" t="str">
            <v>38+26</v>
          </cell>
          <cell r="I2290" t="str">
            <v>同</v>
          </cell>
          <cell r="J2290" t="str">
            <v>龍高星</v>
          </cell>
          <cell r="K2290" t="str">
            <v>天印星</v>
          </cell>
        </row>
        <row r="2291">
          <cell r="H2291" t="str">
            <v>38+27</v>
          </cell>
          <cell r="I2291" t="str">
            <v>－</v>
          </cell>
          <cell r="J2291" t="str">
            <v>石門星</v>
          </cell>
          <cell r="K2291" t="str">
            <v>天報星</v>
          </cell>
        </row>
        <row r="2292">
          <cell r="H2292" t="str">
            <v>38+28</v>
          </cell>
          <cell r="I2292" t="str">
            <v>－</v>
          </cell>
          <cell r="J2292" t="str">
            <v>貫索星</v>
          </cell>
          <cell r="K2292" t="str">
            <v>天馳星</v>
          </cell>
        </row>
        <row r="2293">
          <cell r="H2293" t="str">
            <v>38+29</v>
          </cell>
          <cell r="I2293" t="str">
            <v>破</v>
          </cell>
          <cell r="J2293" t="str">
            <v>調舒星</v>
          </cell>
          <cell r="K2293" t="str">
            <v>天庫星</v>
          </cell>
        </row>
        <row r="2294">
          <cell r="H2294" t="str">
            <v>38+30</v>
          </cell>
          <cell r="I2294" t="str">
            <v>半会</v>
          </cell>
          <cell r="J2294" t="str">
            <v>鳳閣星</v>
          </cell>
          <cell r="K2294" t="str">
            <v>天極星</v>
          </cell>
        </row>
        <row r="2295">
          <cell r="H2295" t="str">
            <v>38+31</v>
          </cell>
          <cell r="I2295" t="str">
            <v>害</v>
          </cell>
          <cell r="J2295" t="str">
            <v>司禄星</v>
          </cell>
          <cell r="K2295" t="str">
            <v>天胡星</v>
          </cell>
        </row>
        <row r="2296">
          <cell r="H2296" t="str">
            <v>38+32</v>
          </cell>
          <cell r="I2296" t="str">
            <v>天剋地冲</v>
          </cell>
          <cell r="J2296" t="str">
            <v>禄存星</v>
          </cell>
          <cell r="K2296" t="str">
            <v>天堂星</v>
          </cell>
        </row>
        <row r="2297">
          <cell r="H2297" t="str">
            <v>38+33</v>
          </cell>
          <cell r="I2297" t="str">
            <v>－</v>
          </cell>
          <cell r="J2297" t="str">
            <v>牽牛星</v>
          </cell>
          <cell r="K2297" t="str">
            <v>天将星</v>
          </cell>
        </row>
        <row r="2298">
          <cell r="H2298" t="str">
            <v>38+34</v>
          </cell>
          <cell r="I2298" t="str">
            <v>半会</v>
          </cell>
          <cell r="J2298" t="str">
            <v>車騎星</v>
          </cell>
          <cell r="K2298" t="str">
            <v>天禄星</v>
          </cell>
        </row>
        <row r="2299">
          <cell r="H2299" t="str">
            <v>38+35</v>
          </cell>
          <cell r="I2299" t="str">
            <v>刑</v>
          </cell>
          <cell r="J2299" t="str">
            <v>玉堂星</v>
          </cell>
          <cell r="K2299" t="str">
            <v>天南星</v>
          </cell>
        </row>
        <row r="2300">
          <cell r="H2300" t="str">
            <v>38+36</v>
          </cell>
          <cell r="I2300" t="str">
            <v>準方位</v>
          </cell>
          <cell r="J2300" t="str">
            <v>龍高星</v>
          </cell>
          <cell r="K2300" t="str">
            <v>天恍星</v>
          </cell>
        </row>
        <row r="2301">
          <cell r="H2301" t="str">
            <v>38+37</v>
          </cell>
          <cell r="I2301" t="str">
            <v>支合</v>
          </cell>
          <cell r="J2301" t="str">
            <v>石門星</v>
          </cell>
          <cell r="K2301" t="str">
            <v>天貴星</v>
          </cell>
        </row>
        <row r="2302">
          <cell r="H2302" t="str">
            <v>38+38</v>
          </cell>
          <cell r="I2302" t="str">
            <v>律音</v>
          </cell>
          <cell r="J2302" t="str">
            <v>貫索星</v>
          </cell>
          <cell r="K2302" t="str">
            <v>天印星</v>
          </cell>
        </row>
        <row r="2303">
          <cell r="H2303" t="str">
            <v>38+39</v>
          </cell>
          <cell r="I2303" t="str">
            <v>－</v>
          </cell>
          <cell r="J2303" t="str">
            <v>調舒星</v>
          </cell>
          <cell r="K2303" t="str">
            <v>天報星</v>
          </cell>
        </row>
        <row r="2304">
          <cell r="H2304" t="str">
            <v>38+40</v>
          </cell>
          <cell r="I2304" t="str">
            <v>－</v>
          </cell>
          <cell r="J2304" t="str">
            <v>鳳閣星</v>
          </cell>
          <cell r="K2304" t="str">
            <v>天馳星</v>
          </cell>
        </row>
        <row r="2305">
          <cell r="H2305" t="str">
            <v>38+41</v>
          </cell>
          <cell r="I2305" t="str">
            <v>破</v>
          </cell>
          <cell r="J2305" t="str">
            <v>司禄星</v>
          </cell>
          <cell r="K2305" t="str">
            <v>天庫星</v>
          </cell>
        </row>
        <row r="2306">
          <cell r="H2306" t="str">
            <v>38+42</v>
          </cell>
          <cell r="I2306" t="str">
            <v>半会</v>
          </cell>
          <cell r="J2306" t="str">
            <v>禄存星</v>
          </cell>
          <cell r="K2306" t="str">
            <v>天極星</v>
          </cell>
        </row>
        <row r="2307">
          <cell r="H2307" t="str">
            <v>38+43</v>
          </cell>
          <cell r="I2307" t="str">
            <v>害</v>
          </cell>
          <cell r="J2307" t="str">
            <v>牽牛星</v>
          </cell>
          <cell r="K2307" t="str">
            <v>天胡星</v>
          </cell>
        </row>
        <row r="2308">
          <cell r="H2308" t="str">
            <v>38+44</v>
          </cell>
          <cell r="I2308" t="str">
            <v>天剋地冲</v>
          </cell>
          <cell r="J2308" t="str">
            <v>車騎星</v>
          </cell>
          <cell r="K2308" t="str">
            <v>天堂星</v>
          </cell>
        </row>
        <row r="2309">
          <cell r="H2309" t="str">
            <v>38+45</v>
          </cell>
          <cell r="I2309" t="str">
            <v>－</v>
          </cell>
          <cell r="J2309" t="str">
            <v>玉堂星</v>
          </cell>
          <cell r="K2309" t="str">
            <v>天将星</v>
          </cell>
        </row>
        <row r="2310">
          <cell r="H2310" t="str">
            <v>38+46</v>
          </cell>
          <cell r="I2310" t="str">
            <v>半会</v>
          </cell>
          <cell r="J2310" t="str">
            <v>龍高星</v>
          </cell>
          <cell r="K2310" t="str">
            <v>天禄星</v>
          </cell>
        </row>
        <row r="2311">
          <cell r="H2311" t="str">
            <v>38+47</v>
          </cell>
          <cell r="I2311" t="str">
            <v>刑</v>
          </cell>
          <cell r="J2311" t="str">
            <v>石門星</v>
          </cell>
          <cell r="K2311" t="str">
            <v>天南星</v>
          </cell>
        </row>
        <row r="2312">
          <cell r="H2312" t="str">
            <v>38+48</v>
          </cell>
          <cell r="I2312" t="str">
            <v>準方位</v>
          </cell>
          <cell r="J2312" t="str">
            <v>貫索星</v>
          </cell>
          <cell r="K2312" t="str">
            <v>天恍星</v>
          </cell>
        </row>
        <row r="2313">
          <cell r="H2313" t="str">
            <v>38+49</v>
          </cell>
          <cell r="I2313" t="str">
            <v>支合</v>
          </cell>
          <cell r="J2313" t="str">
            <v>調舒星</v>
          </cell>
          <cell r="K2313" t="str">
            <v>天貴星</v>
          </cell>
        </row>
        <row r="2314">
          <cell r="H2314" t="str">
            <v>38+50</v>
          </cell>
          <cell r="I2314" t="str">
            <v>同</v>
          </cell>
          <cell r="J2314" t="str">
            <v>鳳閣星</v>
          </cell>
          <cell r="K2314" t="str">
            <v>天印星</v>
          </cell>
        </row>
        <row r="2315">
          <cell r="H2315" t="str">
            <v>38+51</v>
          </cell>
          <cell r="I2315" t="str">
            <v>－</v>
          </cell>
          <cell r="J2315" t="str">
            <v>司禄星</v>
          </cell>
          <cell r="K2315" t="str">
            <v>天報星</v>
          </cell>
        </row>
        <row r="2316">
          <cell r="H2316" t="str">
            <v>38+52</v>
          </cell>
          <cell r="I2316" t="str">
            <v>－</v>
          </cell>
          <cell r="J2316" t="str">
            <v>禄存星</v>
          </cell>
          <cell r="K2316" t="str">
            <v>天馳星</v>
          </cell>
        </row>
        <row r="2317">
          <cell r="H2317" t="str">
            <v>38+53</v>
          </cell>
          <cell r="I2317" t="str">
            <v>破</v>
          </cell>
          <cell r="J2317" t="str">
            <v>牽牛星</v>
          </cell>
          <cell r="K2317" t="str">
            <v>天庫星</v>
          </cell>
        </row>
        <row r="2318">
          <cell r="H2318" t="str">
            <v>38+54</v>
          </cell>
          <cell r="I2318" t="str">
            <v>半会</v>
          </cell>
          <cell r="J2318" t="str">
            <v>車騎星</v>
          </cell>
          <cell r="K2318" t="str">
            <v>天極星</v>
          </cell>
        </row>
        <row r="2319">
          <cell r="H2319" t="str">
            <v>38+55</v>
          </cell>
          <cell r="I2319" t="str">
            <v>害</v>
          </cell>
          <cell r="J2319" t="str">
            <v>玉堂星</v>
          </cell>
          <cell r="K2319" t="str">
            <v>天胡星</v>
          </cell>
        </row>
        <row r="2320">
          <cell r="H2320" t="str">
            <v>38+56</v>
          </cell>
          <cell r="I2320" t="str">
            <v>対冲</v>
          </cell>
          <cell r="J2320" t="str">
            <v>龍高星</v>
          </cell>
          <cell r="K2320" t="str">
            <v>天堂星</v>
          </cell>
        </row>
        <row r="2321">
          <cell r="H2321" t="str">
            <v>38+57</v>
          </cell>
          <cell r="I2321" t="str">
            <v>－</v>
          </cell>
          <cell r="J2321" t="str">
            <v>石門星</v>
          </cell>
          <cell r="K2321" t="str">
            <v>天将星</v>
          </cell>
        </row>
        <row r="2322">
          <cell r="H2322" t="str">
            <v>38+58</v>
          </cell>
          <cell r="I2322" t="str">
            <v>大半会</v>
          </cell>
          <cell r="J2322" t="str">
            <v>貫索星</v>
          </cell>
          <cell r="K2322" t="str">
            <v>天禄星</v>
          </cell>
        </row>
        <row r="2323">
          <cell r="H2323" t="str">
            <v>38+59</v>
          </cell>
          <cell r="I2323" t="str">
            <v>刑</v>
          </cell>
          <cell r="J2323" t="str">
            <v>調舒星</v>
          </cell>
          <cell r="K2323" t="str">
            <v>天南星</v>
          </cell>
        </row>
        <row r="2324">
          <cell r="H2324" t="str">
            <v>38+60</v>
          </cell>
          <cell r="I2324" t="str">
            <v>準方位</v>
          </cell>
          <cell r="J2324" t="str">
            <v>鳳閣星</v>
          </cell>
          <cell r="K2324" t="str">
            <v>天恍星</v>
          </cell>
        </row>
        <row r="2325">
          <cell r="H2325" t="str">
            <v>39+1</v>
          </cell>
          <cell r="I2325" t="str">
            <v>－</v>
          </cell>
          <cell r="J2325" t="str">
            <v>鳳閣星</v>
          </cell>
          <cell r="K2325" t="str">
            <v>天将星</v>
          </cell>
        </row>
        <row r="2326">
          <cell r="H2326" t="str">
            <v>39+2</v>
          </cell>
          <cell r="I2326" t="str">
            <v>－</v>
          </cell>
          <cell r="J2326" t="str">
            <v>調舒星</v>
          </cell>
          <cell r="K2326" t="str">
            <v>天堂星</v>
          </cell>
        </row>
        <row r="2327">
          <cell r="H2327" t="str">
            <v>39+3</v>
          </cell>
          <cell r="I2327" t="str">
            <v>同</v>
          </cell>
          <cell r="J2327" t="str">
            <v>禄存星</v>
          </cell>
          <cell r="K2327" t="str">
            <v>天胡星</v>
          </cell>
        </row>
        <row r="2328">
          <cell r="H2328" t="str">
            <v>39+4</v>
          </cell>
          <cell r="I2328" t="str">
            <v>準方位</v>
          </cell>
          <cell r="J2328" t="str">
            <v>司禄星</v>
          </cell>
          <cell r="K2328" t="str">
            <v>天極星</v>
          </cell>
        </row>
        <row r="2329">
          <cell r="H2329" t="str">
            <v>39+5</v>
          </cell>
          <cell r="I2329" t="str">
            <v>準方位</v>
          </cell>
          <cell r="J2329" t="str">
            <v>車騎星</v>
          </cell>
          <cell r="K2329" t="str">
            <v>天庫星</v>
          </cell>
        </row>
        <row r="2330">
          <cell r="H2330" t="str">
            <v>39+6</v>
          </cell>
          <cell r="I2330" t="str">
            <v>害</v>
          </cell>
          <cell r="J2330" t="str">
            <v>牽牛星</v>
          </cell>
          <cell r="K2330" t="str">
            <v>天馳星</v>
          </cell>
        </row>
        <row r="2331">
          <cell r="H2331" t="str">
            <v>39+7</v>
          </cell>
          <cell r="I2331" t="str">
            <v>半会</v>
          </cell>
          <cell r="J2331" t="str">
            <v>龍高星</v>
          </cell>
          <cell r="K2331" t="str">
            <v>天報星</v>
          </cell>
        </row>
        <row r="2332">
          <cell r="H2332" t="str">
            <v>39+8</v>
          </cell>
          <cell r="I2332" t="str">
            <v>－</v>
          </cell>
          <cell r="J2332" t="str">
            <v>玉堂星</v>
          </cell>
          <cell r="K2332" t="str">
            <v>天印星</v>
          </cell>
        </row>
        <row r="2333">
          <cell r="H2333" t="str">
            <v>39+9</v>
          </cell>
          <cell r="I2333" t="str">
            <v>納音</v>
          </cell>
          <cell r="J2333" t="str">
            <v>貫索星</v>
          </cell>
          <cell r="K2333" t="str">
            <v>天貴星</v>
          </cell>
        </row>
        <row r="2334">
          <cell r="H2334" t="str">
            <v>39+10</v>
          </cell>
          <cell r="I2334" t="str">
            <v>－</v>
          </cell>
          <cell r="J2334" t="str">
            <v>石門星</v>
          </cell>
          <cell r="K2334" t="str">
            <v>天恍星</v>
          </cell>
        </row>
        <row r="2335">
          <cell r="H2335" t="str">
            <v>39+11</v>
          </cell>
          <cell r="I2335" t="str">
            <v>半会</v>
          </cell>
          <cell r="J2335" t="str">
            <v>鳳閣星</v>
          </cell>
          <cell r="K2335" t="str">
            <v>天南星</v>
          </cell>
        </row>
        <row r="2336">
          <cell r="H2336" t="str">
            <v>39+12</v>
          </cell>
          <cell r="I2336" t="str">
            <v>支合</v>
          </cell>
          <cell r="J2336" t="str">
            <v>調舒星</v>
          </cell>
          <cell r="K2336" t="str">
            <v>天禄星</v>
          </cell>
        </row>
        <row r="2337">
          <cell r="H2337" t="str">
            <v>39+13</v>
          </cell>
          <cell r="I2337" t="str">
            <v>－</v>
          </cell>
          <cell r="J2337" t="str">
            <v>禄存星</v>
          </cell>
          <cell r="K2337" t="str">
            <v>天将星</v>
          </cell>
        </row>
        <row r="2338">
          <cell r="H2338" t="str">
            <v>39+14</v>
          </cell>
          <cell r="I2338" t="str">
            <v>－</v>
          </cell>
          <cell r="J2338" t="str">
            <v>司禄星</v>
          </cell>
          <cell r="K2338" t="str">
            <v>天堂星</v>
          </cell>
        </row>
        <row r="2339">
          <cell r="H2339" t="str">
            <v>39+15</v>
          </cell>
          <cell r="I2339" t="str">
            <v>同</v>
          </cell>
          <cell r="J2339" t="str">
            <v>車騎星</v>
          </cell>
          <cell r="K2339" t="str">
            <v>天胡星</v>
          </cell>
        </row>
        <row r="2340">
          <cell r="H2340" t="str">
            <v>39+16</v>
          </cell>
          <cell r="I2340" t="str">
            <v>準方位</v>
          </cell>
          <cell r="J2340" t="str">
            <v>牽牛星</v>
          </cell>
          <cell r="K2340" t="str">
            <v>天極星</v>
          </cell>
        </row>
        <row r="2341">
          <cell r="H2341" t="str">
            <v>39+17</v>
          </cell>
          <cell r="I2341" t="str">
            <v>準方位</v>
          </cell>
          <cell r="J2341" t="str">
            <v>龍高星</v>
          </cell>
          <cell r="K2341" t="str">
            <v>天庫星</v>
          </cell>
        </row>
        <row r="2342">
          <cell r="H2342" t="str">
            <v>39+18</v>
          </cell>
          <cell r="I2342" t="str">
            <v>害</v>
          </cell>
          <cell r="J2342" t="str">
            <v>玉堂星</v>
          </cell>
          <cell r="K2342" t="str">
            <v>天馳星</v>
          </cell>
        </row>
        <row r="2343">
          <cell r="H2343" t="str">
            <v>39+19</v>
          </cell>
          <cell r="I2343" t="str">
            <v>大半会</v>
          </cell>
          <cell r="J2343" t="str">
            <v>貫索星</v>
          </cell>
          <cell r="K2343" t="str">
            <v>天報星</v>
          </cell>
        </row>
        <row r="2344">
          <cell r="H2344" t="str">
            <v>39+20</v>
          </cell>
          <cell r="I2344" t="str">
            <v>－</v>
          </cell>
          <cell r="J2344" t="str">
            <v>石門星</v>
          </cell>
          <cell r="K2344" t="str">
            <v>天印星</v>
          </cell>
        </row>
        <row r="2345">
          <cell r="H2345" t="str">
            <v>39+21</v>
          </cell>
          <cell r="I2345" t="str">
            <v>対冲</v>
          </cell>
          <cell r="J2345" t="str">
            <v>鳳閣星</v>
          </cell>
          <cell r="K2345" t="str">
            <v>天貴星</v>
          </cell>
        </row>
        <row r="2346">
          <cell r="H2346" t="str">
            <v>39+22</v>
          </cell>
          <cell r="I2346" t="str">
            <v>－</v>
          </cell>
          <cell r="J2346" t="str">
            <v>調舒星</v>
          </cell>
          <cell r="K2346" t="str">
            <v>天恍星</v>
          </cell>
        </row>
        <row r="2347">
          <cell r="H2347" t="str">
            <v>39+23</v>
          </cell>
          <cell r="I2347" t="str">
            <v>半会</v>
          </cell>
          <cell r="J2347" t="str">
            <v>禄存星</v>
          </cell>
          <cell r="K2347" t="str">
            <v>天南星</v>
          </cell>
        </row>
        <row r="2348">
          <cell r="H2348" t="str">
            <v>39+24</v>
          </cell>
          <cell r="I2348" t="str">
            <v>支合</v>
          </cell>
          <cell r="J2348" t="str">
            <v>司禄星</v>
          </cell>
          <cell r="K2348" t="str">
            <v>天禄星</v>
          </cell>
        </row>
        <row r="2349">
          <cell r="H2349" t="str">
            <v>39+25</v>
          </cell>
          <cell r="I2349" t="str">
            <v>－</v>
          </cell>
          <cell r="J2349" t="str">
            <v>車騎星</v>
          </cell>
          <cell r="K2349" t="str">
            <v>天将星</v>
          </cell>
        </row>
        <row r="2350">
          <cell r="H2350" t="str">
            <v>39+26</v>
          </cell>
          <cell r="I2350" t="str">
            <v>－</v>
          </cell>
          <cell r="J2350" t="str">
            <v>牽牛星</v>
          </cell>
          <cell r="K2350" t="str">
            <v>天堂星</v>
          </cell>
        </row>
        <row r="2351">
          <cell r="H2351" t="str">
            <v>39+27</v>
          </cell>
          <cell r="I2351" t="str">
            <v>同</v>
          </cell>
          <cell r="J2351" t="str">
            <v>龍高星</v>
          </cell>
          <cell r="K2351" t="str">
            <v>天胡星</v>
          </cell>
        </row>
        <row r="2352">
          <cell r="H2352" t="str">
            <v>39+28</v>
          </cell>
          <cell r="I2352" t="str">
            <v>準方位</v>
          </cell>
          <cell r="J2352" t="str">
            <v>玉堂星</v>
          </cell>
          <cell r="K2352" t="str">
            <v>天極星</v>
          </cell>
        </row>
        <row r="2353">
          <cell r="H2353" t="str">
            <v>39+29</v>
          </cell>
          <cell r="I2353" t="str">
            <v>準方位</v>
          </cell>
          <cell r="J2353" t="str">
            <v>貫索星</v>
          </cell>
          <cell r="K2353" t="str">
            <v>天庫星</v>
          </cell>
        </row>
        <row r="2354">
          <cell r="H2354" t="str">
            <v>39+30</v>
          </cell>
          <cell r="I2354" t="str">
            <v>害</v>
          </cell>
          <cell r="J2354" t="str">
            <v>石門星</v>
          </cell>
          <cell r="K2354" t="str">
            <v>天馳星</v>
          </cell>
        </row>
        <row r="2355">
          <cell r="H2355" t="str">
            <v>39+31</v>
          </cell>
          <cell r="I2355" t="str">
            <v>半会</v>
          </cell>
          <cell r="J2355" t="str">
            <v>鳳閣星</v>
          </cell>
          <cell r="K2355" t="str">
            <v>天報星</v>
          </cell>
        </row>
        <row r="2356">
          <cell r="H2356" t="str">
            <v>39+32</v>
          </cell>
          <cell r="I2356" t="str">
            <v>－</v>
          </cell>
          <cell r="J2356" t="str">
            <v>調舒星</v>
          </cell>
          <cell r="K2356" t="str">
            <v>天印星</v>
          </cell>
        </row>
        <row r="2357">
          <cell r="H2357" t="str">
            <v>39+33</v>
          </cell>
          <cell r="I2357" t="str">
            <v>天剋地冲</v>
          </cell>
          <cell r="J2357" t="str">
            <v>禄存星</v>
          </cell>
          <cell r="K2357" t="str">
            <v>天貴星</v>
          </cell>
        </row>
        <row r="2358">
          <cell r="H2358" t="str">
            <v>39+34</v>
          </cell>
          <cell r="I2358" t="str">
            <v>－</v>
          </cell>
          <cell r="J2358" t="str">
            <v>司禄星</v>
          </cell>
          <cell r="K2358" t="str">
            <v>天恍星</v>
          </cell>
        </row>
        <row r="2359">
          <cell r="H2359" t="str">
            <v>39+35</v>
          </cell>
          <cell r="I2359" t="str">
            <v>半会</v>
          </cell>
          <cell r="J2359" t="str">
            <v>車騎星</v>
          </cell>
          <cell r="K2359" t="str">
            <v>天南星</v>
          </cell>
        </row>
        <row r="2360">
          <cell r="H2360" t="str">
            <v>39+36</v>
          </cell>
          <cell r="I2360" t="str">
            <v>支合</v>
          </cell>
          <cell r="J2360" t="str">
            <v>牽牛星</v>
          </cell>
          <cell r="K2360" t="str">
            <v>天禄星</v>
          </cell>
        </row>
        <row r="2361">
          <cell r="H2361" t="str">
            <v>39+37</v>
          </cell>
          <cell r="I2361" t="str">
            <v>－</v>
          </cell>
          <cell r="J2361" t="str">
            <v>龍高星</v>
          </cell>
          <cell r="K2361" t="str">
            <v>天将星</v>
          </cell>
        </row>
        <row r="2362">
          <cell r="H2362" t="str">
            <v>39+38</v>
          </cell>
          <cell r="I2362" t="str">
            <v>－</v>
          </cell>
          <cell r="J2362" t="str">
            <v>玉堂星</v>
          </cell>
          <cell r="K2362" t="str">
            <v>天堂星</v>
          </cell>
        </row>
        <row r="2363">
          <cell r="H2363" t="str">
            <v>39+39</v>
          </cell>
          <cell r="I2363" t="str">
            <v>律音</v>
          </cell>
          <cell r="J2363" t="str">
            <v>貫索星</v>
          </cell>
          <cell r="K2363" t="str">
            <v>天胡星</v>
          </cell>
        </row>
        <row r="2364">
          <cell r="H2364" t="str">
            <v>39+40</v>
          </cell>
          <cell r="I2364" t="str">
            <v>準方位</v>
          </cell>
          <cell r="J2364" t="str">
            <v>石門星</v>
          </cell>
          <cell r="K2364" t="str">
            <v>天極星</v>
          </cell>
        </row>
        <row r="2365">
          <cell r="H2365" t="str">
            <v>39+41</v>
          </cell>
          <cell r="I2365" t="str">
            <v>準方位</v>
          </cell>
          <cell r="J2365" t="str">
            <v>鳳閣星</v>
          </cell>
          <cell r="K2365" t="str">
            <v>天庫星</v>
          </cell>
        </row>
        <row r="2366">
          <cell r="H2366" t="str">
            <v>39+42</v>
          </cell>
          <cell r="I2366" t="str">
            <v>害</v>
          </cell>
          <cell r="J2366" t="str">
            <v>調舒星</v>
          </cell>
          <cell r="K2366" t="str">
            <v>天馳星</v>
          </cell>
        </row>
        <row r="2367">
          <cell r="H2367" t="str">
            <v>39+43</v>
          </cell>
          <cell r="I2367" t="str">
            <v>半会</v>
          </cell>
          <cell r="J2367" t="str">
            <v>禄存星</v>
          </cell>
          <cell r="K2367" t="str">
            <v>天報星</v>
          </cell>
        </row>
        <row r="2368">
          <cell r="H2368" t="str">
            <v>39+44</v>
          </cell>
          <cell r="I2368" t="str">
            <v>－</v>
          </cell>
          <cell r="J2368" t="str">
            <v>司禄星</v>
          </cell>
          <cell r="K2368" t="str">
            <v>天印星</v>
          </cell>
        </row>
        <row r="2369">
          <cell r="H2369" t="str">
            <v>39+45</v>
          </cell>
          <cell r="I2369" t="str">
            <v>天剋地冲</v>
          </cell>
          <cell r="J2369" t="str">
            <v>車騎星</v>
          </cell>
          <cell r="K2369" t="str">
            <v>天貴星</v>
          </cell>
        </row>
        <row r="2370">
          <cell r="H2370" t="str">
            <v>39+46</v>
          </cell>
          <cell r="I2370" t="str">
            <v>－</v>
          </cell>
          <cell r="J2370" t="str">
            <v>牽牛星</v>
          </cell>
          <cell r="K2370" t="str">
            <v>天恍星</v>
          </cell>
        </row>
        <row r="2371">
          <cell r="H2371" t="str">
            <v>39+47</v>
          </cell>
          <cell r="I2371" t="str">
            <v>半会</v>
          </cell>
          <cell r="J2371" t="str">
            <v>龍高星</v>
          </cell>
          <cell r="K2371" t="str">
            <v>天南星</v>
          </cell>
        </row>
        <row r="2372">
          <cell r="H2372" t="str">
            <v>39+48</v>
          </cell>
          <cell r="I2372" t="str">
            <v>支合</v>
          </cell>
          <cell r="J2372" t="str">
            <v>玉堂星</v>
          </cell>
          <cell r="K2372" t="str">
            <v>天禄星</v>
          </cell>
        </row>
        <row r="2373">
          <cell r="H2373" t="str">
            <v>39+49</v>
          </cell>
          <cell r="I2373" t="str">
            <v>－</v>
          </cell>
          <cell r="J2373" t="str">
            <v>貫索星</v>
          </cell>
          <cell r="K2373" t="str">
            <v>天将星</v>
          </cell>
        </row>
        <row r="2374">
          <cell r="H2374" t="str">
            <v>39+50</v>
          </cell>
          <cell r="I2374" t="str">
            <v>－</v>
          </cell>
          <cell r="J2374" t="str">
            <v>石門星</v>
          </cell>
          <cell r="K2374" t="str">
            <v>天堂星</v>
          </cell>
        </row>
        <row r="2375">
          <cell r="H2375" t="str">
            <v>39+51</v>
          </cell>
          <cell r="I2375" t="str">
            <v>同</v>
          </cell>
          <cell r="J2375" t="str">
            <v>鳳閣星</v>
          </cell>
          <cell r="K2375" t="str">
            <v>天胡星</v>
          </cell>
        </row>
        <row r="2376">
          <cell r="H2376" t="str">
            <v>39+52</v>
          </cell>
          <cell r="I2376" t="str">
            <v>準方位</v>
          </cell>
          <cell r="J2376" t="str">
            <v>調舒星</v>
          </cell>
          <cell r="K2376" t="str">
            <v>天極星</v>
          </cell>
        </row>
        <row r="2377">
          <cell r="H2377" t="str">
            <v>39+53</v>
          </cell>
          <cell r="I2377" t="str">
            <v>準方位</v>
          </cell>
          <cell r="J2377" t="str">
            <v>禄存星</v>
          </cell>
          <cell r="K2377" t="str">
            <v>天庫星</v>
          </cell>
        </row>
        <row r="2378">
          <cell r="H2378" t="str">
            <v>39+54</v>
          </cell>
          <cell r="I2378" t="str">
            <v>害</v>
          </cell>
          <cell r="J2378" t="str">
            <v>司禄星</v>
          </cell>
          <cell r="K2378" t="str">
            <v>天馳星</v>
          </cell>
        </row>
        <row r="2379">
          <cell r="H2379" t="str">
            <v>39+55</v>
          </cell>
          <cell r="I2379" t="str">
            <v>半会</v>
          </cell>
          <cell r="J2379" t="str">
            <v>車騎星</v>
          </cell>
          <cell r="K2379" t="str">
            <v>天報星</v>
          </cell>
        </row>
        <row r="2380">
          <cell r="H2380" t="str">
            <v>39+56</v>
          </cell>
          <cell r="I2380" t="str">
            <v>－</v>
          </cell>
          <cell r="J2380" t="str">
            <v>牽牛星</v>
          </cell>
          <cell r="K2380" t="str">
            <v>天印星</v>
          </cell>
        </row>
        <row r="2381">
          <cell r="H2381" t="str">
            <v>39+57</v>
          </cell>
          <cell r="I2381" t="str">
            <v>対冲</v>
          </cell>
          <cell r="J2381" t="str">
            <v>龍高星</v>
          </cell>
          <cell r="K2381" t="str">
            <v>天貴星</v>
          </cell>
        </row>
        <row r="2382">
          <cell r="H2382" t="str">
            <v>39+58</v>
          </cell>
          <cell r="I2382" t="str">
            <v>－</v>
          </cell>
          <cell r="J2382" t="str">
            <v>玉堂星</v>
          </cell>
          <cell r="K2382" t="str">
            <v>天恍星</v>
          </cell>
        </row>
        <row r="2383">
          <cell r="H2383" t="str">
            <v>39+59</v>
          </cell>
          <cell r="I2383" t="str">
            <v>大半会</v>
          </cell>
          <cell r="J2383" t="str">
            <v>貫索星</v>
          </cell>
          <cell r="K2383" t="str">
            <v>天南星</v>
          </cell>
        </row>
        <row r="2384">
          <cell r="H2384" t="str">
            <v>39+60</v>
          </cell>
          <cell r="I2384" t="str">
            <v>支合</v>
          </cell>
          <cell r="J2384" t="str">
            <v>石門星</v>
          </cell>
          <cell r="K2384" t="str">
            <v>天禄星</v>
          </cell>
        </row>
        <row r="2385">
          <cell r="H2385" t="str">
            <v>40+1</v>
          </cell>
          <cell r="I2385" t="str">
            <v>刑</v>
          </cell>
          <cell r="J2385" t="str">
            <v>調舒星</v>
          </cell>
          <cell r="K2385" t="str">
            <v>天禄星</v>
          </cell>
        </row>
        <row r="2386">
          <cell r="H2386" t="str">
            <v>40+2</v>
          </cell>
          <cell r="I2386" t="str">
            <v>－</v>
          </cell>
          <cell r="J2386" t="str">
            <v>鳳閣星</v>
          </cell>
          <cell r="K2386" t="str">
            <v>天南星</v>
          </cell>
        </row>
        <row r="2387">
          <cell r="H2387" t="str">
            <v>40+3</v>
          </cell>
          <cell r="I2387" t="str">
            <v>準方位</v>
          </cell>
          <cell r="J2387" t="str">
            <v>司禄星</v>
          </cell>
          <cell r="K2387" t="str">
            <v>天恍星</v>
          </cell>
        </row>
        <row r="2388">
          <cell r="H2388" t="str">
            <v>40+4</v>
          </cell>
          <cell r="I2388" t="str">
            <v>同</v>
          </cell>
          <cell r="J2388" t="str">
            <v>禄存星</v>
          </cell>
          <cell r="K2388" t="str">
            <v>天貴星</v>
          </cell>
        </row>
        <row r="2389">
          <cell r="H2389" t="str">
            <v>40+5</v>
          </cell>
          <cell r="I2389" t="str">
            <v>害</v>
          </cell>
          <cell r="J2389" t="str">
            <v>牽牛星</v>
          </cell>
          <cell r="K2389" t="str">
            <v>天印星</v>
          </cell>
        </row>
        <row r="2390">
          <cell r="H2390" t="str">
            <v>40+6</v>
          </cell>
          <cell r="I2390" t="str">
            <v>－</v>
          </cell>
          <cell r="J2390" t="str">
            <v>車騎星</v>
          </cell>
          <cell r="K2390" t="str">
            <v>天報星</v>
          </cell>
        </row>
        <row r="2391">
          <cell r="H2391" t="str">
            <v>40+7</v>
          </cell>
          <cell r="I2391" t="str">
            <v>破</v>
          </cell>
          <cell r="J2391" t="str">
            <v>玉堂星</v>
          </cell>
          <cell r="K2391" t="str">
            <v>天馳星</v>
          </cell>
        </row>
        <row r="2392">
          <cell r="H2392" t="str">
            <v>40+8</v>
          </cell>
          <cell r="I2392" t="str">
            <v>半会</v>
          </cell>
          <cell r="J2392" t="str">
            <v>龍高星</v>
          </cell>
          <cell r="K2392" t="str">
            <v>天庫星</v>
          </cell>
        </row>
        <row r="2393">
          <cell r="H2393" t="str">
            <v>40+9</v>
          </cell>
          <cell r="I2393" t="str">
            <v>－</v>
          </cell>
          <cell r="J2393" t="str">
            <v>石門星</v>
          </cell>
          <cell r="K2393" t="str">
            <v>天極星</v>
          </cell>
        </row>
        <row r="2394">
          <cell r="H2394" t="str">
            <v>40+10</v>
          </cell>
          <cell r="I2394" t="str">
            <v>納音</v>
          </cell>
          <cell r="J2394" t="str">
            <v>貫索星</v>
          </cell>
          <cell r="K2394" t="str">
            <v>天胡星</v>
          </cell>
        </row>
        <row r="2395">
          <cell r="H2395" t="str">
            <v>40+11</v>
          </cell>
          <cell r="I2395" t="str">
            <v>支合</v>
          </cell>
          <cell r="J2395" t="str">
            <v>調舒星</v>
          </cell>
          <cell r="K2395" t="str">
            <v>天堂星</v>
          </cell>
        </row>
        <row r="2396">
          <cell r="H2396" t="str">
            <v>40+12</v>
          </cell>
          <cell r="I2396" t="str">
            <v>半会</v>
          </cell>
          <cell r="J2396" t="str">
            <v>鳳閣星</v>
          </cell>
          <cell r="K2396" t="str">
            <v>天将星</v>
          </cell>
        </row>
        <row r="2397">
          <cell r="H2397" t="str">
            <v>40+13</v>
          </cell>
          <cell r="I2397" t="str">
            <v>刑</v>
          </cell>
          <cell r="J2397" t="str">
            <v>司禄星</v>
          </cell>
          <cell r="K2397" t="str">
            <v>天禄星</v>
          </cell>
        </row>
        <row r="2398">
          <cell r="H2398" t="str">
            <v>40+14</v>
          </cell>
          <cell r="I2398" t="str">
            <v>－</v>
          </cell>
          <cell r="J2398" t="str">
            <v>禄存星</v>
          </cell>
          <cell r="K2398" t="str">
            <v>天南星</v>
          </cell>
        </row>
        <row r="2399">
          <cell r="H2399" t="str">
            <v>40+15</v>
          </cell>
          <cell r="I2399" t="str">
            <v>準方位</v>
          </cell>
          <cell r="J2399" t="str">
            <v>牽牛星</v>
          </cell>
          <cell r="K2399" t="str">
            <v>天恍星</v>
          </cell>
        </row>
        <row r="2400">
          <cell r="H2400" t="str">
            <v>40+16</v>
          </cell>
          <cell r="I2400" t="str">
            <v>同</v>
          </cell>
          <cell r="J2400" t="str">
            <v>車騎星</v>
          </cell>
          <cell r="K2400" t="str">
            <v>天貴星</v>
          </cell>
        </row>
        <row r="2401">
          <cell r="H2401" t="str">
            <v>40+17</v>
          </cell>
          <cell r="I2401" t="str">
            <v>害</v>
          </cell>
          <cell r="J2401" t="str">
            <v>玉堂星</v>
          </cell>
          <cell r="K2401" t="str">
            <v>天印星</v>
          </cell>
        </row>
        <row r="2402">
          <cell r="H2402" t="str">
            <v>40+18</v>
          </cell>
          <cell r="I2402" t="str">
            <v>－</v>
          </cell>
          <cell r="J2402" t="str">
            <v>龍高星</v>
          </cell>
          <cell r="K2402" t="str">
            <v>天報星</v>
          </cell>
        </row>
        <row r="2403">
          <cell r="H2403" t="str">
            <v>40+19</v>
          </cell>
          <cell r="I2403" t="str">
            <v>破</v>
          </cell>
          <cell r="J2403" t="str">
            <v>石門星</v>
          </cell>
          <cell r="K2403" t="str">
            <v>天馳星</v>
          </cell>
        </row>
        <row r="2404">
          <cell r="H2404" t="str">
            <v>40+20</v>
          </cell>
          <cell r="I2404" t="str">
            <v>大半会</v>
          </cell>
          <cell r="J2404" t="str">
            <v>貫索星</v>
          </cell>
          <cell r="K2404" t="str">
            <v>天庫星</v>
          </cell>
        </row>
        <row r="2405">
          <cell r="H2405" t="str">
            <v>40+21</v>
          </cell>
          <cell r="I2405" t="str">
            <v>－</v>
          </cell>
          <cell r="J2405" t="str">
            <v>調舒星</v>
          </cell>
          <cell r="K2405" t="str">
            <v>天極星</v>
          </cell>
        </row>
        <row r="2406">
          <cell r="H2406" t="str">
            <v>40+22</v>
          </cell>
          <cell r="I2406" t="str">
            <v>対冲</v>
          </cell>
          <cell r="J2406" t="str">
            <v>鳳閣星</v>
          </cell>
          <cell r="K2406" t="str">
            <v>天胡星</v>
          </cell>
        </row>
        <row r="2407">
          <cell r="H2407" t="str">
            <v>40+23</v>
          </cell>
          <cell r="I2407" t="str">
            <v>支合</v>
          </cell>
          <cell r="J2407" t="str">
            <v>司禄星</v>
          </cell>
          <cell r="K2407" t="str">
            <v>天堂星</v>
          </cell>
        </row>
        <row r="2408">
          <cell r="H2408" t="str">
            <v>40+24</v>
          </cell>
          <cell r="I2408" t="str">
            <v>半会</v>
          </cell>
          <cell r="J2408" t="str">
            <v>禄存星</v>
          </cell>
          <cell r="K2408" t="str">
            <v>天将星</v>
          </cell>
        </row>
        <row r="2409">
          <cell r="H2409" t="str">
            <v>40+25</v>
          </cell>
          <cell r="I2409" t="str">
            <v>刑</v>
          </cell>
          <cell r="J2409" t="str">
            <v>牽牛星</v>
          </cell>
          <cell r="K2409" t="str">
            <v>天禄星</v>
          </cell>
        </row>
        <row r="2410">
          <cell r="H2410" t="str">
            <v>40+26</v>
          </cell>
          <cell r="I2410" t="str">
            <v>－</v>
          </cell>
          <cell r="J2410" t="str">
            <v>車騎星</v>
          </cell>
          <cell r="K2410" t="str">
            <v>天南星</v>
          </cell>
        </row>
        <row r="2411">
          <cell r="H2411" t="str">
            <v>40+27</v>
          </cell>
          <cell r="I2411" t="str">
            <v>準方位</v>
          </cell>
          <cell r="J2411" t="str">
            <v>玉堂星</v>
          </cell>
          <cell r="K2411" t="str">
            <v>天恍星</v>
          </cell>
        </row>
        <row r="2412">
          <cell r="H2412" t="str">
            <v>40+28</v>
          </cell>
          <cell r="I2412" t="str">
            <v>同</v>
          </cell>
          <cell r="J2412" t="str">
            <v>龍高星</v>
          </cell>
          <cell r="K2412" t="str">
            <v>天貴星</v>
          </cell>
        </row>
        <row r="2413">
          <cell r="H2413" t="str">
            <v>40+29</v>
          </cell>
          <cell r="I2413" t="str">
            <v>害</v>
          </cell>
          <cell r="J2413" t="str">
            <v>石門星</v>
          </cell>
          <cell r="K2413" t="str">
            <v>天印星</v>
          </cell>
        </row>
        <row r="2414">
          <cell r="H2414" t="str">
            <v>40+30</v>
          </cell>
          <cell r="I2414" t="str">
            <v>－</v>
          </cell>
          <cell r="J2414" t="str">
            <v>貫索星</v>
          </cell>
          <cell r="K2414" t="str">
            <v>天報星</v>
          </cell>
        </row>
        <row r="2415">
          <cell r="H2415" t="str">
            <v>40+31</v>
          </cell>
          <cell r="I2415" t="str">
            <v>破</v>
          </cell>
          <cell r="J2415" t="str">
            <v>調舒星</v>
          </cell>
          <cell r="K2415" t="str">
            <v>天馳星</v>
          </cell>
        </row>
        <row r="2416">
          <cell r="H2416" t="str">
            <v>40+32</v>
          </cell>
          <cell r="I2416" t="str">
            <v>半会</v>
          </cell>
          <cell r="J2416" t="str">
            <v>鳳閣星</v>
          </cell>
          <cell r="K2416" t="str">
            <v>天庫星</v>
          </cell>
        </row>
        <row r="2417">
          <cell r="H2417" t="str">
            <v>40+33</v>
          </cell>
          <cell r="I2417" t="str">
            <v>－</v>
          </cell>
          <cell r="J2417" t="str">
            <v>司禄星</v>
          </cell>
          <cell r="K2417" t="str">
            <v>天極星</v>
          </cell>
        </row>
        <row r="2418">
          <cell r="H2418" t="str">
            <v>40+34</v>
          </cell>
          <cell r="I2418" t="str">
            <v>天剋地冲</v>
          </cell>
          <cell r="J2418" t="str">
            <v>禄存星</v>
          </cell>
          <cell r="K2418" t="str">
            <v>天胡星</v>
          </cell>
        </row>
        <row r="2419">
          <cell r="H2419" t="str">
            <v>40+35</v>
          </cell>
          <cell r="I2419" t="str">
            <v>支合</v>
          </cell>
          <cell r="J2419" t="str">
            <v>牽牛星</v>
          </cell>
          <cell r="K2419" t="str">
            <v>天堂星</v>
          </cell>
        </row>
        <row r="2420">
          <cell r="H2420" t="str">
            <v>40+36</v>
          </cell>
          <cell r="I2420" t="str">
            <v>半会</v>
          </cell>
          <cell r="J2420" t="str">
            <v>車騎星</v>
          </cell>
          <cell r="K2420" t="str">
            <v>天将星</v>
          </cell>
        </row>
        <row r="2421">
          <cell r="H2421" t="str">
            <v>40+37</v>
          </cell>
          <cell r="I2421" t="str">
            <v>刑</v>
          </cell>
          <cell r="J2421" t="str">
            <v>玉堂星</v>
          </cell>
          <cell r="K2421" t="str">
            <v>天禄星</v>
          </cell>
        </row>
        <row r="2422">
          <cell r="H2422" t="str">
            <v>40+38</v>
          </cell>
          <cell r="I2422" t="str">
            <v>－</v>
          </cell>
          <cell r="J2422" t="str">
            <v>龍高星</v>
          </cell>
          <cell r="K2422" t="str">
            <v>天南星</v>
          </cell>
        </row>
        <row r="2423">
          <cell r="H2423" t="str">
            <v>40+39</v>
          </cell>
          <cell r="I2423" t="str">
            <v>準方位</v>
          </cell>
          <cell r="J2423" t="str">
            <v>石門星</v>
          </cell>
          <cell r="K2423" t="str">
            <v>天恍星</v>
          </cell>
        </row>
        <row r="2424">
          <cell r="H2424" t="str">
            <v>40+40</v>
          </cell>
          <cell r="I2424" t="str">
            <v>律音</v>
          </cell>
          <cell r="J2424" t="str">
            <v>貫索星</v>
          </cell>
          <cell r="K2424" t="str">
            <v>天貴星</v>
          </cell>
        </row>
        <row r="2425">
          <cell r="H2425" t="str">
            <v>40+41</v>
          </cell>
          <cell r="I2425" t="str">
            <v>害</v>
          </cell>
          <cell r="J2425" t="str">
            <v>調舒星</v>
          </cell>
          <cell r="K2425" t="str">
            <v>天印星</v>
          </cell>
        </row>
        <row r="2426">
          <cell r="H2426" t="str">
            <v>40+42</v>
          </cell>
          <cell r="I2426" t="str">
            <v>－</v>
          </cell>
          <cell r="J2426" t="str">
            <v>鳳閣星</v>
          </cell>
          <cell r="K2426" t="str">
            <v>天報星</v>
          </cell>
        </row>
        <row r="2427">
          <cell r="H2427" t="str">
            <v>40+43</v>
          </cell>
          <cell r="I2427" t="str">
            <v>破</v>
          </cell>
          <cell r="J2427" t="str">
            <v>司禄星</v>
          </cell>
          <cell r="K2427" t="str">
            <v>天馳星</v>
          </cell>
        </row>
        <row r="2428">
          <cell r="H2428" t="str">
            <v>40+44</v>
          </cell>
          <cell r="I2428" t="str">
            <v>半会</v>
          </cell>
          <cell r="J2428" t="str">
            <v>禄存星</v>
          </cell>
          <cell r="K2428" t="str">
            <v>天庫星</v>
          </cell>
        </row>
        <row r="2429">
          <cell r="H2429" t="str">
            <v>40+45</v>
          </cell>
          <cell r="I2429" t="str">
            <v>－</v>
          </cell>
          <cell r="J2429" t="str">
            <v>牽牛星</v>
          </cell>
          <cell r="K2429" t="str">
            <v>天極星</v>
          </cell>
        </row>
        <row r="2430">
          <cell r="H2430" t="str">
            <v>40+46</v>
          </cell>
          <cell r="I2430" t="str">
            <v>天剋地冲</v>
          </cell>
          <cell r="J2430" t="str">
            <v>車騎星</v>
          </cell>
          <cell r="K2430" t="str">
            <v>天胡星</v>
          </cell>
        </row>
        <row r="2431">
          <cell r="H2431" t="str">
            <v>40+47</v>
          </cell>
          <cell r="I2431" t="str">
            <v>支合</v>
          </cell>
          <cell r="J2431" t="str">
            <v>玉堂星</v>
          </cell>
          <cell r="K2431" t="str">
            <v>天堂星</v>
          </cell>
        </row>
        <row r="2432">
          <cell r="H2432" t="str">
            <v>40+48</v>
          </cell>
          <cell r="I2432" t="str">
            <v>半会</v>
          </cell>
          <cell r="J2432" t="str">
            <v>龍高星</v>
          </cell>
          <cell r="K2432" t="str">
            <v>天将星</v>
          </cell>
        </row>
        <row r="2433">
          <cell r="H2433" t="str">
            <v>40+49</v>
          </cell>
          <cell r="I2433" t="str">
            <v>刑</v>
          </cell>
          <cell r="J2433" t="str">
            <v>石門星</v>
          </cell>
          <cell r="K2433" t="str">
            <v>天禄星</v>
          </cell>
        </row>
        <row r="2434">
          <cell r="H2434" t="str">
            <v>40+50</v>
          </cell>
          <cell r="I2434" t="str">
            <v>－</v>
          </cell>
          <cell r="J2434" t="str">
            <v>貫索星</v>
          </cell>
          <cell r="K2434" t="str">
            <v>天南星</v>
          </cell>
        </row>
        <row r="2435">
          <cell r="H2435" t="str">
            <v>40+51</v>
          </cell>
          <cell r="I2435" t="str">
            <v>準方位</v>
          </cell>
          <cell r="J2435" t="str">
            <v>調舒星</v>
          </cell>
          <cell r="K2435" t="str">
            <v>天恍星</v>
          </cell>
        </row>
        <row r="2436">
          <cell r="H2436" t="str">
            <v>40+52</v>
          </cell>
          <cell r="I2436" t="str">
            <v>同</v>
          </cell>
          <cell r="J2436" t="str">
            <v>鳳閣星</v>
          </cell>
          <cell r="K2436" t="str">
            <v>天貴星</v>
          </cell>
        </row>
        <row r="2437">
          <cell r="H2437" t="str">
            <v>40+53</v>
          </cell>
          <cell r="I2437" t="str">
            <v>害</v>
          </cell>
          <cell r="J2437" t="str">
            <v>司禄星</v>
          </cell>
          <cell r="K2437" t="str">
            <v>天印星</v>
          </cell>
        </row>
        <row r="2438">
          <cell r="H2438" t="str">
            <v>40+54</v>
          </cell>
          <cell r="I2438" t="str">
            <v>－</v>
          </cell>
          <cell r="J2438" t="str">
            <v>禄存星</v>
          </cell>
          <cell r="K2438" t="str">
            <v>天報星</v>
          </cell>
        </row>
        <row r="2439">
          <cell r="H2439" t="str">
            <v>40+55</v>
          </cell>
          <cell r="I2439" t="str">
            <v>破</v>
          </cell>
          <cell r="J2439" t="str">
            <v>牽牛星</v>
          </cell>
          <cell r="K2439" t="str">
            <v>天馳星</v>
          </cell>
        </row>
        <row r="2440">
          <cell r="H2440" t="str">
            <v>40+56</v>
          </cell>
          <cell r="I2440" t="str">
            <v>半会</v>
          </cell>
          <cell r="J2440" t="str">
            <v>車騎星</v>
          </cell>
          <cell r="K2440" t="str">
            <v>天庫星</v>
          </cell>
        </row>
        <row r="2441">
          <cell r="H2441" t="str">
            <v>40+57</v>
          </cell>
          <cell r="I2441" t="str">
            <v>－</v>
          </cell>
          <cell r="J2441" t="str">
            <v>玉堂星</v>
          </cell>
          <cell r="K2441" t="str">
            <v>天極星</v>
          </cell>
        </row>
        <row r="2442">
          <cell r="H2442" t="str">
            <v>40+58</v>
          </cell>
          <cell r="I2442" t="str">
            <v>対冲</v>
          </cell>
          <cell r="J2442" t="str">
            <v>龍高星</v>
          </cell>
          <cell r="K2442" t="str">
            <v>天胡星</v>
          </cell>
        </row>
        <row r="2443">
          <cell r="H2443" t="str">
            <v>40+59</v>
          </cell>
          <cell r="I2443" t="str">
            <v>支合</v>
          </cell>
          <cell r="J2443" t="str">
            <v>石門星</v>
          </cell>
          <cell r="K2443" t="str">
            <v>天堂星</v>
          </cell>
        </row>
        <row r="2444">
          <cell r="H2444" t="str">
            <v>40+60</v>
          </cell>
          <cell r="I2444" t="str">
            <v>大半会</v>
          </cell>
          <cell r="J2444" t="str">
            <v>貫索星</v>
          </cell>
          <cell r="K2444" t="str">
            <v>天将星</v>
          </cell>
        </row>
        <row r="2445">
          <cell r="H2445" t="str">
            <v>41+1</v>
          </cell>
          <cell r="I2445" t="str">
            <v>大半会</v>
          </cell>
          <cell r="J2445" t="str">
            <v>貫索星</v>
          </cell>
          <cell r="K2445" t="str">
            <v>天恍星</v>
          </cell>
        </row>
        <row r="2446">
          <cell r="H2446" t="str">
            <v>41+2</v>
          </cell>
          <cell r="I2446" t="str">
            <v>破</v>
          </cell>
          <cell r="J2446" t="str">
            <v>石門星</v>
          </cell>
          <cell r="K2446" t="str">
            <v>天南星</v>
          </cell>
        </row>
        <row r="2447">
          <cell r="H2447" t="str">
            <v>41+3</v>
          </cell>
          <cell r="I2447" t="str">
            <v>準方位</v>
          </cell>
          <cell r="J2447" t="str">
            <v>鳳閣星</v>
          </cell>
          <cell r="K2447" t="str">
            <v>天禄星</v>
          </cell>
        </row>
        <row r="2448">
          <cell r="H2448" t="str">
            <v>41+4</v>
          </cell>
          <cell r="I2448" t="str">
            <v>害</v>
          </cell>
          <cell r="J2448" t="str">
            <v>調舒星</v>
          </cell>
          <cell r="K2448" t="str">
            <v>天将星</v>
          </cell>
        </row>
        <row r="2449">
          <cell r="H2449" t="str">
            <v>41+5</v>
          </cell>
          <cell r="I2449" t="str">
            <v>自刑</v>
          </cell>
          <cell r="J2449" t="str">
            <v>禄存星</v>
          </cell>
          <cell r="K2449" t="str">
            <v>天堂星</v>
          </cell>
        </row>
        <row r="2450">
          <cell r="H2450" t="str">
            <v>41+6</v>
          </cell>
          <cell r="I2450" t="str">
            <v>－</v>
          </cell>
          <cell r="J2450" t="str">
            <v>司禄星</v>
          </cell>
          <cell r="K2450" t="str">
            <v>天胡星</v>
          </cell>
        </row>
        <row r="2451">
          <cell r="H2451" t="str">
            <v>41+7</v>
          </cell>
          <cell r="I2451" t="str">
            <v>－</v>
          </cell>
          <cell r="J2451" t="str">
            <v>車騎星</v>
          </cell>
          <cell r="K2451" t="str">
            <v>天極星</v>
          </cell>
        </row>
        <row r="2452">
          <cell r="H2452" t="str">
            <v>41+8</v>
          </cell>
          <cell r="I2452" t="str">
            <v>－</v>
          </cell>
          <cell r="J2452" t="str">
            <v>牽牛星</v>
          </cell>
          <cell r="K2452" t="str">
            <v>天庫星</v>
          </cell>
        </row>
        <row r="2453">
          <cell r="H2453" t="str">
            <v>41+9</v>
          </cell>
          <cell r="I2453" t="str">
            <v>半会</v>
          </cell>
          <cell r="J2453" t="str">
            <v>龍高星</v>
          </cell>
          <cell r="K2453" t="str">
            <v>天馳星</v>
          </cell>
        </row>
        <row r="2454">
          <cell r="H2454" t="str">
            <v>41+10</v>
          </cell>
          <cell r="I2454" t="str">
            <v>支合</v>
          </cell>
          <cell r="J2454" t="str">
            <v>玉堂星</v>
          </cell>
          <cell r="K2454" t="str">
            <v>天報星</v>
          </cell>
        </row>
        <row r="2455">
          <cell r="H2455" t="str">
            <v>41+11</v>
          </cell>
          <cell r="I2455" t="str">
            <v>納音</v>
          </cell>
          <cell r="J2455" t="str">
            <v>貫索星</v>
          </cell>
          <cell r="K2455" t="str">
            <v>天印星</v>
          </cell>
        </row>
        <row r="2456">
          <cell r="H2456" t="str">
            <v>41+12</v>
          </cell>
          <cell r="I2456" t="str">
            <v>－</v>
          </cell>
          <cell r="J2456" t="str">
            <v>石門星</v>
          </cell>
          <cell r="K2456" t="str">
            <v>天貴星</v>
          </cell>
        </row>
        <row r="2457">
          <cell r="H2457" t="str">
            <v>41+13</v>
          </cell>
          <cell r="I2457" t="str">
            <v>半会</v>
          </cell>
          <cell r="J2457" t="str">
            <v>鳳閣星</v>
          </cell>
          <cell r="K2457" t="str">
            <v>天恍星</v>
          </cell>
        </row>
        <row r="2458">
          <cell r="H2458" t="str">
            <v>41+14</v>
          </cell>
          <cell r="I2458" t="str">
            <v>破</v>
          </cell>
          <cell r="J2458" t="str">
            <v>調舒星</v>
          </cell>
          <cell r="K2458" t="str">
            <v>天南星</v>
          </cell>
        </row>
        <row r="2459">
          <cell r="H2459" t="str">
            <v>41+15</v>
          </cell>
          <cell r="I2459" t="str">
            <v>準方位</v>
          </cell>
          <cell r="J2459" t="str">
            <v>禄存星</v>
          </cell>
          <cell r="K2459" t="str">
            <v>天禄星</v>
          </cell>
        </row>
        <row r="2460">
          <cell r="H2460" t="str">
            <v>41+16</v>
          </cell>
          <cell r="I2460" t="str">
            <v>害</v>
          </cell>
          <cell r="J2460" t="str">
            <v>司禄星</v>
          </cell>
          <cell r="K2460" t="str">
            <v>天将星</v>
          </cell>
        </row>
        <row r="2461">
          <cell r="H2461" t="str">
            <v>41+17</v>
          </cell>
          <cell r="I2461" t="str">
            <v>自刑</v>
          </cell>
          <cell r="J2461" t="str">
            <v>車騎星</v>
          </cell>
          <cell r="K2461" t="str">
            <v>天堂星</v>
          </cell>
        </row>
        <row r="2462">
          <cell r="H2462" t="str">
            <v>41+18</v>
          </cell>
          <cell r="I2462" t="str">
            <v>－</v>
          </cell>
          <cell r="J2462" t="str">
            <v>牽牛星</v>
          </cell>
          <cell r="K2462" t="str">
            <v>天胡星</v>
          </cell>
        </row>
        <row r="2463">
          <cell r="H2463" t="str">
            <v>41+19</v>
          </cell>
          <cell r="I2463" t="str">
            <v>－</v>
          </cell>
          <cell r="J2463" t="str">
            <v>龍高星</v>
          </cell>
          <cell r="K2463" t="str">
            <v>天極星</v>
          </cell>
        </row>
        <row r="2464">
          <cell r="H2464" t="str">
            <v>41+20</v>
          </cell>
          <cell r="I2464" t="str">
            <v>－</v>
          </cell>
          <cell r="J2464" t="str">
            <v>玉堂星</v>
          </cell>
          <cell r="K2464" t="str">
            <v>天庫星</v>
          </cell>
        </row>
        <row r="2465">
          <cell r="H2465" t="str">
            <v>41+21</v>
          </cell>
          <cell r="I2465" t="str">
            <v>大半会</v>
          </cell>
          <cell r="J2465" t="str">
            <v>貫索星</v>
          </cell>
          <cell r="K2465" t="str">
            <v>天馳星</v>
          </cell>
        </row>
        <row r="2466">
          <cell r="H2466" t="str">
            <v>41+22</v>
          </cell>
          <cell r="I2466" t="str">
            <v>支合</v>
          </cell>
          <cell r="J2466" t="str">
            <v>石門星</v>
          </cell>
          <cell r="K2466" t="str">
            <v>天報星</v>
          </cell>
        </row>
        <row r="2467">
          <cell r="H2467" t="str">
            <v>41+23</v>
          </cell>
          <cell r="I2467" t="str">
            <v>対冲</v>
          </cell>
          <cell r="J2467" t="str">
            <v>鳳閣星</v>
          </cell>
          <cell r="K2467" t="str">
            <v>天印星</v>
          </cell>
        </row>
        <row r="2468">
          <cell r="H2468" t="str">
            <v>41+24</v>
          </cell>
          <cell r="I2468" t="str">
            <v>－</v>
          </cell>
          <cell r="J2468" t="str">
            <v>調舒星</v>
          </cell>
          <cell r="K2468" t="str">
            <v>天貴星</v>
          </cell>
        </row>
        <row r="2469">
          <cell r="H2469" t="str">
            <v>41+25</v>
          </cell>
          <cell r="I2469" t="str">
            <v>半会</v>
          </cell>
          <cell r="J2469" t="str">
            <v>禄存星</v>
          </cell>
          <cell r="K2469" t="str">
            <v>天恍星</v>
          </cell>
        </row>
        <row r="2470">
          <cell r="H2470" t="str">
            <v>41+26</v>
          </cell>
          <cell r="I2470" t="str">
            <v>破</v>
          </cell>
          <cell r="J2470" t="str">
            <v>司禄星</v>
          </cell>
          <cell r="K2470" t="str">
            <v>天南星</v>
          </cell>
        </row>
        <row r="2471">
          <cell r="H2471" t="str">
            <v>41+27</v>
          </cell>
          <cell r="I2471" t="str">
            <v>準方位</v>
          </cell>
          <cell r="J2471" t="str">
            <v>車騎星</v>
          </cell>
          <cell r="K2471" t="str">
            <v>天禄星</v>
          </cell>
        </row>
        <row r="2472">
          <cell r="H2472" t="str">
            <v>41+28</v>
          </cell>
          <cell r="I2472" t="str">
            <v>害</v>
          </cell>
          <cell r="J2472" t="str">
            <v>牽牛星</v>
          </cell>
          <cell r="K2472" t="str">
            <v>天将星</v>
          </cell>
        </row>
        <row r="2473">
          <cell r="H2473" t="str">
            <v>41+29</v>
          </cell>
          <cell r="I2473" t="str">
            <v>自刑</v>
          </cell>
          <cell r="J2473" t="str">
            <v>龍高星</v>
          </cell>
          <cell r="K2473" t="str">
            <v>天堂星</v>
          </cell>
        </row>
        <row r="2474">
          <cell r="H2474" t="str">
            <v>41+30</v>
          </cell>
          <cell r="I2474" t="str">
            <v>－</v>
          </cell>
          <cell r="J2474" t="str">
            <v>玉堂星</v>
          </cell>
          <cell r="K2474" t="str">
            <v>天胡星</v>
          </cell>
        </row>
        <row r="2475">
          <cell r="H2475" t="str">
            <v>41+31</v>
          </cell>
          <cell r="I2475" t="str">
            <v>－</v>
          </cell>
          <cell r="J2475" t="str">
            <v>貫索星</v>
          </cell>
          <cell r="K2475" t="str">
            <v>天極星</v>
          </cell>
        </row>
        <row r="2476">
          <cell r="H2476" t="str">
            <v>41+32</v>
          </cell>
          <cell r="I2476" t="str">
            <v>－</v>
          </cell>
          <cell r="J2476" t="str">
            <v>石門星</v>
          </cell>
          <cell r="K2476" t="str">
            <v>天庫星</v>
          </cell>
        </row>
        <row r="2477">
          <cell r="H2477" t="str">
            <v>41+33</v>
          </cell>
          <cell r="I2477" t="str">
            <v>半会</v>
          </cell>
          <cell r="J2477" t="str">
            <v>鳳閣星</v>
          </cell>
          <cell r="K2477" t="str">
            <v>天馳星</v>
          </cell>
        </row>
        <row r="2478">
          <cell r="H2478" t="str">
            <v>41+34</v>
          </cell>
          <cell r="I2478" t="str">
            <v>支合</v>
          </cell>
          <cell r="J2478" t="str">
            <v>調舒星</v>
          </cell>
          <cell r="K2478" t="str">
            <v>天報星</v>
          </cell>
        </row>
        <row r="2479">
          <cell r="H2479" t="str">
            <v>41+35</v>
          </cell>
          <cell r="I2479" t="str">
            <v>天剋地冲</v>
          </cell>
          <cell r="J2479" t="str">
            <v>禄存星</v>
          </cell>
          <cell r="K2479" t="str">
            <v>天印星</v>
          </cell>
        </row>
        <row r="2480">
          <cell r="H2480" t="str">
            <v>41+36</v>
          </cell>
          <cell r="I2480" t="str">
            <v>－</v>
          </cell>
          <cell r="J2480" t="str">
            <v>司禄星</v>
          </cell>
          <cell r="K2480" t="str">
            <v>天貴星</v>
          </cell>
        </row>
        <row r="2481">
          <cell r="H2481" t="str">
            <v>41+37</v>
          </cell>
          <cell r="I2481" t="str">
            <v>半会</v>
          </cell>
          <cell r="J2481" t="str">
            <v>車騎星</v>
          </cell>
          <cell r="K2481" t="str">
            <v>天恍星</v>
          </cell>
        </row>
        <row r="2482">
          <cell r="H2482" t="str">
            <v>41+38</v>
          </cell>
          <cell r="I2482" t="str">
            <v>破</v>
          </cell>
          <cell r="J2482" t="str">
            <v>牽牛星</v>
          </cell>
          <cell r="K2482" t="str">
            <v>天南星</v>
          </cell>
        </row>
        <row r="2483">
          <cell r="H2483" t="str">
            <v>41+39</v>
          </cell>
          <cell r="I2483" t="str">
            <v>準方位</v>
          </cell>
          <cell r="J2483" t="str">
            <v>龍高星</v>
          </cell>
          <cell r="K2483" t="str">
            <v>天禄星</v>
          </cell>
        </row>
        <row r="2484">
          <cell r="H2484" t="str">
            <v>41+40</v>
          </cell>
          <cell r="I2484" t="str">
            <v>害</v>
          </cell>
          <cell r="J2484" t="str">
            <v>玉堂星</v>
          </cell>
          <cell r="K2484" t="str">
            <v>天将星</v>
          </cell>
        </row>
        <row r="2485">
          <cell r="H2485" t="str">
            <v>41+41</v>
          </cell>
          <cell r="I2485" t="str">
            <v>律音</v>
          </cell>
          <cell r="J2485" t="str">
            <v>貫索星</v>
          </cell>
          <cell r="K2485" t="str">
            <v>天堂星</v>
          </cell>
        </row>
        <row r="2486">
          <cell r="H2486" t="str">
            <v>41+42</v>
          </cell>
          <cell r="I2486" t="str">
            <v>－</v>
          </cell>
          <cell r="J2486" t="str">
            <v>石門星</v>
          </cell>
          <cell r="K2486" t="str">
            <v>天胡星</v>
          </cell>
        </row>
        <row r="2487">
          <cell r="H2487" t="str">
            <v>41+43</v>
          </cell>
          <cell r="I2487" t="str">
            <v>－</v>
          </cell>
          <cell r="J2487" t="str">
            <v>鳳閣星</v>
          </cell>
          <cell r="K2487" t="str">
            <v>天極星</v>
          </cell>
        </row>
        <row r="2488">
          <cell r="H2488" t="str">
            <v>41+44</v>
          </cell>
          <cell r="I2488" t="str">
            <v>－</v>
          </cell>
          <cell r="J2488" t="str">
            <v>調舒星</v>
          </cell>
          <cell r="K2488" t="str">
            <v>天庫星</v>
          </cell>
        </row>
        <row r="2489">
          <cell r="H2489" t="str">
            <v>41+45</v>
          </cell>
          <cell r="I2489" t="str">
            <v>半会</v>
          </cell>
          <cell r="J2489" t="str">
            <v>禄存星</v>
          </cell>
          <cell r="K2489" t="str">
            <v>天馳星</v>
          </cell>
        </row>
        <row r="2490">
          <cell r="H2490" t="str">
            <v>41+46</v>
          </cell>
          <cell r="I2490" t="str">
            <v>支合</v>
          </cell>
          <cell r="J2490" t="str">
            <v>司禄星</v>
          </cell>
          <cell r="K2490" t="str">
            <v>天報星</v>
          </cell>
        </row>
        <row r="2491">
          <cell r="H2491" t="str">
            <v>41+47</v>
          </cell>
          <cell r="I2491" t="str">
            <v>天剋地冲</v>
          </cell>
          <cell r="J2491" t="str">
            <v>車騎星</v>
          </cell>
          <cell r="K2491" t="str">
            <v>天印星</v>
          </cell>
        </row>
        <row r="2492">
          <cell r="H2492" t="str">
            <v>41+48</v>
          </cell>
          <cell r="I2492" t="str">
            <v>－</v>
          </cell>
          <cell r="J2492" t="str">
            <v>牽牛星</v>
          </cell>
          <cell r="K2492" t="str">
            <v>天貴星</v>
          </cell>
        </row>
        <row r="2493">
          <cell r="H2493" t="str">
            <v>41+49</v>
          </cell>
          <cell r="I2493" t="str">
            <v>半会</v>
          </cell>
          <cell r="J2493" t="str">
            <v>龍高星</v>
          </cell>
          <cell r="K2493" t="str">
            <v>天恍星</v>
          </cell>
        </row>
        <row r="2494">
          <cell r="H2494" t="str">
            <v>41+50</v>
          </cell>
          <cell r="I2494" t="str">
            <v>破</v>
          </cell>
          <cell r="J2494" t="str">
            <v>玉堂星</v>
          </cell>
          <cell r="K2494" t="str">
            <v>天南星</v>
          </cell>
        </row>
        <row r="2495">
          <cell r="H2495" t="str">
            <v>41+51</v>
          </cell>
          <cell r="I2495" t="str">
            <v>準方位</v>
          </cell>
          <cell r="J2495" t="str">
            <v>貫索星</v>
          </cell>
          <cell r="K2495" t="str">
            <v>天禄星</v>
          </cell>
        </row>
        <row r="2496">
          <cell r="H2496" t="str">
            <v>41+52</v>
          </cell>
          <cell r="I2496" t="str">
            <v>害</v>
          </cell>
          <cell r="J2496" t="str">
            <v>石門星</v>
          </cell>
          <cell r="K2496" t="str">
            <v>天将星</v>
          </cell>
        </row>
        <row r="2497">
          <cell r="H2497" t="str">
            <v>41+53</v>
          </cell>
          <cell r="I2497" t="str">
            <v>自刑</v>
          </cell>
          <cell r="J2497" t="str">
            <v>鳳閣星</v>
          </cell>
          <cell r="K2497" t="str">
            <v>天堂星</v>
          </cell>
        </row>
        <row r="2498">
          <cell r="H2498" t="str">
            <v>41+54</v>
          </cell>
          <cell r="I2498" t="str">
            <v>－</v>
          </cell>
          <cell r="J2498" t="str">
            <v>調舒星</v>
          </cell>
          <cell r="K2498" t="str">
            <v>天胡星</v>
          </cell>
        </row>
        <row r="2499">
          <cell r="H2499" t="str">
            <v>41+55</v>
          </cell>
          <cell r="I2499" t="str">
            <v>－</v>
          </cell>
          <cell r="J2499" t="str">
            <v>禄存星</v>
          </cell>
          <cell r="K2499" t="str">
            <v>天極星</v>
          </cell>
        </row>
        <row r="2500">
          <cell r="H2500" t="str">
            <v>41+56</v>
          </cell>
          <cell r="I2500" t="str">
            <v>－</v>
          </cell>
          <cell r="J2500" t="str">
            <v>司禄星</v>
          </cell>
          <cell r="K2500" t="str">
            <v>天庫星</v>
          </cell>
        </row>
        <row r="2501">
          <cell r="H2501" t="str">
            <v>41+57</v>
          </cell>
          <cell r="I2501" t="str">
            <v>半会</v>
          </cell>
          <cell r="J2501" t="str">
            <v>車騎星</v>
          </cell>
          <cell r="K2501" t="str">
            <v>天馳星</v>
          </cell>
        </row>
        <row r="2502">
          <cell r="H2502" t="str">
            <v>41+58</v>
          </cell>
          <cell r="I2502" t="str">
            <v>支合</v>
          </cell>
          <cell r="J2502" t="str">
            <v>牽牛星</v>
          </cell>
          <cell r="K2502" t="str">
            <v>天報星</v>
          </cell>
        </row>
        <row r="2503">
          <cell r="H2503" t="str">
            <v>41+59</v>
          </cell>
          <cell r="I2503" t="str">
            <v>対冲</v>
          </cell>
          <cell r="J2503" t="str">
            <v>龍高星</v>
          </cell>
          <cell r="K2503" t="str">
            <v>天印星</v>
          </cell>
        </row>
        <row r="2504">
          <cell r="H2504" t="str">
            <v>41+60</v>
          </cell>
          <cell r="I2504" t="str">
            <v>－</v>
          </cell>
          <cell r="J2504" t="str">
            <v>玉堂星</v>
          </cell>
          <cell r="K2504" t="str">
            <v>天貴星</v>
          </cell>
        </row>
        <row r="2505">
          <cell r="H2505" t="str">
            <v>42+1</v>
          </cell>
          <cell r="I2505" t="str">
            <v>－</v>
          </cell>
          <cell r="J2505" t="str">
            <v>石門星</v>
          </cell>
          <cell r="K2505" t="str">
            <v>天胡星</v>
          </cell>
        </row>
        <row r="2506">
          <cell r="H2506" t="str">
            <v>42+2</v>
          </cell>
          <cell r="I2506" t="str">
            <v>大半会</v>
          </cell>
          <cell r="J2506" t="str">
            <v>貫索星</v>
          </cell>
          <cell r="K2506" t="str">
            <v>天堂星</v>
          </cell>
        </row>
        <row r="2507">
          <cell r="H2507" t="str">
            <v>42+3</v>
          </cell>
          <cell r="I2507" t="str">
            <v>害</v>
          </cell>
          <cell r="J2507" t="str">
            <v>調舒星</v>
          </cell>
          <cell r="K2507" t="str">
            <v>天将星</v>
          </cell>
        </row>
        <row r="2508">
          <cell r="H2508" t="str">
            <v>42+4</v>
          </cell>
          <cell r="I2508" t="str">
            <v>－</v>
          </cell>
          <cell r="J2508" t="str">
            <v>鳳閣星</v>
          </cell>
          <cell r="K2508" t="str">
            <v>天禄星</v>
          </cell>
        </row>
        <row r="2509">
          <cell r="H2509" t="str">
            <v>42+5</v>
          </cell>
          <cell r="I2509" t="str">
            <v>－</v>
          </cell>
          <cell r="J2509" t="str">
            <v>司禄星</v>
          </cell>
          <cell r="K2509" t="str">
            <v>天南星</v>
          </cell>
        </row>
        <row r="2510">
          <cell r="H2510" t="str">
            <v>42+6</v>
          </cell>
          <cell r="I2510" t="str">
            <v>同</v>
          </cell>
          <cell r="J2510" t="str">
            <v>禄存星</v>
          </cell>
          <cell r="K2510" t="str">
            <v>天恍星</v>
          </cell>
        </row>
        <row r="2511">
          <cell r="H2511" t="str">
            <v>42+7</v>
          </cell>
          <cell r="I2511" t="str">
            <v>準方位</v>
          </cell>
          <cell r="J2511" t="str">
            <v>牽牛星</v>
          </cell>
          <cell r="K2511" t="str">
            <v>天貴星</v>
          </cell>
        </row>
        <row r="2512">
          <cell r="H2512" t="str">
            <v>42+8</v>
          </cell>
          <cell r="I2512" t="str">
            <v>準方位</v>
          </cell>
          <cell r="J2512" t="str">
            <v>車騎星</v>
          </cell>
          <cell r="K2512" t="str">
            <v>天印星</v>
          </cell>
        </row>
        <row r="2513">
          <cell r="H2513" t="str">
            <v>42+9</v>
          </cell>
          <cell r="I2513" t="str">
            <v>支合</v>
          </cell>
          <cell r="J2513" t="str">
            <v>玉堂星</v>
          </cell>
          <cell r="K2513" t="str">
            <v>天報星</v>
          </cell>
        </row>
        <row r="2514">
          <cell r="H2514" t="str">
            <v>42+10</v>
          </cell>
          <cell r="I2514" t="str">
            <v>半会</v>
          </cell>
          <cell r="J2514" t="str">
            <v>龍高星</v>
          </cell>
          <cell r="K2514" t="str">
            <v>天馳星</v>
          </cell>
        </row>
        <row r="2515">
          <cell r="H2515" t="str">
            <v>42+11</v>
          </cell>
          <cell r="I2515" t="str">
            <v>－</v>
          </cell>
          <cell r="J2515" t="str">
            <v>石門星</v>
          </cell>
          <cell r="K2515" t="str">
            <v>天庫星</v>
          </cell>
        </row>
        <row r="2516">
          <cell r="H2516" t="str">
            <v>42+12</v>
          </cell>
          <cell r="I2516" t="str">
            <v>納音</v>
          </cell>
          <cell r="J2516" t="str">
            <v>貫索星</v>
          </cell>
          <cell r="K2516" t="str">
            <v>天極星</v>
          </cell>
        </row>
        <row r="2517">
          <cell r="H2517" t="str">
            <v>42+13</v>
          </cell>
          <cell r="I2517" t="str">
            <v>－</v>
          </cell>
          <cell r="J2517" t="str">
            <v>調舒星</v>
          </cell>
          <cell r="K2517" t="str">
            <v>天胡星</v>
          </cell>
        </row>
        <row r="2518">
          <cell r="H2518" t="str">
            <v>42+14</v>
          </cell>
          <cell r="I2518" t="str">
            <v>半会</v>
          </cell>
          <cell r="J2518" t="str">
            <v>鳳閣星</v>
          </cell>
          <cell r="K2518" t="str">
            <v>天堂星</v>
          </cell>
        </row>
        <row r="2519">
          <cell r="H2519" t="str">
            <v>42+15</v>
          </cell>
          <cell r="I2519" t="str">
            <v>害</v>
          </cell>
          <cell r="J2519" t="str">
            <v>司禄星</v>
          </cell>
          <cell r="K2519" t="str">
            <v>天将星</v>
          </cell>
        </row>
        <row r="2520">
          <cell r="H2520" t="str">
            <v>42+16</v>
          </cell>
          <cell r="I2520" t="str">
            <v>－</v>
          </cell>
          <cell r="J2520" t="str">
            <v>禄存星</v>
          </cell>
          <cell r="K2520" t="str">
            <v>天禄星</v>
          </cell>
        </row>
        <row r="2521">
          <cell r="H2521" t="str">
            <v>42+17</v>
          </cell>
          <cell r="I2521" t="str">
            <v>－</v>
          </cell>
          <cell r="J2521" t="str">
            <v>牽牛星</v>
          </cell>
          <cell r="K2521" t="str">
            <v>天南星</v>
          </cell>
        </row>
        <row r="2522">
          <cell r="H2522" t="str">
            <v>42+18</v>
          </cell>
          <cell r="I2522" t="str">
            <v>同</v>
          </cell>
          <cell r="J2522" t="str">
            <v>車騎星</v>
          </cell>
          <cell r="K2522" t="str">
            <v>天恍星</v>
          </cell>
        </row>
        <row r="2523">
          <cell r="H2523" t="str">
            <v>42+19</v>
          </cell>
          <cell r="I2523" t="str">
            <v>準方位</v>
          </cell>
          <cell r="J2523" t="str">
            <v>玉堂星</v>
          </cell>
          <cell r="K2523" t="str">
            <v>天貴星</v>
          </cell>
        </row>
        <row r="2524">
          <cell r="H2524" t="str">
            <v>42+20</v>
          </cell>
          <cell r="I2524" t="str">
            <v>準方位</v>
          </cell>
          <cell r="J2524" t="str">
            <v>龍高星</v>
          </cell>
          <cell r="K2524" t="str">
            <v>天印星</v>
          </cell>
        </row>
        <row r="2525">
          <cell r="H2525" t="str">
            <v>42+21</v>
          </cell>
          <cell r="I2525" t="str">
            <v>支合</v>
          </cell>
          <cell r="J2525" t="str">
            <v>石門星</v>
          </cell>
          <cell r="K2525" t="str">
            <v>天報星</v>
          </cell>
        </row>
        <row r="2526">
          <cell r="H2526" t="str">
            <v>42+22</v>
          </cell>
          <cell r="I2526" t="str">
            <v>大半会</v>
          </cell>
          <cell r="J2526" t="str">
            <v>貫索星</v>
          </cell>
          <cell r="K2526" t="str">
            <v>天馳星</v>
          </cell>
        </row>
        <row r="2527">
          <cell r="H2527" t="str">
            <v>42+23</v>
          </cell>
          <cell r="I2527" t="str">
            <v>－</v>
          </cell>
          <cell r="J2527" t="str">
            <v>調舒星</v>
          </cell>
          <cell r="K2527" t="str">
            <v>天庫星</v>
          </cell>
        </row>
        <row r="2528">
          <cell r="H2528" t="str">
            <v>42+24</v>
          </cell>
          <cell r="I2528" t="str">
            <v>対冲</v>
          </cell>
          <cell r="J2528" t="str">
            <v>鳳閣星</v>
          </cell>
          <cell r="K2528" t="str">
            <v>天極星</v>
          </cell>
        </row>
        <row r="2529">
          <cell r="H2529" t="str">
            <v>42+25</v>
          </cell>
          <cell r="I2529" t="str">
            <v>－</v>
          </cell>
          <cell r="J2529" t="str">
            <v>司禄星</v>
          </cell>
          <cell r="K2529" t="str">
            <v>天胡星</v>
          </cell>
        </row>
        <row r="2530">
          <cell r="H2530" t="str">
            <v>42+26</v>
          </cell>
          <cell r="I2530" t="str">
            <v>半会</v>
          </cell>
          <cell r="J2530" t="str">
            <v>禄存星</v>
          </cell>
          <cell r="K2530" t="str">
            <v>天堂星</v>
          </cell>
        </row>
        <row r="2531">
          <cell r="H2531" t="str">
            <v>42+27</v>
          </cell>
          <cell r="I2531" t="str">
            <v>害</v>
          </cell>
          <cell r="J2531" t="str">
            <v>牽牛星</v>
          </cell>
          <cell r="K2531" t="str">
            <v>天将星</v>
          </cell>
        </row>
        <row r="2532">
          <cell r="H2532" t="str">
            <v>42+28</v>
          </cell>
          <cell r="I2532" t="str">
            <v>－</v>
          </cell>
          <cell r="J2532" t="str">
            <v>車騎星</v>
          </cell>
          <cell r="K2532" t="str">
            <v>天禄星</v>
          </cell>
        </row>
        <row r="2533">
          <cell r="H2533" t="str">
            <v>42+29</v>
          </cell>
          <cell r="I2533" t="str">
            <v>－</v>
          </cell>
          <cell r="J2533" t="str">
            <v>玉堂星</v>
          </cell>
          <cell r="K2533" t="str">
            <v>天南星</v>
          </cell>
        </row>
        <row r="2534">
          <cell r="H2534" t="str">
            <v>42+30</v>
          </cell>
          <cell r="I2534" t="str">
            <v>同</v>
          </cell>
          <cell r="J2534" t="str">
            <v>龍高星</v>
          </cell>
          <cell r="K2534" t="str">
            <v>天恍星</v>
          </cell>
        </row>
        <row r="2535">
          <cell r="H2535" t="str">
            <v>42+31</v>
          </cell>
          <cell r="I2535" t="str">
            <v>準方位</v>
          </cell>
          <cell r="J2535" t="str">
            <v>石門星</v>
          </cell>
          <cell r="K2535" t="str">
            <v>天貴星</v>
          </cell>
        </row>
        <row r="2536">
          <cell r="H2536" t="str">
            <v>42+32</v>
          </cell>
          <cell r="I2536" t="str">
            <v>準方位</v>
          </cell>
          <cell r="J2536" t="str">
            <v>貫索星</v>
          </cell>
          <cell r="K2536" t="str">
            <v>天印星</v>
          </cell>
        </row>
        <row r="2537">
          <cell r="H2537" t="str">
            <v>42+33</v>
          </cell>
          <cell r="I2537" t="str">
            <v>支合</v>
          </cell>
          <cell r="J2537" t="str">
            <v>調舒星</v>
          </cell>
          <cell r="K2537" t="str">
            <v>天報星</v>
          </cell>
        </row>
        <row r="2538">
          <cell r="H2538" t="str">
            <v>42+34</v>
          </cell>
          <cell r="I2538" t="str">
            <v>半会</v>
          </cell>
          <cell r="J2538" t="str">
            <v>鳳閣星</v>
          </cell>
          <cell r="K2538" t="str">
            <v>天馳星</v>
          </cell>
        </row>
        <row r="2539">
          <cell r="H2539" t="str">
            <v>42+35</v>
          </cell>
          <cell r="I2539" t="str">
            <v>－</v>
          </cell>
          <cell r="J2539" t="str">
            <v>司禄星</v>
          </cell>
          <cell r="K2539" t="str">
            <v>天庫星</v>
          </cell>
        </row>
        <row r="2540">
          <cell r="H2540" t="str">
            <v>42+36</v>
          </cell>
          <cell r="I2540" t="str">
            <v>天剋地冲</v>
          </cell>
          <cell r="J2540" t="str">
            <v>禄存星</v>
          </cell>
          <cell r="K2540" t="str">
            <v>天極星</v>
          </cell>
        </row>
        <row r="2541">
          <cell r="H2541" t="str">
            <v>42+37</v>
          </cell>
          <cell r="I2541" t="str">
            <v>－</v>
          </cell>
          <cell r="J2541" t="str">
            <v>牽牛星</v>
          </cell>
          <cell r="K2541" t="str">
            <v>天胡星</v>
          </cell>
        </row>
        <row r="2542">
          <cell r="H2542" t="str">
            <v>42+38</v>
          </cell>
          <cell r="I2542" t="str">
            <v>半会</v>
          </cell>
          <cell r="J2542" t="str">
            <v>車騎星</v>
          </cell>
          <cell r="K2542" t="str">
            <v>天堂星</v>
          </cell>
        </row>
        <row r="2543">
          <cell r="H2543" t="str">
            <v>42+39</v>
          </cell>
          <cell r="I2543" t="str">
            <v>害</v>
          </cell>
          <cell r="J2543" t="str">
            <v>玉堂星</v>
          </cell>
          <cell r="K2543" t="str">
            <v>天将星</v>
          </cell>
        </row>
        <row r="2544">
          <cell r="H2544" t="str">
            <v>42+40</v>
          </cell>
          <cell r="I2544" t="str">
            <v>－</v>
          </cell>
          <cell r="J2544" t="str">
            <v>龍高星</v>
          </cell>
          <cell r="K2544" t="str">
            <v>天禄星</v>
          </cell>
        </row>
        <row r="2545">
          <cell r="H2545" t="str">
            <v>42+41</v>
          </cell>
          <cell r="I2545" t="str">
            <v>－</v>
          </cell>
          <cell r="J2545" t="str">
            <v>石門星</v>
          </cell>
          <cell r="K2545" t="str">
            <v>天南星</v>
          </cell>
        </row>
        <row r="2546">
          <cell r="H2546" t="str">
            <v>42+42</v>
          </cell>
          <cell r="I2546" t="str">
            <v>律音</v>
          </cell>
          <cell r="J2546" t="str">
            <v>貫索星</v>
          </cell>
          <cell r="K2546" t="str">
            <v>天恍星</v>
          </cell>
        </row>
        <row r="2547">
          <cell r="H2547" t="str">
            <v>42+43</v>
          </cell>
          <cell r="I2547" t="str">
            <v>準方位</v>
          </cell>
          <cell r="J2547" t="str">
            <v>調舒星</v>
          </cell>
          <cell r="K2547" t="str">
            <v>天貴星</v>
          </cell>
        </row>
        <row r="2548">
          <cell r="H2548" t="str">
            <v>42+44</v>
          </cell>
          <cell r="I2548" t="str">
            <v>準方位</v>
          </cell>
          <cell r="J2548" t="str">
            <v>鳳閣星</v>
          </cell>
          <cell r="K2548" t="str">
            <v>天印星</v>
          </cell>
        </row>
        <row r="2549">
          <cell r="H2549" t="str">
            <v>42+45</v>
          </cell>
          <cell r="I2549" t="str">
            <v>支合</v>
          </cell>
          <cell r="J2549" t="str">
            <v>司禄星</v>
          </cell>
          <cell r="K2549" t="str">
            <v>天報星</v>
          </cell>
        </row>
        <row r="2550">
          <cell r="H2550" t="str">
            <v>42+46</v>
          </cell>
          <cell r="I2550" t="str">
            <v>半会</v>
          </cell>
          <cell r="J2550" t="str">
            <v>禄存星</v>
          </cell>
          <cell r="K2550" t="str">
            <v>天馳星</v>
          </cell>
        </row>
        <row r="2551">
          <cell r="H2551" t="str">
            <v>42+47</v>
          </cell>
          <cell r="I2551" t="str">
            <v>－</v>
          </cell>
          <cell r="J2551" t="str">
            <v>牽牛星</v>
          </cell>
          <cell r="K2551" t="str">
            <v>天庫星</v>
          </cell>
        </row>
        <row r="2552">
          <cell r="H2552" t="str">
            <v>42+48</v>
          </cell>
          <cell r="I2552" t="str">
            <v>天剋地冲</v>
          </cell>
          <cell r="J2552" t="str">
            <v>車騎星</v>
          </cell>
          <cell r="K2552" t="str">
            <v>天極星</v>
          </cell>
        </row>
        <row r="2553">
          <cell r="H2553" t="str">
            <v>42+49</v>
          </cell>
          <cell r="I2553" t="str">
            <v>－</v>
          </cell>
          <cell r="J2553" t="str">
            <v>玉堂星</v>
          </cell>
          <cell r="K2553" t="str">
            <v>天胡星</v>
          </cell>
        </row>
        <row r="2554">
          <cell r="H2554" t="str">
            <v>42+50</v>
          </cell>
          <cell r="I2554" t="str">
            <v>半会</v>
          </cell>
          <cell r="J2554" t="str">
            <v>龍高星</v>
          </cell>
          <cell r="K2554" t="str">
            <v>天堂星</v>
          </cell>
        </row>
        <row r="2555">
          <cell r="H2555" t="str">
            <v>42+51</v>
          </cell>
          <cell r="I2555" t="str">
            <v>害</v>
          </cell>
          <cell r="J2555" t="str">
            <v>石門星</v>
          </cell>
          <cell r="K2555" t="str">
            <v>天将星</v>
          </cell>
        </row>
        <row r="2556">
          <cell r="H2556" t="str">
            <v>42+52</v>
          </cell>
          <cell r="I2556" t="str">
            <v>－</v>
          </cell>
          <cell r="J2556" t="str">
            <v>貫索星</v>
          </cell>
          <cell r="K2556" t="str">
            <v>天禄星</v>
          </cell>
        </row>
        <row r="2557">
          <cell r="H2557" t="str">
            <v>42+53</v>
          </cell>
          <cell r="I2557" t="str">
            <v>－</v>
          </cell>
          <cell r="J2557" t="str">
            <v>調舒星</v>
          </cell>
          <cell r="K2557" t="str">
            <v>天南星</v>
          </cell>
        </row>
        <row r="2558">
          <cell r="H2558" t="str">
            <v>42+54</v>
          </cell>
          <cell r="I2558" t="str">
            <v>同</v>
          </cell>
          <cell r="J2558" t="str">
            <v>鳳閣星</v>
          </cell>
          <cell r="K2558" t="str">
            <v>天恍星</v>
          </cell>
        </row>
        <row r="2559">
          <cell r="H2559" t="str">
            <v>42+55</v>
          </cell>
          <cell r="I2559" t="str">
            <v>準方位</v>
          </cell>
          <cell r="J2559" t="str">
            <v>司禄星</v>
          </cell>
          <cell r="K2559" t="str">
            <v>天貴星</v>
          </cell>
        </row>
        <row r="2560">
          <cell r="H2560" t="str">
            <v>42+56</v>
          </cell>
          <cell r="I2560" t="str">
            <v>準方位</v>
          </cell>
          <cell r="J2560" t="str">
            <v>禄存星</v>
          </cell>
          <cell r="K2560" t="str">
            <v>天印星</v>
          </cell>
        </row>
        <row r="2561">
          <cell r="H2561" t="str">
            <v>42+57</v>
          </cell>
          <cell r="I2561" t="str">
            <v>支合</v>
          </cell>
          <cell r="J2561" t="str">
            <v>牽牛星</v>
          </cell>
          <cell r="K2561" t="str">
            <v>天報星</v>
          </cell>
        </row>
        <row r="2562">
          <cell r="H2562" t="str">
            <v>42+58</v>
          </cell>
          <cell r="I2562" t="str">
            <v>半会</v>
          </cell>
          <cell r="J2562" t="str">
            <v>車騎星</v>
          </cell>
          <cell r="K2562" t="str">
            <v>天馳星</v>
          </cell>
        </row>
        <row r="2563">
          <cell r="H2563" t="str">
            <v>42+59</v>
          </cell>
          <cell r="I2563" t="str">
            <v>－</v>
          </cell>
          <cell r="J2563" t="str">
            <v>玉堂星</v>
          </cell>
          <cell r="K2563" t="str">
            <v>天庫星</v>
          </cell>
        </row>
        <row r="2564">
          <cell r="H2564" t="str">
            <v>42+60</v>
          </cell>
          <cell r="I2564" t="str">
            <v>対冲</v>
          </cell>
          <cell r="J2564" t="str">
            <v>龍高星</v>
          </cell>
          <cell r="K2564" t="str">
            <v>天極星</v>
          </cell>
        </row>
        <row r="2565">
          <cell r="H2565" t="str">
            <v>43+1</v>
          </cell>
          <cell r="I2565" t="str">
            <v>対冲</v>
          </cell>
          <cell r="J2565" t="str">
            <v>龍高星</v>
          </cell>
          <cell r="K2565" t="str">
            <v>天報星</v>
          </cell>
        </row>
        <row r="2566">
          <cell r="H2566" t="str">
            <v>43+2</v>
          </cell>
          <cell r="I2566" t="str">
            <v>害</v>
          </cell>
          <cell r="J2566" t="str">
            <v>玉堂星</v>
          </cell>
          <cell r="K2566" t="str">
            <v>天印星</v>
          </cell>
        </row>
        <row r="2567">
          <cell r="H2567" t="str">
            <v>43+3</v>
          </cell>
          <cell r="I2567" t="str">
            <v>大半会</v>
          </cell>
          <cell r="J2567" t="str">
            <v>貫索星</v>
          </cell>
          <cell r="K2567" t="str">
            <v>天貴星</v>
          </cell>
        </row>
        <row r="2568">
          <cell r="H2568" t="str">
            <v>43+4</v>
          </cell>
          <cell r="I2568" t="str">
            <v>破</v>
          </cell>
          <cell r="J2568" t="str">
            <v>石門星</v>
          </cell>
          <cell r="K2568" t="str">
            <v>天恍星</v>
          </cell>
        </row>
        <row r="2569">
          <cell r="H2569" t="str">
            <v>43+5</v>
          </cell>
          <cell r="I2569" t="str">
            <v>－</v>
          </cell>
          <cell r="J2569" t="str">
            <v>鳳閣星</v>
          </cell>
          <cell r="K2569" t="str">
            <v>天南星</v>
          </cell>
        </row>
        <row r="2570">
          <cell r="H2570" t="str">
            <v>43+6</v>
          </cell>
          <cell r="I2570" t="str">
            <v>準方位</v>
          </cell>
          <cell r="J2570" t="str">
            <v>調舒星</v>
          </cell>
          <cell r="K2570" t="str">
            <v>天禄星</v>
          </cell>
        </row>
        <row r="2571">
          <cell r="H2571" t="str">
            <v>43+7</v>
          </cell>
          <cell r="I2571" t="str">
            <v>自刑</v>
          </cell>
          <cell r="J2571" t="str">
            <v>禄存星</v>
          </cell>
          <cell r="K2571" t="str">
            <v>天将星</v>
          </cell>
        </row>
        <row r="2572">
          <cell r="H2572" t="str">
            <v>43+8</v>
          </cell>
          <cell r="I2572" t="str">
            <v>支合</v>
          </cell>
          <cell r="J2572" t="str">
            <v>司禄星</v>
          </cell>
          <cell r="K2572" t="str">
            <v>天堂星</v>
          </cell>
        </row>
        <row r="2573">
          <cell r="H2573" t="str">
            <v>43+9</v>
          </cell>
          <cell r="I2573" t="str">
            <v>－</v>
          </cell>
          <cell r="J2573" t="str">
            <v>車騎星</v>
          </cell>
          <cell r="K2573" t="str">
            <v>天胡星</v>
          </cell>
        </row>
        <row r="2574">
          <cell r="H2574" t="str">
            <v>43+10</v>
          </cell>
          <cell r="I2574" t="str">
            <v>－</v>
          </cell>
          <cell r="J2574" t="str">
            <v>牽牛星</v>
          </cell>
          <cell r="K2574" t="str">
            <v>天極星</v>
          </cell>
        </row>
        <row r="2575">
          <cell r="H2575" t="str">
            <v>43+11</v>
          </cell>
          <cell r="I2575" t="str">
            <v>半会</v>
          </cell>
          <cell r="J2575" t="str">
            <v>龍高星</v>
          </cell>
          <cell r="K2575" t="str">
            <v>天庫星</v>
          </cell>
        </row>
        <row r="2576">
          <cell r="H2576" t="str">
            <v>43+12</v>
          </cell>
          <cell r="I2576" t="str">
            <v>－</v>
          </cell>
          <cell r="J2576" t="str">
            <v>玉堂星</v>
          </cell>
          <cell r="K2576" t="str">
            <v>天馳星</v>
          </cell>
        </row>
        <row r="2577">
          <cell r="H2577" t="str">
            <v>43+13</v>
          </cell>
          <cell r="I2577" t="str">
            <v>納音</v>
          </cell>
          <cell r="J2577" t="str">
            <v>貫索星</v>
          </cell>
          <cell r="K2577" t="str">
            <v>天報星</v>
          </cell>
        </row>
        <row r="2578">
          <cell r="H2578" t="str">
            <v>43+14</v>
          </cell>
          <cell r="I2578" t="str">
            <v>害</v>
          </cell>
          <cell r="J2578" t="str">
            <v>石門星</v>
          </cell>
          <cell r="K2578" t="str">
            <v>天印星</v>
          </cell>
        </row>
        <row r="2579">
          <cell r="H2579" t="str">
            <v>43+15</v>
          </cell>
          <cell r="I2579" t="str">
            <v>半会</v>
          </cell>
          <cell r="J2579" t="str">
            <v>鳳閣星</v>
          </cell>
          <cell r="K2579" t="str">
            <v>天貴星</v>
          </cell>
        </row>
        <row r="2580">
          <cell r="H2580" t="str">
            <v>43+16</v>
          </cell>
          <cell r="I2580" t="str">
            <v>破</v>
          </cell>
          <cell r="J2580" t="str">
            <v>調舒星</v>
          </cell>
          <cell r="K2580" t="str">
            <v>天恍星</v>
          </cell>
        </row>
        <row r="2581">
          <cell r="H2581" t="str">
            <v>43+17</v>
          </cell>
          <cell r="I2581" t="str">
            <v>－</v>
          </cell>
          <cell r="J2581" t="str">
            <v>禄存星</v>
          </cell>
          <cell r="K2581" t="str">
            <v>天南星</v>
          </cell>
        </row>
        <row r="2582">
          <cell r="H2582" t="str">
            <v>43+18</v>
          </cell>
          <cell r="I2582" t="str">
            <v>準方位</v>
          </cell>
          <cell r="J2582" t="str">
            <v>司禄星</v>
          </cell>
          <cell r="K2582" t="str">
            <v>天禄星</v>
          </cell>
        </row>
        <row r="2583">
          <cell r="H2583" t="str">
            <v>43+19</v>
          </cell>
          <cell r="I2583" t="str">
            <v>自刑</v>
          </cell>
          <cell r="J2583" t="str">
            <v>車騎星</v>
          </cell>
          <cell r="K2583" t="str">
            <v>天将星</v>
          </cell>
        </row>
        <row r="2584">
          <cell r="H2584" t="str">
            <v>43+20</v>
          </cell>
          <cell r="I2584" t="str">
            <v>支合</v>
          </cell>
          <cell r="J2584" t="str">
            <v>牽牛星</v>
          </cell>
          <cell r="K2584" t="str">
            <v>天堂星</v>
          </cell>
        </row>
        <row r="2585">
          <cell r="H2585" t="str">
            <v>43+21</v>
          </cell>
          <cell r="I2585" t="str">
            <v>－</v>
          </cell>
          <cell r="J2585" t="str">
            <v>龍高星</v>
          </cell>
          <cell r="K2585" t="str">
            <v>天胡星</v>
          </cell>
        </row>
        <row r="2586">
          <cell r="H2586" t="str">
            <v>43+22</v>
          </cell>
          <cell r="I2586" t="str">
            <v>－</v>
          </cell>
          <cell r="J2586" t="str">
            <v>玉堂星</v>
          </cell>
          <cell r="K2586" t="str">
            <v>天極星</v>
          </cell>
        </row>
        <row r="2587">
          <cell r="H2587" t="str">
            <v>43+23</v>
          </cell>
          <cell r="I2587" t="str">
            <v>大半会</v>
          </cell>
          <cell r="J2587" t="str">
            <v>貫索星</v>
          </cell>
          <cell r="K2587" t="str">
            <v>天庫星</v>
          </cell>
        </row>
        <row r="2588">
          <cell r="H2588" t="str">
            <v>43+24</v>
          </cell>
          <cell r="I2588" t="str">
            <v>－</v>
          </cell>
          <cell r="J2588" t="str">
            <v>石門星</v>
          </cell>
          <cell r="K2588" t="str">
            <v>天馳星</v>
          </cell>
        </row>
        <row r="2589">
          <cell r="H2589" t="str">
            <v>43+25</v>
          </cell>
          <cell r="I2589" t="str">
            <v>対冲</v>
          </cell>
          <cell r="J2589" t="str">
            <v>鳳閣星</v>
          </cell>
          <cell r="K2589" t="str">
            <v>天報星</v>
          </cell>
        </row>
        <row r="2590">
          <cell r="H2590" t="str">
            <v>43+26</v>
          </cell>
          <cell r="I2590" t="str">
            <v>害</v>
          </cell>
          <cell r="J2590" t="str">
            <v>調舒星</v>
          </cell>
          <cell r="K2590" t="str">
            <v>天印星</v>
          </cell>
        </row>
        <row r="2591">
          <cell r="H2591" t="str">
            <v>43+27</v>
          </cell>
          <cell r="I2591" t="str">
            <v>半会</v>
          </cell>
          <cell r="J2591" t="str">
            <v>禄存星</v>
          </cell>
          <cell r="K2591" t="str">
            <v>天貴星</v>
          </cell>
        </row>
        <row r="2592">
          <cell r="H2592" t="str">
            <v>43+28</v>
          </cell>
          <cell r="I2592" t="str">
            <v>破</v>
          </cell>
          <cell r="J2592" t="str">
            <v>司禄星</v>
          </cell>
          <cell r="K2592" t="str">
            <v>天恍星</v>
          </cell>
        </row>
        <row r="2593">
          <cell r="H2593" t="str">
            <v>43+29</v>
          </cell>
          <cell r="I2593" t="str">
            <v>－</v>
          </cell>
          <cell r="J2593" t="str">
            <v>車騎星</v>
          </cell>
          <cell r="K2593" t="str">
            <v>天南星</v>
          </cell>
        </row>
        <row r="2594">
          <cell r="H2594" t="str">
            <v>43+30</v>
          </cell>
          <cell r="I2594" t="str">
            <v>準方位</v>
          </cell>
          <cell r="J2594" t="str">
            <v>牽牛星</v>
          </cell>
          <cell r="K2594" t="str">
            <v>天禄星</v>
          </cell>
        </row>
        <row r="2595">
          <cell r="H2595" t="str">
            <v>43+31</v>
          </cell>
          <cell r="I2595" t="str">
            <v>自刑</v>
          </cell>
          <cell r="J2595" t="str">
            <v>龍高星</v>
          </cell>
          <cell r="K2595" t="str">
            <v>天将星</v>
          </cell>
        </row>
        <row r="2596">
          <cell r="H2596" t="str">
            <v>43+32</v>
          </cell>
          <cell r="I2596" t="str">
            <v>支合</v>
          </cell>
          <cell r="J2596" t="str">
            <v>玉堂星</v>
          </cell>
          <cell r="K2596" t="str">
            <v>天堂星</v>
          </cell>
        </row>
        <row r="2597">
          <cell r="H2597" t="str">
            <v>43+33</v>
          </cell>
          <cell r="I2597" t="str">
            <v>－</v>
          </cell>
          <cell r="J2597" t="str">
            <v>貫索星</v>
          </cell>
          <cell r="K2597" t="str">
            <v>天胡星</v>
          </cell>
        </row>
        <row r="2598">
          <cell r="H2598" t="str">
            <v>43+34</v>
          </cell>
          <cell r="I2598" t="str">
            <v>－</v>
          </cell>
          <cell r="J2598" t="str">
            <v>石門星</v>
          </cell>
          <cell r="K2598" t="str">
            <v>天極星</v>
          </cell>
        </row>
        <row r="2599">
          <cell r="H2599" t="str">
            <v>43+35</v>
          </cell>
          <cell r="I2599" t="str">
            <v>半会</v>
          </cell>
          <cell r="J2599" t="str">
            <v>鳳閣星</v>
          </cell>
          <cell r="K2599" t="str">
            <v>天庫星</v>
          </cell>
        </row>
        <row r="2600">
          <cell r="H2600" t="str">
            <v>43+36</v>
          </cell>
          <cell r="I2600" t="str">
            <v>－</v>
          </cell>
          <cell r="J2600" t="str">
            <v>調舒星</v>
          </cell>
          <cell r="K2600" t="str">
            <v>天馳星</v>
          </cell>
        </row>
        <row r="2601">
          <cell r="H2601" t="str">
            <v>43+37</v>
          </cell>
          <cell r="I2601" t="str">
            <v>天剋地冲</v>
          </cell>
          <cell r="J2601" t="str">
            <v>禄存星</v>
          </cell>
          <cell r="K2601" t="str">
            <v>天報星</v>
          </cell>
        </row>
        <row r="2602">
          <cell r="H2602" t="str">
            <v>43+38</v>
          </cell>
          <cell r="I2602" t="str">
            <v>害</v>
          </cell>
          <cell r="J2602" t="str">
            <v>司禄星</v>
          </cell>
          <cell r="K2602" t="str">
            <v>天印星</v>
          </cell>
        </row>
        <row r="2603">
          <cell r="H2603" t="str">
            <v>43+39</v>
          </cell>
          <cell r="I2603" t="str">
            <v>半会</v>
          </cell>
          <cell r="J2603" t="str">
            <v>車騎星</v>
          </cell>
          <cell r="K2603" t="str">
            <v>天貴星</v>
          </cell>
        </row>
        <row r="2604">
          <cell r="H2604" t="str">
            <v>43+40</v>
          </cell>
          <cell r="I2604" t="str">
            <v>破</v>
          </cell>
          <cell r="J2604" t="str">
            <v>牽牛星</v>
          </cell>
          <cell r="K2604" t="str">
            <v>天恍星</v>
          </cell>
        </row>
        <row r="2605">
          <cell r="H2605" t="str">
            <v>43+41</v>
          </cell>
          <cell r="I2605" t="str">
            <v>－</v>
          </cell>
          <cell r="J2605" t="str">
            <v>龍高星</v>
          </cell>
          <cell r="K2605" t="str">
            <v>天南星</v>
          </cell>
        </row>
        <row r="2606">
          <cell r="H2606" t="str">
            <v>43+42</v>
          </cell>
          <cell r="I2606" t="str">
            <v>準方位</v>
          </cell>
          <cell r="J2606" t="str">
            <v>玉堂星</v>
          </cell>
          <cell r="K2606" t="str">
            <v>天禄星</v>
          </cell>
        </row>
        <row r="2607">
          <cell r="H2607" t="str">
            <v>43+43</v>
          </cell>
          <cell r="I2607" t="str">
            <v>律音</v>
          </cell>
          <cell r="J2607" t="str">
            <v>貫索星</v>
          </cell>
          <cell r="K2607" t="str">
            <v>天将星</v>
          </cell>
        </row>
        <row r="2608">
          <cell r="H2608" t="str">
            <v>43+44</v>
          </cell>
          <cell r="I2608" t="str">
            <v>支合</v>
          </cell>
          <cell r="J2608" t="str">
            <v>石門星</v>
          </cell>
          <cell r="K2608" t="str">
            <v>天堂星</v>
          </cell>
        </row>
        <row r="2609">
          <cell r="H2609" t="str">
            <v>43+45</v>
          </cell>
          <cell r="I2609" t="str">
            <v>－</v>
          </cell>
          <cell r="J2609" t="str">
            <v>鳳閣星</v>
          </cell>
          <cell r="K2609" t="str">
            <v>天胡星</v>
          </cell>
        </row>
        <row r="2610">
          <cell r="H2610" t="str">
            <v>43+46</v>
          </cell>
          <cell r="I2610" t="str">
            <v>－</v>
          </cell>
          <cell r="J2610" t="str">
            <v>調舒星</v>
          </cell>
          <cell r="K2610" t="str">
            <v>天極星</v>
          </cell>
        </row>
        <row r="2611">
          <cell r="H2611" t="str">
            <v>43+47</v>
          </cell>
          <cell r="I2611" t="str">
            <v>半会</v>
          </cell>
          <cell r="J2611" t="str">
            <v>禄存星</v>
          </cell>
          <cell r="K2611" t="str">
            <v>天庫星</v>
          </cell>
        </row>
        <row r="2612">
          <cell r="H2612" t="str">
            <v>43+48</v>
          </cell>
          <cell r="I2612" t="str">
            <v>－</v>
          </cell>
          <cell r="J2612" t="str">
            <v>司禄星</v>
          </cell>
          <cell r="K2612" t="str">
            <v>天馳星</v>
          </cell>
        </row>
        <row r="2613">
          <cell r="H2613" t="str">
            <v>43+49</v>
          </cell>
          <cell r="I2613" t="str">
            <v>天剋地冲</v>
          </cell>
          <cell r="J2613" t="str">
            <v>車騎星</v>
          </cell>
          <cell r="K2613" t="str">
            <v>天報星</v>
          </cell>
        </row>
        <row r="2614">
          <cell r="H2614" t="str">
            <v>43+50</v>
          </cell>
          <cell r="I2614" t="str">
            <v>害</v>
          </cell>
          <cell r="J2614" t="str">
            <v>牽牛星</v>
          </cell>
          <cell r="K2614" t="str">
            <v>天印星</v>
          </cell>
        </row>
        <row r="2615">
          <cell r="H2615" t="str">
            <v>43+51</v>
          </cell>
          <cell r="I2615" t="str">
            <v>半会</v>
          </cell>
          <cell r="J2615" t="str">
            <v>龍高星</v>
          </cell>
          <cell r="K2615" t="str">
            <v>天貴星</v>
          </cell>
        </row>
        <row r="2616">
          <cell r="H2616" t="str">
            <v>43+52</v>
          </cell>
          <cell r="I2616" t="str">
            <v>破</v>
          </cell>
          <cell r="J2616" t="str">
            <v>玉堂星</v>
          </cell>
          <cell r="K2616" t="str">
            <v>天恍星</v>
          </cell>
        </row>
        <row r="2617">
          <cell r="H2617" t="str">
            <v>43+53</v>
          </cell>
          <cell r="I2617" t="str">
            <v>－</v>
          </cell>
          <cell r="J2617" t="str">
            <v>貫索星</v>
          </cell>
          <cell r="K2617" t="str">
            <v>天南星</v>
          </cell>
        </row>
        <row r="2618">
          <cell r="H2618" t="str">
            <v>43+54</v>
          </cell>
          <cell r="I2618" t="str">
            <v>準方位</v>
          </cell>
          <cell r="J2618" t="str">
            <v>石門星</v>
          </cell>
          <cell r="K2618" t="str">
            <v>天禄星</v>
          </cell>
        </row>
        <row r="2619">
          <cell r="H2619" t="str">
            <v>43+55</v>
          </cell>
          <cell r="I2619" t="str">
            <v>自刑</v>
          </cell>
          <cell r="J2619" t="str">
            <v>鳳閣星</v>
          </cell>
          <cell r="K2619" t="str">
            <v>天将星</v>
          </cell>
        </row>
        <row r="2620">
          <cell r="H2620" t="str">
            <v>43+56</v>
          </cell>
          <cell r="I2620" t="str">
            <v>支合</v>
          </cell>
          <cell r="J2620" t="str">
            <v>調舒星</v>
          </cell>
          <cell r="K2620" t="str">
            <v>天堂星</v>
          </cell>
        </row>
        <row r="2621">
          <cell r="H2621" t="str">
            <v>43+57</v>
          </cell>
          <cell r="I2621" t="str">
            <v>－</v>
          </cell>
          <cell r="J2621" t="str">
            <v>禄存星</v>
          </cell>
          <cell r="K2621" t="str">
            <v>天胡星</v>
          </cell>
        </row>
        <row r="2622">
          <cell r="H2622" t="str">
            <v>43+58</v>
          </cell>
          <cell r="I2622" t="str">
            <v>－</v>
          </cell>
          <cell r="J2622" t="str">
            <v>司禄星</v>
          </cell>
          <cell r="K2622" t="str">
            <v>天極星</v>
          </cell>
        </row>
        <row r="2623">
          <cell r="H2623" t="str">
            <v>43+59</v>
          </cell>
          <cell r="I2623" t="str">
            <v>半会</v>
          </cell>
          <cell r="J2623" t="str">
            <v>車騎星</v>
          </cell>
          <cell r="K2623" t="str">
            <v>天庫星</v>
          </cell>
        </row>
        <row r="2624">
          <cell r="H2624" t="str">
            <v>43+60</v>
          </cell>
          <cell r="I2624" t="str">
            <v>－</v>
          </cell>
          <cell r="J2624" t="str">
            <v>牽牛星</v>
          </cell>
          <cell r="K2624" t="str">
            <v>天馳星</v>
          </cell>
        </row>
        <row r="2625">
          <cell r="H2625" t="str">
            <v>44+1</v>
          </cell>
          <cell r="I2625" t="str">
            <v>害</v>
          </cell>
          <cell r="J2625" t="str">
            <v>玉堂星</v>
          </cell>
          <cell r="K2625" t="str">
            <v>天馳星</v>
          </cell>
        </row>
        <row r="2626">
          <cell r="H2626" t="str">
            <v>44+2</v>
          </cell>
          <cell r="I2626" t="str">
            <v>対冲</v>
          </cell>
          <cell r="J2626" t="str">
            <v>龍高星</v>
          </cell>
          <cell r="K2626" t="str">
            <v>天庫星</v>
          </cell>
        </row>
        <row r="2627">
          <cell r="H2627" t="str">
            <v>44+3</v>
          </cell>
          <cell r="I2627" t="str">
            <v>－</v>
          </cell>
          <cell r="J2627" t="str">
            <v>石門星</v>
          </cell>
          <cell r="K2627" t="str">
            <v>天極星</v>
          </cell>
        </row>
        <row r="2628">
          <cell r="H2628" t="str">
            <v>44+4</v>
          </cell>
          <cell r="I2628" t="str">
            <v>大半会</v>
          </cell>
          <cell r="J2628" t="str">
            <v>貫索星</v>
          </cell>
          <cell r="K2628" t="str">
            <v>天胡星</v>
          </cell>
        </row>
        <row r="2629">
          <cell r="H2629" t="str">
            <v>44+5</v>
          </cell>
          <cell r="I2629" t="str">
            <v>－</v>
          </cell>
          <cell r="J2629" t="str">
            <v>調舒星</v>
          </cell>
          <cell r="K2629" t="str">
            <v>天堂星</v>
          </cell>
        </row>
        <row r="2630">
          <cell r="H2630" t="str">
            <v>44+6</v>
          </cell>
          <cell r="I2630" t="str">
            <v>準方位</v>
          </cell>
          <cell r="J2630" t="str">
            <v>鳳閣星</v>
          </cell>
          <cell r="K2630" t="str">
            <v>天将星</v>
          </cell>
        </row>
        <row r="2631">
          <cell r="H2631" t="str">
            <v>44+7</v>
          </cell>
          <cell r="I2631" t="str">
            <v>支合</v>
          </cell>
          <cell r="J2631" t="str">
            <v>司禄星</v>
          </cell>
          <cell r="K2631" t="str">
            <v>天禄星</v>
          </cell>
        </row>
        <row r="2632">
          <cell r="H2632" t="str">
            <v>44+8</v>
          </cell>
          <cell r="I2632" t="str">
            <v>同</v>
          </cell>
          <cell r="J2632" t="str">
            <v>禄存星</v>
          </cell>
          <cell r="K2632" t="str">
            <v>天南星</v>
          </cell>
        </row>
        <row r="2633">
          <cell r="H2633" t="str">
            <v>44+9</v>
          </cell>
          <cell r="I2633" t="str">
            <v>－</v>
          </cell>
          <cell r="J2633" t="str">
            <v>牽牛星</v>
          </cell>
          <cell r="K2633" t="str">
            <v>天恍星</v>
          </cell>
        </row>
        <row r="2634">
          <cell r="H2634" t="str">
            <v>44+10</v>
          </cell>
          <cell r="I2634" t="str">
            <v>－</v>
          </cell>
          <cell r="J2634" t="str">
            <v>車騎星</v>
          </cell>
          <cell r="K2634" t="str">
            <v>天貴星</v>
          </cell>
        </row>
        <row r="2635">
          <cell r="H2635" t="str">
            <v>44+11</v>
          </cell>
          <cell r="I2635" t="str">
            <v>刑</v>
          </cell>
          <cell r="J2635" t="str">
            <v>玉堂星</v>
          </cell>
          <cell r="K2635" t="str">
            <v>天印星</v>
          </cell>
        </row>
        <row r="2636">
          <cell r="H2636" t="str">
            <v>44+12</v>
          </cell>
          <cell r="I2636" t="str">
            <v>半会</v>
          </cell>
          <cell r="J2636" t="str">
            <v>龍高星</v>
          </cell>
          <cell r="K2636" t="str">
            <v>天報星</v>
          </cell>
        </row>
        <row r="2637">
          <cell r="H2637" t="str">
            <v>44+13</v>
          </cell>
          <cell r="I2637" t="str">
            <v>害</v>
          </cell>
          <cell r="J2637" t="str">
            <v>石門星</v>
          </cell>
          <cell r="K2637" t="str">
            <v>天馳星</v>
          </cell>
        </row>
        <row r="2638">
          <cell r="H2638" t="str">
            <v>44+14</v>
          </cell>
          <cell r="I2638" t="str">
            <v>納音</v>
          </cell>
          <cell r="J2638" t="str">
            <v>貫索星</v>
          </cell>
          <cell r="K2638" t="str">
            <v>天庫星</v>
          </cell>
        </row>
        <row r="2639">
          <cell r="H2639" t="str">
            <v>44+15</v>
          </cell>
          <cell r="I2639" t="str">
            <v>－</v>
          </cell>
          <cell r="J2639" t="str">
            <v>調舒星</v>
          </cell>
          <cell r="K2639" t="str">
            <v>天極星</v>
          </cell>
        </row>
        <row r="2640">
          <cell r="H2640" t="str">
            <v>44+16</v>
          </cell>
          <cell r="I2640" t="str">
            <v>半会</v>
          </cell>
          <cell r="J2640" t="str">
            <v>鳳閣星</v>
          </cell>
          <cell r="K2640" t="str">
            <v>天胡星</v>
          </cell>
        </row>
        <row r="2641">
          <cell r="H2641" t="str">
            <v>44+17</v>
          </cell>
          <cell r="I2641" t="str">
            <v>－</v>
          </cell>
          <cell r="J2641" t="str">
            <v>司禄星</v>
          </cell>
          <cell r="K2641" t="str">
            <v>天堂星</v>
          </cell>
        </row>
        <row r="2642">
          <cell r="H2642" t="str">
            <v>44+18</v>
          </cell>
          <cell r="I2642" t="str">
            <v>準方位</v>
          </cell>
          <cell r="J2642" t="str">
            <v>禄存星</v>
          </cell>
          <cell r="K2642" t="str">
            <v>天将星</v>
          </cell>
        </row>
        <row r="2643">
          <cell r="H2643" t="str">
            <v>44+19</v>
          </cell>
          <cell r="I2643" t="str">
            <v>支合</v>
          </cell>
          <cell r="J2643" t="str">
            <v>牽牛星</v>
          </cell>
          <cell r="K2643" t="str">
            <v>天禄星</v>
          </cell>
        </row>
        <row r="2644">
          <cell r="H2644" t="str">
            <v>44+20</v>
          </cell>
          <cell r="I2644" t="str">
            <v>同</v>
          </cell>
          <cell r="J2644" t="str">
            <v>車騎星</v>
          </cell>
          <cell r="K2644" t="str">
            <v>天南星</v>
          </cell>
        </row>
        <row r="2645">
          <cell r="H2645" t="str">
            <v>44+21</v>
          </cell>
          <cell r="I2645" t="str">
            <v>－</v>
          </cell>
          <cell r="J2645" t="str">
            <v>玉堂星</v>
          </cell>
          <cell r="K2645" t="str">
            <v>天恍星</v>
          </cell>
        </row>
        <row r="2646">
          <cell r="H2646" t="str">
            <v>44+22</v>
          </cell>
          <cell r="I2646" t="str">
            <v>－</v>
          </cell>
          <cell r="J2646" t="str">
            <v>龍高星</v>
          </cell>
          <cell r="K2646" t="str">
            <v>天貴星</v>
          </cell>
        </row>
        <row r="2647">
          <cell r="H2647" t="str">
            <v>44+23</v>
          </cell>
          <cell r="I2647" t="str">
            <v>刑</v>
          </cell>
          <cell r="J2647" t="str">
            <v>石門星</v>
          </cell>
          <cell r="K2647" t="str">
            <v>天印星</v>
          </cell>
        </row>
        <row r="2648">
          <cell r="H2648" t="str">
            <v>44+24</v>
          </cell>
          <cell r="I2648" t="str">
            <v>大半会</v>
          </cell>
          <cell r="J2648" t="str">
            <v>貫索星</v>
          </cell>
          <cell r="K2648" t="str">
            <v>天報星</v>
          </cell>
        </row>
        <row r="2649">
          <cell r="H2649" t="str">
            <v>44+25</v>
          </cell>
          <cell r="I2649" t="str">
            <v>害</v>
          </cell>
          <cell r="J2649" t="str">
            <v>調舒星</v>
          </cell>
          <cell r="K2649" t="str">
            <v>天馳星</v>
          </cell>
        </row>
        <row r="2650">
          <cell r="H2650" t="str">
            <v>44+26</v>
          </cell>
          <cell r="I2650" t="str">
            <v>対冲</v>
          </cell>
          <cell r="J2650" t="str">
            <v>鳳閣星</v>
          </cell>
          <cell r="K2650" t="str">
            <v>天庫星</v>
          </cell>
        </row>
        <row r="2651">
          <cell r="H2651" t="str">
            <v>44+27</v>
          </cell>
          <cell r="I2651" t="str">
            <v>－</v>
          </cell>
          <cell r="J2651" t="str">
            <v>司禄星</v>
          </cell>
          <cell r="K2651" t="str">
            <v>天極星</v>
          </cell>
        </row>
        <row r="2652">
          <cell r="H2652" t="str">
            <v>44+28</v>
          </cell>
          <cell r="I2652" t="str">
            <v>半会</v>
          </cell>
          <cell r="J2652" t="str">
            <v>禄存星</v>
          </cell>
          <cell r="K2652" t="str">
            <v>天胡星</v>
          </cell>
        </row>
        <row r="2653">
          <cell r="H2653" t="str">
            <v>44+29</v>
          </cell>
          <cell r="I2653" t="str">
            <v>－</v>
          </cell>
          <cell r="J2653" t="str">
            <v>牽牛星</v>
          </cell>
          <cell r="K2653" t="str">
            <v>天堂星</v>
          </cell>
        </row>
        <row r="2654">
          <cell r="H2654" t="str">
            <v>44+30</v>
          </cell>
          <cell r="I2654" t="str">
            <v>準方位</v>
          </cell>
          <cell r="J2654" t="str">
            <v>車騎星</v>
          </cell>
          <cell r="K2654" t="str">
            <v>天将星</v>
          </cell>
        </row>
        <row r="2655">
          <cell r="H2655" t="str">
            <v>44+31</v>
          </cell>
          <cell r="I2655" t="str">
            <v>支合</v>
          </cell>
          <cell r="J2655" t="str">
            <v>玉堂星</v>
          </cell>
          <cell r="K2655" t="str">
            <v>天禄星</v>
          </cell>
        </row>
        <row r="2656">
          <cell r="H2656" t="str">
            <v>44+32</v>
          </cell>
          <cell r="I2656" t="str">
            <v>同</v>
          </cell>
          <cell r="J2656" t="str">
            <v>龍高星</v>
          </cell>
          <cell r="K2656" t="str">
            <v>天南星</v>
          </cell>
        </row>
        <row r="2657">
          <cell r="H2657" t="str">
            <v>44+33</v>
          </cell>
          <cell r="I2657" t="str">
            <v>－</v>
          </cell>
          <cell r="J2657" t="str">
            <v>石門星</v>
          </cell>
          <cell r="K2657" t="str">
            <v>天恍星</v>
          </cell>
        </row>
        <row r="2658">
          <cell r="H2658" t="str">
            <v>44+34</v>
          </cell>
          <cell r="I2658" t="str">
            <v>－</v>
          </cell>
          <cell r="J2658" t="str">
            <v>貫索星</v>
          </cell>
          <cell r="K2658" t="str">
            <v>天貴星</v>
          </cell>
        </row>
        <row r="2659">
          <cell r="H2659" t="str">
            <v>44+35</v>
          </cell>
          <cell r="I2659" t="str">
            <v>刑</v>
          </cell>
          <cell r="J2659" t="str">
            <v>調舒星</v>
          </cell>
          <cell r="K2659" t="str">
            <v>天印星</v>
          </cell>
        </row>
        <row r="2660">
          <cell r="H2660" t="str">
            <v>44+36</v>
          </cell>
          <cell r="I2660" t="str">
            <v>半会</v>
          </cell>
          <cell r="J2660" t="str">
            <v>鳳閣星</v>
          </cell>
          <cell r="K2660" t="str">
            <v>天報星</v>
          </cell>
        </row>
        <row r="2661">
          <cell r="H2661" t="str">
            <v>44+37</v>
          </cell>
          <cell r="I2661" t="str">
            <v>害</v>
          </cell>
          <cell r="J2661" t="str">
            <v>司禄星</v>
          </cell>
          <cell r="K2661" t="str">
            <v>天馳星</v>
          </cell>
        </row>
        <row r="2662">
          <cell r="H2662" t="str">
            <v>44+38</v>
          </cell>
          <cell r="I2662" t="str">
            <v>天剋地冲</v>
          </cell>
          <cell r="J2662" t="str">
            <v>禄存星</v>
          </cell>
          <cell r="K2662" t="str">
            <v>天庫星</v>
          </cell>
        </row>
        <row r="2663">
          <cell r="H2663" t="str">
            <v>44+39</v>
          </cell>
          <cell r="I2663" t="str">
            <v>－</v>
          </cell>
          <cell r="J2663" t="str">
            <v>牽牛星</v>
          </cell>
          <cell r="K2663" t="str">
            <v>天極星</v>
          </cell>
        </row>
        <row r="2664">
          <cell r="H2664" t="str">
            <v>44+40</v>
          </cell>
          <cell r="I2664" t="str">
            <v>半会</v>
          </cell>
          <cell r="J2664" t="str">
            <v>車騎星</v>
          </cell>
          <cell r="K2664" t="str">
            <v>天胡星</v>
          </cell>
        </row>
        <row r="2665">
          <cell r="H2665" t="str">
            <v>44+41</v>
          </cell>
          <cell r="I2665" t="str">
            <v>－</v>
          </cell>
          <cell r="J2665" t="str">
            <v>玉堂星</v>
          </cell>
          <cell r="K2665" t="str">
            <v>天堂星</v>
          </cell>
        </row>
        <row r="2666">
          <cell r="H2666" t="str">
            <v>44+42</v>
          </cell>
          <cell r="I2666" t="str">
            <v>準方位</v>
          </cell>
          <cell r="J2666" t="str">
            <v>龍高星</v>
          </cell>
          <cell r="K2666" t="str">
            <v>天将星</v>
          </cell>
        </row>
        <row r="2667">
          <cell r="H2667" t="str">
            <v>44+43</v>
          </cell>
          <cell r="I2667" t="str">
            <v>支合</v>
          </cell>
          <cell r="J2667" t="str">
            <v>石門星</v>
          </cell>
          <cell r="K2667" t="str">
            <v>天禄星</v>
          </cell>
        </row>
        <row r="2668">
          <cell r="H2668" t="str">
            <v>44+44</v>
          </cell>
          <cell r="I2668" t="str">
            <v>律音</v>
          </cell>
          <cell r="J2668" t="str">
            <v>貫索星</v>
          </cell>
          <cell r="K2668" t="str">
            <v>天南星</v>
          </cell>
        </row>
        <row r="2669">
          <cell r="H2669" t="str">
            <v>44+45</v>
          </cell>
          <cell r="I2669" t="str">
            <v>－</v>
          </cell>
          <cell r="J2669" t="str">
            <v>調舒星</v>
          </cell>
          <cell r="K2669" t="str">
            <v>天恍星</v>
          </cell>
        </row>
        <row r="2670">
          <cell r="H2670" t="str">
            <v>44+46</v>
          </cell>
          <cell r="I2670" t="str">
            <v>－</v>
          </cell>
          <cell r="J2670" t="str">
            <v>鳳閣星</v>
          </cell>
          <cell r="K2670" t="str">
            <v>天貴星</v>
          </cell>
        </row>
        <row r="2671">
          <cell r="H2671" t="str">
            <v>44+47</v>
          </cell>
          <cell r="I2671" t="str">
            <v>刑</v>
          </cell>
          <cell r="J2671" t="str">
            <v>司禄星</v>
          </cell>
          <cell r="K2671" t="str">
            <v>天印星</v>
          </cell>
        </row>
        <row r="2672">
          <cell r="H2672" t="str">
            <v>44+48</v>
          </cell>
          <cell r="I2672" t="str">
            <v>半会</v>
          </cell>
          <cell r="J2672" t="str">
            <v>禄存星</v>
          </cell>
          <cell r="K2672" t="str">
            <v>天報星</v>
          </cell>
        </row>
        <row r="2673">
          <cell r="H2673" t="str">
            <v>44+49</v>
          </cell>
          <cell r="I2673" t="str">
            <v>害</v>
          </cell>
          <cell r="J2673" t="str">
            <v>牽牛星</v>
          </cell>
          <cell r="K2673" t="str">
            <v>天馳星</v>
          </cell>
        </row>
        <row r="2674">
          <cell r="H2674" t="str">
            <v>44+50</v>
          </cell>
          <cell r="I2674" t="str">
            <v>天剋地冲</v>
          </cell>
          <cell r="J2674" t="str">
            <v>車騎星</v>
          </cell>
          <cell r="K2674" t="str">
            <v>天庫星</v>
          </cell>
        </row>
        <row r="2675">
          <cell r="H2675" t="str">
            <v>44+51</v>
          </cell>
          <cell r="I2675" t="str">
            <v>－</v>
          </cell>
          <cell r="J2675" t="str">
            <v>玉堂星</v>
          </cell>
          <cell r="K2675" t="str">
            <v>天極星</v>
          </cell>
        </row>
        <row r="2676">
          <cell r="H2676" t="str">
            <v>44+52</v>
          </cell>
          <cell r="I2676" t="str">
            <v>半会</v>
          </cell>
          <cell r="J2676" t="str">
            <v>龍高星</v>
          </cell>
          <cell r="K2676" t="str">
            <v>天胡星</v>
          </cell>
        </row>
        <row r="2677">
          <cell r="H2677" t="str">
            <v>44+53</v>
          </cell>
          <cell r="I2677" t="str">
            <v>－</v>
          </cell>
          <cell r="J2677" t="str">
            <v>石門星</v>
          </cell>
          <cell r="K2677" t="str">
            <v>天堂星</v>
          </cell>
        </row>
        <row r="2678">
          <cell r="H2678" t="str">
            <v>44+54</v>
          </cell>
          <cell r="I2678" t="str">
            <v>準方位</v>
          </cell>
          <cell r="J2678" t="str">
            <v>貫索星</v>
          </cell>
          <cell r="K2678" t="str">
            <v>天将星</v>
          </cell>
        </row>
        <row r="2679">
          <cell r="H2679" t="str">
            <v>44+55</v>
          </cell>
          <cell r="I2679" t="str">
            <v>支合</v>
          </cell>
          <cell r="J2679" t="str">
            <v>調舒星</v>
          </cell>
          <cell r="K2679" t="str">
            <v>天禄星</v>
          </cell>
        </row>
        <row r="2680">
          <cell r="H2680" t="str">
            <v>44+56</v>
          </cell>
          <cell r="I2680" t="str">
            <v>同</v>
          </cell>
          <cell r="J2680" t="str">
            <v>鳳閣星</v>
          </cell>
          <cell r="K2680" t="str">
            <v>天南星</v>
          </cell>
        </row>
        <row r="2681">
          <cell r="H2681" t="str">
            <v>44+57</v>
          </cell>
          <cell r="I2681" t="str">
            <v>－</v>
          </cell>
          <cell r="J2681" t="str">
            <v>司禄星</v>
          </cell>
          <cell r="K2681" t="str">
            <v>天恍星</v>
          </cell>
        </row>
        <row r="2682">
          <cell r="H2682" t="str">
            <v>44+58</v>
          </cell>
          <cell r="I2682" t="str">
            <v>－</v>
          </cell>
          <cell r="J2682" t="str">
            <v>禄存星</v>
          </cell>
          <cell r="K2682" t="str">
            <v>天貴星</v>
          </cell>
        </row>
        <row r="2683">
          <cell r="H2683" t="str">
            <v>44+59</v>
          </cell>
          <cell r="I2683" t="str">
            <v>刑</v>
          </cell>
          <cell r="J2683" t="str">
            <v>牽牛星</v>
          </cell>
          <cell r="K2683" t="str">
            <v>天印星</v>
          </cell>
        </row>
        <row r="2684">
          <cell r="H2684" t="str">
            <v>44+60</v>
          </cell>
          <cell r="I2684" t="str">
            <v>半会</v>
          </cell>
          <cell r="J2684" t="str">
            <v>車騎星</v>
          </cell>
          <cell r="K2684" t="str">
            <v>天報星</v>
          </cell>
        </row>
        <row r="2685">
          <cell r="H2685" t="str">
            <v>45+1</v>
          </cell>
          <cell r="I2685" t="str">
            <v>半会</v>
          </cell>
          <cell r="J2685" t="str">
            <v>車騎星</v>
          </cell>
          <cell r="K2685" t="str">
            <v>天報星</v>
          </cell>
        </row>
        <row r="2686">
          <cell r="H2686" t="str">
            <v>45+2</v>
          </cell>
          <cell r="I2686" t="str">
            <v>－</v>
          </cell>
          <cell r="J2686" t="str">
            <v>牽牛星</v>
          </cell>
          <cell r="K2686" t="str">
            <v>天印星</v>
          </cell>
        </row>
        <row r="2687">
          <cell r="H2687" t="str">
            <v>45+3</v>
          </cell>
          <cell r="I2687" t="str">
            <v>対冲</v>
          </cell>
          <cell r="J2687" t="str">
            <v>龍高星</v>
          </cell>
          <cell r="K2687" t="str">
            <v>天貴星</v>
          </cell>
        </row>
        <row r="2688">
          <cell r="H2688" t="str">
            <v>45+4</v>
          </cell>
          <cell r="I2688" t="str">
            <v>－</v>
          </cell>
          <cell r="J2688" t="str">
            <v>玉堂星</v>
          </cell>
          <cell r="K2688" t="str">
            <v>天恍星</v>
          </cell>
        </row>
        <row r="2689">
          <cell r="H2689" t="str">
            <v>45+5</v>
          </cell>
          <cell r="I2689" t="str">
            <v>大半会</v>
          </cell>
          <cell r="J2689" t="str">
            <v>貫索星</v>
          </cell>
          <cell r="K2689" t="str">
            <v>天南星</v>
          </cell>
        </row>
        <row r="2690">
          <cell r="H2690" t="str">
            <v>45+6</v>
          </cell>
          <cell r="I2690" t="str">
            <v>支合</v>
          </cell>
          <cell r="J2690" t="str">
            <v>石門星</v>
          </cell>
          <cell r="K2690" t="str">
            <v>天禄星</v>
          </cell>
        </row>
        <row r="2691">
          <cell r="H2691" t="str">
            <v>45+7</v>
          </cell>
          <cell r="I2691" t="str">
            <v>－</v>
          </cell>
          <cell r="J2691" t="str">
            <v>鳳閣星</v>
          </cell>
          <cell r="K2691" t="str">
            <v>天将星</v>
          </cell>
        </row>
        <row r="2692">
          <cell r="H2692" t="str">
            <v>45+8</v>
          </cell>
          <cell r="I2692" t="str">
            <v>－</v>
          </cell>
          <cell r="J2692" t="str">
            <v>調舒星</v>
          </cell>
          <cell r="K2692" t="str">
            <v>天堂星</v>
          </cell>
        </row>
        <row r="2693">
          <cell r="H2693" t="str">
            <v>45+9</v>
          </cell>
          <cell r="I2693" t="str">
            <v>同</v>
          </cell>
          <cell r="J2693" t="str">
            <v>禄存星</v>
          </cell>
          <cell r="K2693" t="str">
            <v>天胡星</v>
          </cell>
        </row>
        <row r="2694">
          <cell r="H2694" t="str">
            <v>45+10</v>
          </cell>
          <cell r="I2694" t="str">
            <v>準方位</v>
          </cell>
          <cell r="J2694" t="str">
            <v>司禄星</v>
          </cell>
          <cell r="K2694" t="str">
            <v>天極星</v>
          </cell>
        </row>
        <row r="2695">
          <cell r="H2695" t="str">
            <v>45+11</v>
          </cell>
          <cell r="I2695" t="str">
            <v>準方位</v>
          </cell>
          <cell r="J2695" t="str">
            <v>車騎星</v>
          </cell>
          <cell r="K2695" t="str">
            <v>天庫星</v>
          </cell>
        </row>
        <row r="2696">
          <cell r="H2696" t="str">
            <v>45+12</v>
          </cell>
          <cell r="I2696" t="str">
            <v>害</v>
          </cell>
          <cell r="J2696" t="str">
            <v>牽牛星</v>
          </cell>
          <cell r="K2696" t="str">
            <v>天馳星</v>
          </cell>
        </row>
        <row r="2697">
          <cell r="H2697" t="str">
            <v>45+13</v>
          </cell>
          <cell r="I2697" t="str">
            <v>半会</v>
          </cell>
          <cell r="J2697" t="str">
            <v>龍高星</v>
          </cell>
          <cell r="K2697" t="str">
            <v>天報星</v>
          </cell>
        </row>
        <row r="2698">
          <cell r="H2698" t="str">
            <v>45+14</v>
          </cell>
          <cell r="I2698" t="str">
            <v>－</v>
          </cell>
          <cell r="J2698" t="str">
            <v>玉堂星</v>
          </cell>
          <cell r="K2698" t="str">
            <v>天印星</v>
          </cell>
        </row>
        <row r="2699">
          <cell r="H2699" t="str">
            <v>45+15</v>
          </cell>
          <cell r="I2699" t="str">
            <v>納音</v>
          </cell>
          <cell r="J2699" t="str">
            <v>貫索星</v>
          </cell>
          <cell r="K2699" t="str">
            <v>天貴星</v>
          </cell>
        </row>
        <row r="2700">
          <cell r="H2700" t="str">
            <v>45+16</v>
          </cell>
          <cell r="I2700" t="str">
            <v>－</v>
          </cell>
          <cell r="J2700" t="str">
            <v>石門星</v>
          </cell>
          <cell r="K2700" t="str">
            <v>天恍星</v>
          </cell>
        </row>
        <row r="2701">
          <cell r="H2701" t="str">
            <v>45+17</v>
          </cell>
          <cell r="I2701" t="str">
            <v>半会</v>
          </cell>
          <cell r="J2701" t="str">
            <v>鳳閣星</v>
          </cell>
          <cell r="K2701" t="str">
            <v>天南星</v>
          </cell>
        </row>
        <row r="2702">
          <cell r="H2702" t="str">
            <v>45+18</v>
          </cell>
          <cell r="I2702" t="str">
            <v>支合</v>
          </cell>
          <cell r="J2702" t="str">
            <v>調舒星</v>
          </cell>
          <cell r="K2702" t="str">
            <v>天禄星</v>
          </cell>
        </row>
        <row r="2703">
          <cell r="H2703" t="str">
            <v>45+19</v>
          </cell>
          <cell r="I2703" t="str">
            <v>－</v>
          </cell>
          <cell r="J2703" t="str">
            <v>禄存星</v>
          </cell>
          <cell r="K2703" t="str">
            <v>天将星</v>
          </cell>
        </row>
        <row r="2704">
          <cell r="H2704" t="str">
            <v>45+20</v>
          </cell>
          <cell r="I2704" t="str">
            <v>－</v>
          </cell>
          <cell r="J2704" t="str">
            <v>司禄星</v>
          </cell>
          <cell r="K2704" t="str">
            <v>天堂星</v>
          </cell>
        </row>
        <row r="2705">
          <cell r="H2705" t="str">
            <v>45+21</v>
          </cell>
          <cell r="I2705" t="str">
            <v>同</v>
          </cell>
          <cell r="J2705" t="str">
            <v>車騎星</v>
          </cell>
          <cell r="K2705" t="str">
            <v>天胡星</v>
          </cell>
        </row>
        <row r="2706">
          <cell r="H2706" t="str">
            <v>45+22</v>
          </cell>
          <cell r="I2706" t="str">
            <v>準方位</v>
          </cell>
          <cell r="J2706" t="str">
            <v>牽牛星</v>
          </cell>
          <cell r="K2706" t="str">
            <v>天極星</v>
          </cell>
        </row>
        <row r="2707">
          <cell r="H2707" t="str">
            <v>45+23</v>
          </cell>
          <cell r="I2707" t="str">
            <v>準方位</v>
          </cell>
          <cell r="J2707" t="str">
            <v>龍高星</v>
          </cell>
          <cell r="K2707" t="str">
            <v>天庫星</v>
          </cell>
        </row>
        <row r="2708">
          <cell r="H2708" t="str">
            <v>45+24</v>
          </cell>
          <cell r="I2708" t="str">
            <v>害</v>
          </cell>
          <cell r="J2708" t="str">
            <v>玉堂星</v>
          </cell>
          <cell r="K2708" t="str">
            <v>天馳星</v>
          </cell>
        </row>
        <row r="2709">
          <cell r="H2709" t="str">
            <v>45+25</v>
          </cell>
          <cell r="I2709" t="str">
            <v>大半会</v>
          </cell>
          <cell r="J2709" t="str">
            <v>貫索星</v>
          </cell>
          <cell r="K2709" t="str">
            <v>天報星</v>
          </cell>
        </row>
        <row r="2710">
          <cell r="H2710" t="str">
            <v>45+26</v>
          </cell>
          <cell r="I2710" t="str">
            <v>－</v>
          </cell>
          <cell r="J2710" t="str">
            <v>石門星</v>
          </cell>
          <cell r="K2710" t="str">
            <v>天印星</v>
          </cell>
        </row>
        <row r="2711">
          <cell r="H2711" t="str">
            <v>45+27</v>
          </cell>
          <cell r="I2711" t="str">
            <v>対冲</v>
          </cell>
          <cell r="J2711" t="str">
            <v>鳳閣星</v>
          </cell>
          <cell r="K2711" t="str">
            <v>天貴星</v>
          </cell>
        </row>
        <row r="2712">
          <cell r="H2712" t="str">
            <v>45+28</v>
          </cell>
          <cell r="I2712" t="str">
            <v>－</v>
          </cell>
          <cell r="J2712" t="str">
            <v>調舒星</v>
          </cell>
          <cell r="K2712" t="str">
            <v>天恍星</v>
          </cell>
        </row>
        <row r="2713">
          <cell r="H2713" t="str">
            <v>45+29</v>
          </cell>
          <cell r="I2713" t="str">
            <v>半会</v>
          </cell>
          <cell r="J2713" t="str">
            <v>禄存星</v>
          </cell>
          <cell r="K2713" t="str">
            <v>天南星</v>
          </cell>
        </row>
        <row r="2714">
          <cell r="H2714" t="str">
            <v>45+30</v>
          </cell>
          <cell r="I2714" t="str">
            <v>支合</v>
          </cell>
          <cell r="J2714" t="str">
            <v>司禄星</v>
          </cell>
          <cell r="K2714" t="str">
            <v>天禄星</v>
          </cell>
        </row>
        <row r="2715">
          <cell r="H2715" t="str">
            <v>45+31</v>
          </cell>
          <cell r="I2715" t="str">
            <v>－</v>
          </cell>
          <cell r="J2715" t="str">
            <v>車騎星</v>
          </cell>
          <cell r="K2715" t="str">
            <v>天将星</v>
          </cell>
        </row>
        <row r="2716">
          <cell r="H2716" t="str">
            <v>45+32</v>
          </cell>
          <cell r="I2716" t="str">
            <v>－</v>
          </cell>
          <cell r="J2716" t="str">
            <v>牽牛星</v>
          </cell>
          <cell r="K2716" t="str">
            <v>天堂星</v>
          </cell>
        </row>
        <row r="2717">
          <cell r="H2717" t="str">
            <v>45+33</v>
          </cell>
          <cell r="I2717" t="str">
            <v>同</v>
          </cell>
          <cell r="J2717" t="str">
            <v>龍高星</v>
          </cell>
          <cell r="K2717" t="str">
            <v>天胡星</v>
          </cell>
        </row>
        <row r="2718">
          <cell r="H2718" t="str">
            <v>45+34</v>
          </cell>
          <cell r="I2718" t="str">
            <v>準方位</v>
          </cell>
          <cell r="J2718" t="str">
            <v>玉堂星</v>
          </cell>
          <cell r="K2718" t="str">
            <v>天極星</v>
          </cell>
        </row>
        <row r="2719">
          <cell r="H2719" t="str">
            <v>45+35</v>
          </cell>
          <cell r="I2719" t="str">
            <v>準方位</v>
          </cell>
          <cell r="J2719" t="str">
            <v>貫索星</v>
          </cell>
          <cell r="K2719" t="str">
            <v>天庫星</v>
          </cell>
        </row>
        <row r="2720">
          <cell r="H2720" t="str">
            <v>45+36</v>
          </cell>
          <cell r="I2720" t="str">
            <v>害</v>
          </cell>
          <cell r="J2720" t="str">
            <v>石門星</v>
          </cell>
          <cell r="K2720" t="str">
            <v>天馳星</v>
          </cell>
        </row>
        <row r="2721">
          <cell r="H2721" t="str">
            <v>45+37</v>
          </cell>
          <cell r="I2721" t="str">
            <v>半会</v>
          </cell>
          <cell r="J2721" t="str">
            <v>鳳閣星</v>
          </cell>
          <cell r="K2721" t="str">
            <v>天報星</v>
          </cell>
        </row>
        <row r="2722">
          <cell r="H2722" t="str">
            <v>45+38</v>
          </cell>
          <cell r="I2722" t="str">
            <v>－</v>
          </cell>
          <cell r="J2722" t="str">
            <v>調舒星</v>
          </cell>
          <cell r="K2722" t="str">
            <v>天印星</v>
          </cell>
        </row>
        <row r="2723">
          <cell r="H2723" t="str">
            <v>45+39</v>
          </cell>
          <cell r="I2723" t="str">
            <v>天剋地冲</v>
          </cell>
          <cell r="J2723" t="str">
            <v>禄存星</v>
          </cell>
          <cell r="K2723" t="str">
            <v>天貴星</v>
          </cell>
        </row>
        <row r="2724">
          <cell r="H2724" t="str">
            <v>45+40</v>
          </cell>
          <cell r="I2724" t="str">
            <v>－</v>
          </cell>
          <cell r="J2724" t="str">
            <v>司禄星</v>
          </cell>
          <cell r="K2724" t="str">
            <v>天恍星</v>
          </cell>
        </row>
        <row r="2725">
          <cell r="H2725" t="str">
            <v>45+41</v>
          </cell>
          <cell r="I2725" t="str">
            <v>半会</v>
          </cell>
          <cell r="J2725" t="str">
            <v>車騎星</v>
          </cell>
          <cell r="K2725" t="str">
            <v>天南星</v>
          </cell>
        </row>
        <row r="2726">
          <cell r="H2726" t="str">
            <v>45+42</v>
          </cell>
          <cell r="I2726" t="str">
            <v>支合</v>
          </cell>
          <cell r="J2726" t="str">
            <v>牽牛星</v>
          </cell>
          <cell r="K2726" t="str">
            <v>天禄星</v>
          </cell>
        </row>
        <row r="2727">
          <cell r="H2727" t="str">
            <v>45+43</v>
          </cell>
          <cell r="I2727" t="str">
            <v>－</v>
          </cell>
          <cell r="J2727" t="str">
            <v>龍高星</v>
          </cell>
          <cell r="K2727" t="str">
            <v>天将星</v>
          </cell>
        </row>
        <row r="2728">
          <cell r="H2728" t="str">
            <v>45+44</v>
          </cell>
          <cell r="I2728" t="str">
            <v>－</v>
          </cell>
          <cell r="J2728" t="str">
            <v>玉堂星</v>
          </cell>
          <cell r="K2728" t="str">
            <v>天堂星</v>
          </cell>
        </row>
        <row r="2729">
          <cell r="H2729" t="str">
            <v>45+45</v>
          </cell>
          <cell r="I2729" t="str">
            <v>律音</v>
          </cell>
          <cell r="J2729" t="str">
            <v>貫索星</v>
          </cell>
          <cell r="K2729" t="str">
            <v>天胡星</v>
          </cell>
        </row>
        <row r="2730">
          <cell r="H2730" t="str">
            <v>45+46</v>
          </cell>
          <cell r="I2730" t="str">
            <v>準方位</v>
          </cell>
          <cell r="J2730" t="str">
            <v>石門星</v>
          </cell>
          <cell r="K2730" t="str">
            <v>天極星</v>
          </cell>
        </row>
        <row r="2731">
          <cell r="H2731" t="str">
            <v>45+47</v>
          </cell>
          <cell r="I2731" t="str">
            <v>準方位</v>
          </cell>
          <cell r="J2731" t="str">
            <v>鳳閣星</v>
          </cell>
          <cell r="K2731" t="str">
            <v>天庫星</v>
          </cell>
        </row>
        <row r="2732">
          <cell r="H2732" t="str">
            <v>45+48</v>
          </cell>
          <cell r="I2732" t="str">
            <v>害</v>
          </cell>
          <cell r="J2732" t="str">
            <v>調舒星</v>
          </cell>
          <cell r="K2732" t="str">
            <v>天馳星</v>
          </cell>
        </row>
        <row r="2733">
          <cell r="H2733" t="str">
            <v>45+49</v>
          </cell>
          <cell r="I2733" t="str">
            <v>半会</v>
          </cell>
          <cell r="J2733" t="str">
            <v>禄存星</v>
          </cell>
          <cell r="K2733" t="str">
            <v>天報星</v>
          </cell>
        </row>
        <row r="2734">
          <cell r="H2734" t="str">
            <v>45+50</v>
          </cell>
          <cell r="I2734" t="str">
            <v>－</v>
          </cell>
          <cell r="J2734" t="str">
            <v>司禄星</v>
          </cell>
          <cell r="K2734" t="str">
            <v>天印星</v>
          </cell>
        </row>
        <row r="2735">
          <cell r="H2735" t="str">
            <v>45+51</v>
          </cell>
          <cell r="I2735" t="str">
            <v>天剋地冲</v>
          </cell>
          <cell r="J2735" t="str">
            <v>車騎星</v>
          </cell>
          <cell r="K2735" t="str">
            <v>天貴星</v>
          </cell>
        </row>
        <row r="2736">
          <cell r="H2736" t="str">
            <v>45+52</v>
          </cell>
          <cell r="I2736" t="str">
            <v>－</v>
          </cell>
          <cell r="J2736" t="str">
            <v>牽牛星</v>
          </cell>
          <cell r="K2736" t="str">
            <v>天恍星</v>
          </cell>
        </row>
        <row r="2737">
          <cell r="H2737" t="str">
            <v>45+53</v>
          </cell>
          <cell r="I2737" t="str">
            <v>半会</v>
          </cell>
          <cell r="J2737" t="str">
            <v>龍高星</v>
          </cell>
          <cell r="K2737" t="str">
            <v>天南星</v>
          </cell>
        </row>
        <row r="2738">
          <cell r="H2738" t="str">
            <v>45+54</v>
          </cell>
          <cell r="I2738" t="str">
            <v>支合</v>
          </cell>
          <cell r="J2738" t="str">
            <v>玉堂星</v>
          </cell>
          <cell r="K2738" t="str">
            <v>天禄星</v>
          </cell>
        </row>
        <row r="2739">
          <cell r="H2739" t="str">
            <v>45+55</v>
          </cell>
          <cell r="I2739" t="str">
            <v>－</v>
          </cell>
          <cell r="J2739" t="str">
            <v>貫索星</v>
          </cell>
          <cell r="K2739" t="str">
            <v>天将星</v>
          </cell>
        </row>
        <row r="2740">
          <cell r="H2740" t="str">
            <v>45+56</v>
          </cell>
          <cell r="I2740" t="str">
            <v>－</v>
          </cell>
          <cell r="J2740" t="str">
            <v>石門星</v>
          </cell>
          <cell r="K2740" t="str">
            <v>天堂星</v>
          </cell>
        </row>
        <row r="2741">
          <cell r="H2741" t="str">
            <v>45+57</v>
          </cell>
          <cell r="I2741" t="str">
            <v>同</v>
          </cell>
          <cell r="J2741" t="str">
            <v>鳳閣星</v>
          </cell>
          <cell r="K2741" t="str">
            <v>天胡星</v>
          </cell>
        </row>
        <row r="2742">
          <cell r="H2742" t="str">
            <v>45+58</v>
          </cell>
          <cell r="I2742" t="str">
            <v>準方位</v>
          </cell>
          <cell r="J2742" t="str">
            <v>調舒星</v>
          </cell>
          <cell r="K2742" t="str">
            <v>天極星</v>
          </cell>
        </row>
        <row r="2743">
          <cell r="H2743" t="str">
            <v>45+59</v>
          </cell>
          <cell r="I2743" t="str">
            <v>準方位</v>
          </cell>
          <cell r="J2743" t="str">
            <v>禄存星</v>
          </cell>
          <cell r="K2743" t="str">
            <v>天庫星</v>
          </cell>
        </row>
        <row r="2744">
          <cell r="H2744" t="str">
            <v>45+60</v>
          </cell>
          <cell r="I2744" t="str">
            <v>害</v>
          </cell>
          <cell r="J2744" t="str">
            <v>司禄星</v>
          </cell>
          <cell r="K2744" t="str">
            <v>天馳星</v>
          </cell>
        </row>
        <row r="2745">
          <cell r="H2745" t="str">
            <v>46+1</v>
          </cell>
          <cell r="I2745" t="str">
            <v>破</v>
          </cell>
          <cell r="J2745" t="str">
            <v>牽牛星</v>
          </cell>
          <cell r="K2745" t="str">
            <v>天馳星</v>
          </cell>
        </row>
        <row r="2746">
          <cell r="H2746" t="str">
            <v>46+2</v>
          </cell>
          <cell r="I2746" t="str">
            <v>半会</v>
          </cell>
          <cell r="J2746" t="str">
            <v>車騎星</v>
          </cell>
          <cell r="K2746" t="str">
            <v>天庫星</v>
          </cell>
        </row>
        <row r="2747">
          <cell r="H2747" t="str">
            <v>46+3</v>
          </cell>
          <cell r="I2747" t="str">
            <v>－</v>
          </cell>
          <cell r="J2747" t="str">
            <v>玉堂星</v>
          </cell>
          <cell r="K2747" t="str">
            <v>天極星</v>
          </cell>
        </row>
        <row r="2748">
          <cell r="H2748" t="str">
            <v>46+4</v>
          </cell>
          <cell r="I2748" t="str">
            <v>対冲</v>
          </cell>
          <cell r="J2748" t="str">
            <v>龍高星</v>
          </cell>
          <cell r="K2748" t="str">
            <v>天胡星</v>
          </cell>
        </row>
        <row r="2749">
          <cell r="H2749" t="str">
            <v>46+5</v>
          </cell>
          <cell r="I2749" t="str">
            <v>支合</v>
          </cell>
          <cell r="J2749" t="str">
            <v>石門星</v>
          </cell>
          <cell r="K2749" t="str">
            <v>天堂星</v>
          </cell>
        </row>
        <row r="2750">
          <cell r="H2750" t="str">
            <v>46+6</v>
          </cell>
          <cell r="I2750" t="str">
            <v>大半会</v>
          </cell>
          <cell r="J2750" t="str">
            <v>貫索星</v>
          </cell>
          <cell r="K2750" t="str">
            <v>天将星</v>
          </cell>
        </row>
        <row r="2751">
          <cell r="H2751" t="str">
            <v>46+7</v>
          </cell>
          <cell r="I2751" t="str">
            <v>－</v>
          </cell>
          <cell r="J2751" t="str">
            <v>調舒星</v>
          </cell>
          <cell r="K2751" t="str">
            <v>天禄星</v>
          </cell>
        </row>
        <row r="2752">
          <cell r="H2752" t="str">
            <v>46+8</v>
          </cell>
          <cell r="I2752" t="str">
            <v>－</v>
          </cell>
          <cell r="J2752" t="str">
            <v>鳳閣星</v>
          </cell>
          <cell r="K2752" t="str">
            <v>天南星</v>
          </cell>
        </row>
        <row r="2753">
          <cell r="H2753" t="str">
            <v>46+9</v>
          </cell>
          <cell r="I2753" t="str">
            <v>準方位</v>
          </cell>
          <cell r="J2753" t="str">
            <v>司禄星</v>
          </cell>
          <cell r="K2753" t="str">
            <v>天恍星</v>
          </cell>
        </row>
        <row r="2754">
          <cell r="H2754" t="str">
            <v>46+10</v>
          </cell>
          <cell r="I2754" t="str">
            <v>自刑</v>
          </cell>
          <cell r="J2754" t="str">
            <v>禄存星</v>
          </cell>
          <cell r="K2754" t="str">
            <v>天貴星</v>
          </cell>
        </row>
        <row r="2755">
          <cell r="H2755" t="str">
            <v>46+11</v>
          </cell>
          <cell r="I2755" t="str">
            <v>害</v>
          </cell>
          <cell r="J2755" t="str">
            <v>牽牛星</v>
          </cell>
          <cell r="K2755" t="str">
            <v>天印星</v>
          </cell>
        </row>
        <row r="2756">
          <cell r="H2756" t="str">
            <v>46+12</v>
          </cell>
          <cell r="I2756" t="str">
            <v>－</v>
          </cell>
          <cell r="J2756" t="str">
            <v>車騎星</v>
          </cell>
          <cell r="K2756" t="str">
            <v>天報星</v>
          </cell>
        </row>
        <row r="2757">
          <cell r="H2757" t="str">
            <v>46+13</v>
          </cell>
          <cell r="I2757" t="str">
            <v>破</v>
          </cell>
          <cell r="J2757" t="str">
            <v>玉堂星</v>
          </cell>
          <cell r="K2757" t="str">
            <v>天馳星</v>
          </cell>
        </row>
        <row r="2758">
          <cell r="H2758" t="str">
            <v>46+14</v>
          </cell>
          <cell r="I2758" t="str">
            <v>半会</v>
          </cell>
          <cell r="J2758" t="str">
            <v>龍高星</v>
          </cell>
          <cell r="K2758" t="str">
            <v>天庫星</v>
          </cell>
        </row>
        <row r="2759">
          <cell r="H2759" t="str">
            <v>46+15</v>
          </cell>
          <cell r="I2759" t="str">
            <v>－</v>
          </cell>
          <cell r="J2759" t="str">
            <v>石門星</v>
          </cell>
          <cell r="K2759" t="str">
            <v>天極星</v>
          </cell>
        </row>
        <row r="2760">
          <cell r="H2760" t="str">
            <v>46+16</v>
          </cell>
          <cell r="I2760" t="str">
            <v>納音</v>
          </cell>
          <cell r="J2760" t="str">
            <v>貫索星</v>
          </cell>
          <cell r="K2760" t="str">
            <v>天胡星</v>
          </cell>
        </row>
        <row r="2761">
          <cell r="H2761" t="str">
            <v>46+17</v>
          </cell>
          <cell r="I2761" t="str">
            <v>支合</v>
          </cell>
          <cell r="J2761" t="str">
            <v>調舒星</v>
          </cell>
          <cell r="K2761" t="str">
            <v>天堂星</v>
          </cell>
        </row>
        <row r="2762">
          <cell r="H2762" t="str">
            <v>46+18</v>
          </cell>
          <cell r="I2762" t="str">
            <v>半会</v>
          </cell>
          <cell r="J2762" t="str">
            <v>鳳閣星</v>
          </cell>
          <cell r="K2762" t="str">
            <v>天将星</v>
          </cell>
        </row>
        <row r="2763">
          <cell r="H2763" t="str">
            <v>46+19</v>
          </cell>
          <cell r="I2763" t="str">
            <v>－</v>
          </cell>
          <cell r="J2763" t="str">
            <v>司禄星</v>
          </cell>
          <cell r="K2763" t="str">
            <v>天禄星</v>
          </cell>
        </row>
        <row r="2764">
          <cell r="H2764" t="str">
            <v>46+20</v>
          </cell>
          <cell r="I2764" t="str">
            <v>－</v>
          </cell>
          <cell r="J2764" t="str">
            <v>禄存星</v>
          </cell>
          <cell r="K2764" t="str">
            <v>天南星</v>
          </cell>
        </row>
        <row r="2765">
          <cell r="H2765" t="str">
            <v>46+21</v>
          </cell>
          <cell r="I2765" t="str">
            <v>準方位</v>
          </cell>
          <cell r="J2765" t="str">
            <v>牽牛星</v>
          </cell>
          <cell r="K2765" t="str">
            <v>天恍星</v>
          </cell>
        </row>
        <row r="2766">
          <cell r="H2766" t="str">
            <v>46+22</v>
          </cell>
          <cell r="I2766" t="str">
            <v>自刑</v>
          </cell>
          <cell r="J2766" t="str">
            <v>車騎星</v>
          </cell>
          <cell r="K2766" t="str">
            <v>天貴星</v>
          </cell>
        </row>
        <row r="2767">
          <cell r="H2767" t="str">
            <v>46+23</v>
          </cell>
          <cell r="I2767" t="str">
            <v>害</v>
          </cell>
          <cell r="J2767" t="str">
            <v>玉堂星</v>
          </cell>
          <cell r="K2767" t="str">
            <v>天印星</v>
          </cell>
        </row>
        <row r="2768">
          <cell r="H2768" t="str">
            <v>46+24</v>
          </cell>
          <cell r="I2768" t="str">
            <v>－</v>
          </cell>
          <cell r="J2768" t="str">
            <v>龍高星</v>
          </cell>
          <cell r="K2768" t="str">
            <v>天報星</v>
          </cell>
        </row>
        <row r="2769">
          <cell r="H2769" t="str">
            <v>46+25</v>
          </cell>
          <cell r="I2769" t="str">
            <v>破</v>
          </cell>
          <cell r="J2769" t="str">
            <v>石門星</v>
          </cell>
          <cell r="K2769" t="str">
            <v>天馳星</v>
          </cell>
        </row>
        <row r="2770">
          <cell r="H2770" t="str">
            <v>46+26</v>
          </cell>
          <cell r="I2770" t="str">
            <v>大半会</v>
          </cell>
          <cell r="J2770" t="str">
            <v>貫索星</v>
          </cell>
          <cell r="K2770" t="str">
            <v>天庫星</v>
          </cell>
        </row>
        <row r="2771">
          <cell r="H2771" t="str">
            <v>46+27</v>
          </cell>
          <cell r="I2771" t="str">
            <v>－</v>
          </cell>
          <cell r="J2771" t="str">
            <v>調舒星</v>
          </cell>
          <cell r="K2771" t="str">
            <v>天極星</v>
          </cell>
        </row>
        <row r="2772">
          <cell r="H2772" t="str">
            <v>46+28</v>
          </cell>
          <cell r="I2772" t="str">
            <v>対冲</v>
          </cell>
          <cell r="J2772" t="str">
            <v>鳳閣星</v>
          </cell>
          <cell r="K2772" t="str">
            <v>天胡星</v>
          </cell>
        </row>
        <row r="2773">
          <cell r="H2773" t="str">
            <v>46+29</v>
          </cell>
          <cell r="I2773" t="str">
            <v>支合</v>
          </cell>
          <cell r="J2773" t="str">
            <v>司禄星</v>
          </cell>
          <cell r="K2773" t="str">
            <v>天堂星</v>
          </cell>
        </row>
        <row r="2774">
          <cell r="H2774" t="str">
            <v>46+30</v>
          </cell>
          <cell r="I2774" t="str">
            <v>半会</v>
          </cell>
          <cell r="J2774" t="str">
            <v>禄存星</v>
          </cell>
          <cell r="K2774" t="str">
            <v>天将星</v>
          </cell>
        </row>
        <row r="2775">
          <cell r="H2775" t="str">
            <v>46+31</v>
          </cell>
          <cell r="I2775" t="str">
            <v>－</v>
          </cell>
          <cell r="J2775" t="str">
            <v>牽牛星</v>
          </cell>
          <cell r="K2775" t="str">
            <v>天禄星</v>
          </cell>
        </row>
        <row r="2776">
          <cell r="H2776" t="str">
            <v>46+32</v>
          </cell>
          <cell r="I2776" t="str">
            <v>－</v>
          </cell>
          <cell r="J2776" t="str">
            <v>車騎星</v>
          </cell>
          <cell r="K2776" t="str">
            <v>天南星</v>
          </cell>
        </row>
        <row r="2777">
          <cell r="H2777" t="str">
            <v>46+33</v>
          </cell>
          <cell r="I2777" t="str">
            <v>準方位</v>
          </cell>
          <cell r="J2777" t="str">
            <v>玉堂星</v>
          </cell>
          <cell r="K2777" t="str">
            <v>天恍星</v>
          </cell>
        </row>
        <row r="2778">
          <cell r="H2778" t="str">
            <v>46+34</v>
          </cell>
          <cell r="I2778" t="str">
            <v>自刑</v>
          </cell>
          <cell r="J2778" t="str">
            <v>龍高星</v>
          </cell>
          <cell r="K2778" t="str">
            <v>天貴星</v>
          </cell>
        </row>
        <row r="2779">
          <cell r="H2779" t="str">
            <v>46+35</v>
          </cell>
          <cell r="I2779" t="str">
            <v>害</v>
          </cell>
          <cell r="J2779" t="str">
            <v>石門星</v>
          </cell>
          <cell r="K2779" t="str">
            <v>天印星</v>
          </cell>
        </row>
        <row r="2780">
          <cell r="H2780" t="str">
            <v>46+36</v>
          </cell>
          <cell r="I2780" t="str">
            <v>－</v>
          </cell>
          <cell r="J2780" t="str">
            <v>貫索星</v>
          </cell>
          <cell r="K2780" t="str">
            <v>天報星</v>
          </cell>
        </row>
        <row r="2781">
          <cell r="H2781" t="str">
            <v>46+37</v>
          </cell>
          <cell r="I2781" t="str">
            <v>破</v>
          </cell>
          <cell r="J2781" t="str">
            <v>調舒星</v>
          </cell>
          <cell r="K2781" t="str">
            <v>天馳星</v>
          </cell>
        </row>
        <row r="2782">
          <cell r="H2782" t="str">
            <v>46+38</v>
          </cell>
          <cell r="I2782" t="str">
            <v>半会</v>
          </cell>
          <cell r="J2782" t="str">
            <v>鳳閣星</v>
          </cell>
          <cell r="K2782" t="str">
            <v>天庫星</v>
          </cell>
        </row>
        <row r="2783">
          <cell r="H2783" t="str">
            <v>46+39</v>
          </cell>
          <cell r="I2783" t="str">
            <v>－</v>
          </cell>
          <cell r="J2783" t="str">
            <v>司禄星</v>
          </cell>
          <cell r="K2783" t="str">
            <v>天極星</v>
          </cell>
        </row>
        <row r="2784">
          <cell r="H2784" t="str">
            <v>46+40</v>
          </cell>
          <cell r="I2784" t="str">
            <v>天剋地冲</v>
          </cell>
          <cell r="J2784" t="str">
            <v>禄存星</v>
          </cell>
          <cell r="K2784" t="str">
            <v>天胡星</v>
          </cell>
        </row>
        <row r="2785">
          <cell r="H2785" t="str">
            <v>46+41</v>
          </cell>
          <cell r="I2785" t="str">
            <v>支合</v>
          </cell>
          <cell r="J2785" t="str">
            <v>牽牛星</v>
          </cell>
          <cell r="K2785" t="str">
            <v>天堂星</v>
          </cell>
        </row>
        <row r="2786">
          <cell r="H2786" t="str">
            <v>46+42</v>
          </cell>
          <cell r="I2786" t="str">
            <v>半会</v>
          </cell>
          <cell r="J2786" t="str">
            <v>車騎星</v>
          </cell>
          <cell r="K2786" t="str">
            <v>天将星</v>
          </cell>
        </row>
        <row r="2787">
          <cell r="H2787" t="str">
            <v>46+43</v>
          </cell>
          <cell r="I2787" t="str">
            <v>－</v>
          </cell>
          <cell r="J2787" t="str">
            <v>玉堂星</v>
          </cell>
          <cell r="K2787" t="str">
            <v>天禄星</v>
          </cell>
        </row>
        <row r="2788">
          <cell r="H2788" t="str">
            <v>46+44</v>
          </cell>
          <cell r="I2788" t="str">
            <v>－</v>
          </cell>
          <cell r="J2788" t="str">
            <v>龍高星</v>
          </cell>
          <cell r="K2788" t="str">
            <v>天南星</v>
          </cell>
        </row>
        <row r="2789">
          <cell r="H2789" t="str">
            <v>46+45</v>
          </cell>
          <cell r="I2789" t="str">
            <v>準方位</v>
          </cell>
          <cell r="J2789" t="str">
            <v>石門星</v>
          </cell>
          <cell r="K2789" t="str">
            <v>天恍星</v>
          </cell>
        </row>
        <row r="2790">
          <cell r="H2790" t="str">
            <v>46+46</v>
          </cell>
          <cell r="I2790" t="str">
            <v>律音</v>
          </cell>
          <cell r="J2790" t="str">
            <v>貫索星</v>
          </cell>
          <cell r="K2790" t="str">
            <v>天貴星</v>
          </cell>
        </row>
        <row r="2791">
          <cell r="H2791" t="str">
            <v>46+47</v>
          </cell>
          <cell r="I2791" t="str">
            <v>害</v>
          </cell>
          <cell r="J2791" t="str">
            <v>調舒星</v>
          </cell>
          <cell r="K2791" t="str">
            <v>天印星</v>
          </cell>
        </row>
        <row r="2792">
          <cell r="H2792" t="str">
            <v>46+48</v>
          </cell>
          <cell r="I2792" t="str">
            <v>－</v>
          </cell>
          <cell r="J2792" t="str">
            <v>鳳閣星</v>
          </cell>
          <cell r="K2792" t="str">
            <v>天報星</v>
          </cell>
        </row>
        <row r="2793">
          <cell r="H2793" t="str">
            <v>46+49</v>
          </cell>
          <cell r="I2793" t="str">
            <v>破</v>
          </cell>
          <cell r="J2793" t="str">
            <v>司禄星</v>
          </cell>
          <cell r="K2793" t="str">
            <v>天馳星</v>
          </cell>
        </row>
        <row r="2794">
          <cell r="H2794" t="str">
            <v>46+50</v>
          </cell>
          <cell r="I2794" t="str">
            <v>半会</v>
          </cell>
          <cell r="J2794" t="str">
            <v>禄存星</v>
          </cell>
          <cell r="K2794" t="str">
            <v>天庫星</v>
          </cell>
        </row>
        <row r="2795">
          <cell r="H2795" t="str">
            <v>46+51</v>
          </cell>
          <cell r="I2795" t="str">
            <v>－</v>
          </cell>
          <cell r="J2795" t="str">
            <v>牽牛星</v>
          </cell>
          <cell r="K2795" t="str">
            <v>天極星</v>
          </cell>
        </row>
        <row r="2796">
          <cell r="H2796" t="str">
            <v>46+52</v>
          </cell>
          <cell r="I2796" t="str">
            <v>天剋地冲</v>
          </cell>
          <cell r="J2796" t="str">
            <v>車騎星</v>
          </cell>
          <cell r="K2796" t="str">
            <v>天胡星</v>
          </cell>
        </row>
        <row r="2797">
          <cell r="H2797" t="str">
            <v>46+53</v>
          </cell>
          <cell r="I2797" t="str">
            <v>支合</v>
          </cell>
          <cell r="J2797" t="str">
            <v>玉堂星</v>
          </cell>
          <cell r="K2797" t="str">
            <v>天堂星</v>
          </cell>
        </row>
        <row r="2798">
          <cell r="H2798" t="str">
            <v>46+54</v>
          </cell>
          <cell r="I2798" t="str">
            <v>半会</v>
          </cell>
          <cell r="J2798" t="str">
            <v>龍高星</v>
          </cell>
          <cell r="K2798" t="str">
            <v>天将星</v>
          </cell>
        </row>
        <row r="2799">
          <cell r="H2799" t="str">
            <v>46+55</v>
          </cell>
          <cell r="I2799" t="str">
            <v>－</v>
          </cell>
          <cell r="J2799" t="str">
            <v>石門星</v>
          </cell>
          <cell r="K2799" t="str">
            <v>天禄星</v>
          </cell>
        </row>
        <row r="2800">
          <cell r="H2800" t="str">
            <v>46+56</v>
          </cell>
          <cell r="I2800" t="str">
            <v>－</v>
          </cell>
          <cell r="J2800" t="str">
            <v>貫索星</v>
          </cell>
          <cell r="K2800" t="str">
            <v>天南星</v>
          </cell>
        </row>
        <row r="2801">
          <cell r="H2801" t="str">
            <v>46+57</v>
          </cell>
          <cell r="I2801" t="str">
            <v>準方位</v>
          </cell>
          <cell r="J2801" t="str">
            <v>調舒星</v>
          </cell>
          <cell r="K2801" t="str">
            <v>天恍星</v>
          </cell>
        </row>
        <row r="2802">
          <cell r="H2802" t="str">
            <v>46+58</v>
          </cell>
          <cell r="I2802" t="str">
            <v>自刑</v>
          </cell>
          <cell r="J2802" t="str">
            <v>鳳閣星</v>
          </cell>
          <cell r="K2802" t="str">
            <v>天貴星</v>
          </cell>
        </row>
        <row r="2803">
          <cell r="H2803" t="str">
            <v>46+59</v>
          </cell>
          <cell r="I2803" t="str">
            <v>害</v>
          </cell>
          <cell r="J2803" t="str">
            <v>司禄星</v>
          </cell>
          <cell r="K2803" t="str">
            <v>天印星</v>
          </cell>
        </row>
        <row r="2804">
          <cell r="H2804" t="str">
            <v>46+60</v>
          </cell>
          <cell r="I2804" t="str">
            <v>－</v>
          </cell>
          <cell r="J2804" t="str">
            <v>禄存星</v>
          </cell>
          <cell r="K2804" t="str">
            <v>天報星</v>
          </cell>
        </row>
        <row r="2805">
          <cell r="H2805" t="str">
            <v>47+1</v>
          </cell>
          <cell r="I2805" t="str">
            <v>－</v>
          </cell>
          <cell r="J2805" t="str">
            <v>禄存星</v>
          </cell>
          <cell r="K2805" t="str">
            <v>天極星</v>
          </cell>
        </row>
        <row r="2806">
          <cell r="H2806" t="str">
            <v>47+2</v>
          </cell>
          <cell r="I2806" t="str">
            <v>刑</v>
          </cell>
          <cell r="J2806" t="str">
            <v>司禄星</v>
          </cell>
          <cell r="K2806" t="str">
            <v>天庫星</v>
          </cell>
        </row>
        <row r="2807">
          <cell r="H2807" t="str">
            <v>47+3</v>
          </cell>
          <cell r="I2807" t="str">
            <v>半会</v>
          </cell>
          <cell r="J2807" t="str">
            <v>車騎星</v>
          </cell>
          <cell r="K2807" t="str">
            <v>天馳星</v>
          </cell>
        </row>
        <row r="2808">
          <cell r="H2808" t="str">
            <v>47+4</v>
          </cell>
          <cell r="I2808" t="str">
            <v>支合</v>
          </cell>
          <cell r="J2808" t="str">
            <v>牽牛星</v>
          </cell>
          <cell r="K2808" t="str">
            <v>天報星</v>
          </cell>
        </row>
        <row r="2809">
          <cell r="H2809" t="str">
            <v>47+5</v>
          </cell>
          <cell r="I2809" t="str">
            <v>対冲</v>
          </cell>
          <cell r="J2809" t="str">
            <v>龍高星</v>
          </cell>
          <cell r="K2809" t="str">
            <v>天印星</v>
          </cell>
        </row>
        <row r="2810">
          <cell r="H2810" t="str">
            <v>47+6</v>
          </cell>
          <cell r="I2810" t="str">
            <v>－</v>
          </cell>
          <cell r="J2810" t="str">
            <v>玉堂星</v>
          </cell>
          <cell r="K2810" t="str">
            <v>天貴星</v>
          </cell>
        </row>
        <row r="2811">
          <cell r="H2811" t="str">
            <v>47+7</v>
          </cell>
          <cell r="I2811" t="str">
            <v>大半会</v>
          </cell>
          <cell r="J2811" t="str">
            <v>貫索星</v>
          </cell>
          <cell r="K2811" t="str">
            <v>天恍星</v>
          </cell>
        </row>
        <row r="2812">
          <cell r="H2812" t="str">
            <v>47+8</v>
          </cell>
          <cell r="I2812" t="str">
            <v>刑</v>
          </cell>
          <cell r="J2812" t="str">
            <v>石門星</v>
          </cell>
          <cell r="K2812" t="str">
            <v>天南星</v>
          </cell>
        </row>
        <row r="2813">
          <cell r="H2813" t="str">
            <v>47+9</v>
          </cell>
          <cell r="I2813" t="str">
            <v>準方位</v>
          </cell>
          <cell r="J2813" t="str">
            <v>鳳閣星</v>
          </cell>
          <cell r="K2813" t="str">
            <v>天禄星</v>
          </cell>
        </row>
        <row r="2814">
          <cell r="H2814" t="str">
            <v>47+10</v>
          </cell>
          <cell r="I2814" t="str">
            <v>害</v>
          </cell>
          <cell r="J2814" t="str">
            <v>調舒星</v>
          </cell>
          <cell r="K2814" t="str">
            <v>天将星</v>
          </cell>
        </row>
        <row r="2815">
          <cell r="H2815" t="str">
            <v>47+11</v>
          </cell>
          <cell r="I2815" t="str">
            <v>同</v>
          </cell>
          <cell r="J2815" t="str">
            <v>禄存星</v>
          </cell>
          <cell r="K2815" t="str">
            <v>天堂星</v>
          </cell>
        </row>
        <row r="2816">
          <cell r="H2816" t="str">
            <v>47+12</v>
          </cell>
          <cell r="I2816" t="str">
            <v>－</v>
          </cell>
          <cell r="J2816" t="str">
            <v>司禄星</v>
          </cell>
          <cell r="K2816" t="str">
            <v>天胡星</v>
          </cell>
        </row>
        <row r="2817">
          <cell r="H2817" t="str">
            <v>47+13</v>
          </cell>
          <cell r="I2817" t="str">
            <v>－</v>
          </cell>
          <cell r="J2817" t="str">
            <v>車騎星</v>
          </cell>
          <cell r="K2817" t="str">
            <v>天極星</v>
          </cell>
        </row>
        <row r="2818">
          <cell r="H2818" t="str">
            <v>47+14</v>
          </cell>
          <cell r="I2818" t="str">
            <v>刑</v>
          </cell>
          <cell r="J2818" t="str">
            <v>牽牛星</v>
          </cell>
          <cell r="K2818" t="str">
            <v>天庫星</v>
          </cell>
        </row>
        <row r="2819">
          <cell r="H2819" t="str">
            <v>47+15</v>
          </cell>
          <cell r="I2819" t="str">
            <v>半会</v>
          </cell>
          <cell r="J2819" t="str">
            <v>龍高星</v>
          </cell>
          <cell r="K2819" t="str">
            <v>天馳星</v>
          </cell>
        </row>
        <row r="2820">
          <cell r="H2820" t="str">
            <v>47+16</v>
          </cell>
          <cell r="I2820" t="str">
            <v>支合</v>
          </cell>
          <cell r="J2820" t="str">
            <v>玉堂星</v>
          </cell>
          <cell r="K2820" t="str">
            <v>天報星</v>
          </cell>
        </row>
        <row r="2821">
          <cell r="H2821" t="str">
            <v>47+17</v>
          </cell>
          <cell r="I2821" t="str">
            <v>納音</v>
          </cell>
          <cell r="J2821" t="str">
            <v>貫索星</v>
          </cell>
          <cell r="K2821" t="str">
            <v>天印星</v>
          </cell>
        </row>
        <row r="2822">
          <cell r="H2822" t="str">
            <v>47+18</v>
          </cell>
          <cell r="I2822" t="str">
            <v>－</v>
          </cell>
          <cell r="J2822" t="str">
            <v>石門星</v>
          </cell>
          <cell r="K2822" t="str">
            <v>天貴星</v>
          </cell>
        </row>
        <row r="2823">
          <cell r="H2823" t="str">
            <v>47+19</v>
          </cell>
          <cell r="I2823" t="str">
            <v>半会</v>
          </cell>
          <cell r="J2823" t="str">
            <v>鳳閣星</v>
          </cell>
          <cell r="K2823" t="str">
            <v>天恍星</v>
          </cell>
        </row>
        <row r="2824">
          <cell r="H2824" t="str">
            <v>47+20</v>
          </cell>
          <cell r="I2824" t="str">
            <v>刑</v>
          </cell>
          <cell r="J2824" t="str">
            <v>調舒星</v>
          </cell>
          <cell r="K2824" t="str">
            <v>天南星</v>
          </cell>
        </row>
        <row r="2825">
          <cell r="H2825" t="str">
            <v>47+21</v>
          </cell>
          <cell r="I2825" t="str">
            <v>準方位</v>
          </cell>
          <cell r="J2825" t="str">
            <v>禄存星</v>
          </cell>
          <cell r="K2825" t="str">
            <v>天禄星</v>
          </cell>
        </row>
        <row r="2826">
          <cell r="H2826" t="str">
            <v>47+22</v>
          </cell>
          <cell r="I2826" t="str">
            <v>害</v>
          </cell>
          <cell r="J2826" t="str">
            <v>司禄星</v>
          </cell>
          <cell r="K2826" t="str">
            <v>天将星</v>
          </cell>
        </row>
        <row r="2827">
          <cell r="H2827" t="str">
            <v>47+23</v>
          </cell>
          <cell r="I2827" t="str">
            <v>同</v>
          </cell>
          <cell r="J2827" t="str">
            <v>車騎星</v>
          </cell>
          <cell r="K2827" t="str">
            <v>天堂星</v>
          </cell>
        </row>
        <row r="2828">
          <cell r="H2828" t="str">
            <v>47+24</v>
          </cell>
          <cell r="I2828" t="str">
            <v>－</v>
          </cell>
          <cell r="J2828" t="str">
            <v>牽牛星</v>
          </cell>
          <cell r="K2828" t="str">
            <v>天胡星</v>
          </cell>
        </row>
        <row r="2829">
          <cell r="H2829" t="str">
            <v>47+25</v>
          </cell>
          <cell r="I2829" t="str">
            <v>－</v>
          </cell>
          <cell r="J2829" t="str">
            <v>龍高星</v>
          </cell>
          <cell r="K2829" t="str">
            <v>天極星</v>
          </cell>
        </row>
        <row r="2830">
          <cell r="H2830" t="str">
            <v>47+26</v>
          </cell>
          <cell r="I2830" t="str">
            <v>刑</v>
          </cell>
          <cell r="J2830" t="str">
            <v>玉堂星</v>
          </cell>
          <cell r="K2830" t="str">
            <v>天庫星</v>
          </cell>
        </row>
        <row r="2831">
          <cell r="H2831" t="str">
            <v>47+27</v>
          </cell>
          <cell r="I2831" t="str">
            <v>大半会</v>
          </cell>
          <cell r="J2831" t="str">
            <v>貫索星</v>
          </cell>
          <cell r="K2831" t="str">
            <v>天馳星</v>
          </cell>
        </row>
        <row r="2832">
          <cell r="H2832" t="str">
            <v>47+28</v>
          </cell>
          <cell r="I2832" t="str">
            <v>支合</v>
          </cell>
          <cell r="J2832" t="str">
            <v>石門星</v>
          </cell>
          <cell r="K2832" t="str">
            <v>天報星</v>
          </cell>
        </row>
        <row r="2833">
          <cell r="H2833" t="str">
            <v>47+29</v>
          </cell>
          <cell r="I2833" t="str">
            <v>対冲</v>
          </cell>
          <cell r="J2833" t="str">
            <v>鳳閣星</v>
          </cell>
          <cell r="K2833" t="str">
            <v>天印星</v>
          </cell>
        </row>
        <row r="2834">
          <cell r="H2834" t="str">
            <v>47+30</v>
          </cell>
          <cell r="I2834" t="str">
            <v>－</v>
          </cell>
          <cell r="J2834" t="str">
            <v>調舒星</v>
          </cell>
          <cell r="K2834" t="str">
            <v>天貴星</v>
          </cell>
        </row>
        <row r="2835">
          <cell r="H2835" t="str">
            <v>47+31</v>
          </cell>
          <cell r="I2835" t="str">
            <v>半会</v>
          </cell>
          <cell r="J2835" t="str">
            <v>禄存星</v>
          </cell>
          <cell r="K2835" t="str">
            <v>天恍星</v>
          </cell>
        </row>
        <row r="2836">
          <cell r="H2836" t="str">
            <v>47+32</v>
          </cell>
          <cell r="I2836" t="str">
            <v>刑</v>
          </cell>
          <cell r="J2836" t="str">
            <v>司禄星</v>
          </cell>
          <cell r="K2836" t="str">
            <v>天南星</v>
          </cell>
        </row>
        <row r="2837">
          <cell r="H2837" t="str">
            <v>47+33</v>
          </cell>
          <cell r="I2837" t="str">
            <v>準方位</v>
          </cell>
          <cell r="J2837" t="str">
            <v>車騎星</v>
          </cell>
          <cell r="K2837" t="str">
            <v>天禄星</v>
          </cell>
        </row>
        <row r="2838">
          <cell r="H2838" t="str">
            <v>47+34</v>
          </cell>
          <cell r="I2838" t="str">
            <v>害</v>
          </cell>
          <cell r="J2838" t="str">
            <v>牽牛星</v>
          </cell>
          <cell r="K2838" t="str">
            <v>天将星</v>
          </cell>
        </row>
        <row r="2839">
          <cell r="H2839" t="str">
            <v>47+35</v>
          </cell>
          <cell r="I2839" t="str">
            <v>同</v>
          </cell>
          <cell r="J2839" t="str">
            <v>龍高星</v>
          </cell>
          <cell r="K2839" t="str">
            <v>天堂星</v>
          </cell>
        </row>
        <row r="2840">
          <cell r="H2840" t="str">
            <v>47+36</v>
          </cell>
          <cell r="I2840" t="str">
            <v>－</v>
          </cell>
          <cell r="J2840" t="str">
            <v>玉堂星</v>
          </cell>
          <cell r="K2840" t="str">
            <v>天胡星</v>
          </cell>
        </row>
        <row r="2841">
          <cell r="H2841" t="str">
            <v>47+37</v>
          </cell>
          <cell r="I2841" t="str">
            <v>－</v>
          </cell>
          <cell r="J2841" t="str">
            <v>貫索星</v>
          </cell>
          <cell r="K2841" t="str">
            <v>天極星</v>
          </cell>
        </row>
        <row r="2842">
          <cell r="H2842" t="str">
            <v>47+38</v>
          </cell>
          <cell r="I2842" t="str">
            <v>刑</v>
          </cell>
          <cell r="J2842" t="str">
            <v>石門星</v>
          </cell>
          <cell r="K2842" t="str">
            <v>天庫星</v>
          </cell>
        </row>
        <row r="2843">
          <cell r="H2843" t="str">
            <v>47+39</v>
          </cell>
          <cell r="I2843" t="str">
            <v>半会</v>
          </cell>
          <cell r="J2843" t="str">
            <v>鳳閣星</v>
          </cell>
          <cell r="K2843" t="str">
            <v>天馳星</v>
          </cell>
        </row>
        <row r="2844">
          <cell r="H2844" t="str">
            <v>47+40</v>
          </cell>
          <cell r="I2844" t="str">
            <v>支合</v>
          </cell>
          <cell r="J2844" t="str">
            <v>調舒星</v>
          </cell>
          <cell r="K2844" t="str">
            <v>天報星</v>
          </cell>
        </row>
        <row r="2845">
          <cell r="H2845" t="str">
            <v>47+41</v>
          </cell>
          <cell r="I2845" t="str">
            <v>天剋地冲</v>
          </cell>
          <cell r="J2845" t="str">
            <v>禄存星</v>
          </cell>
          <cell r="K2845" t="str">
            <v>天印星</v>
          </cell>
        </row>
        <row r="2846">
          <cell r="H2846" t="str">
            <v>47+42</v>
          </cell>
          <cell r="I2846" t="str">
            <v>－</v>
          </cell>
          <cell r="J2846" t="str">
            <v>司禄星</v>
          </cell>
          <cell r="K2846" t="str">
            <v>天貴星</v>
          </cell>
        </row>
        <row r="2847">
          <cell r="H2847" t="str">
            <v>47+43</v>
          </cell>
          <cell r="I2847" t="str">
            <v>半会</v>
          </cell>
          <cell r="J2847" t="str">
            <v>車騎星</v>
          </cell>
          <cell r="K2847" t="str">
            <v>天恍星</v>
          </cell>
        </row>
        <row r="2848">
          <cell r="H2848" t="str">
            <v>47+44</v>
          </cell>
          <cell r="I2848" t="str">
            <v>刑</v>
          </cell>
          <cell r="J2848" t="str">
            <v>牽牛星</v>
          </cell>
          <cell r="K2848" t="str">
            <v>天南星</v>
          </cell>
        </row>
        <row r="2849">
          <cell r="H2849" t="str">
            <v>47+45</v>
          </cell>
          <cell r="I2849" t="str">
            <v>準方位</v>
          </cell>
          <cell r="J2849" t="str">
            <v>龍高星</v>
          </cell>
          <cell r="K2849" t="str">
            <v>天禄星</v>
          </cell>
        </row>
        <row r="2850">
          <cell r="H2850" t="str">
            <v>47+46</v>
          </cell>
          <cell r="I2850" t="str">
            <v>害</v>
          </cell>
          <cell r="J2850" t="str">
            <v>玉堂星</v>
          </cell>
          <cell r="K2850" t="str">
            <v>天将星</v>
          </cell>
        </row>
        <row r="2851">
          <cell r="H2851" t="str">
            <v>47+47</v>
          </cell>
          <cell r="I2851" t="str">
            <v>律音</v>
          </cell>
          <cell r="J2851" t="str">
            <v>貫索星</v>
          </cell>
          <cell r="K2851" t="str">
            <v>天堂星</v>
          </cell>
        </row>
        <row r="2852">
          <cell r="H2852" t="str">
            <v>47+48</v>
          </cell>
          <cell r="I2852" t="str">
            <v>－</v>
          </cell>
          <cell r="J2852" t="str">
            <v>石門星</v>
          </cell>
          <cell r="K2852" t="str">
            <v>天胡星</v>
          </cell>
        </row>
        <row r="2853">
          <cell r="H2853" t="str">
            <v>47+49</v>
          </cell>
          <cell r="I2853" t="str">
            <v>－</v>
          </cell>
          <cell r="J2853" t="str">
            <v>鳳閣星</v>
          </cell>
          <cell r="K2853" t="str">
            <v>天極星</v>
          </cell>
        </row>
        <row r="2854">
          <cell r="H2854" t="str">
            <v>47+50</v>
          </cell>
          <cell r="I2854" t="str">
            <v>刑</v>
          </cell>
          <cell r="J2854" t="str">
            <v>調舒星</v>
          </cell>
          <cell r="K2854" t="str">
            <v>天庫星</v>
          </cell>
        </row>
        <row r="2855">
          <cell r="H2855" t="str">
            <v>47+51</v>
          </cell>
          <cell r="I2855" t="str">
            <v>半会</v>
          </cell>
          <cell r="J2855" t="str">
            <v>禄存星</v>
          </cell>
          <cell r="K2855" t="str">
            <v>天馳星</v>
          </cell>
        </row>
        <row r="2856">
          <cell r="H2856" t="str">
            <v>47+52</v>
          </cell>
          <cell r="I2856" t="str">
            <v>支合</v>
          </cell>
          <cell r="J2856" t="str">
            <v>司禄星</v>
          </cell>
          <cell r="K2856" t="str">
            <v>天報星</v>
          </cell>
        </row>
        <row r="2857">
          <cell r="H2857" t="str">
            <v>47+53</v>
          </cell>
          <cell r="I2857" t="str">
            <v>天剋地冲</v>
          </cell>
          <cell r="J2857" t="str">
            <v>車騎星</v>
          </cell>
          <cell r="K2857" t="str">
            <v>天印星</v>
          </cell>
        </row>
        <row r="2858">
          <cell r="H2858" t="str">
            <v>47+54</v>
          </cell>
          <cell r="I2858" t="str">
            <v>－</v>
          </cell>
          <cell r="J2858" t="str">
            <v>牽牛星</v>
          </cell>
          <cell r="K2858" t="str">
            <v>天貴星</v>
          </cell>
        </row>
        <row r="2859">
          <cell r="H2859" t="str">
            <v>47+55</v>
          </cell>
          <cell r="I2859" t="str">
            <v>半会</v>
          </cell>
          <cell r="J2859" t="str">
            <v>龍高星</v>
          </cell>
          <cell r="K2859" t="str">
            <v>天恍星</v>
          </cell>
        </row>
        <row r="2860">
          <cell r="H2860" t="str">
            <v>47+56</v>
          </cell>
          <cell r="I2860" t="str">
            <v>刑</v>
          </cell>
          <cell r="J2860" t="str">
            <v>玉堂星</v>
          </cell>
          <cell r="K2860" t="str">
            <v>天南星</v>
          </cell>
        </row>
        <row r="2861">
          <cell r="H2861" t="str">
            <v>47+57</v>
          </cell>
          <cell r="I2861" t="str">
            <v>準方位</v>
          </cell>
          <cell r="J2861" t="str">
            <v>貫索星</v>
          </cell>
          <cell r="K2861" t="str">
            <v>天禄星</v>
          </cell>
        </row>
        <row r="2862">
          <cell r="H2862" t="str">
            <v>47+58</v>
          </cell>
          <cell r="I2862" t="str">
            <v>害</v>
          </cell>
          <cell r="J2862" t="str">
            <v>石門星</v>
          </cell>
          <cell r="K2862" t="str">
            <v>天将星</v>
          </cell>
        </row>
        <row r="2863">
          <cell r="H2863" t="str">
            <v>47+59</v>
          </cell>
          <cell r="I2863" t="str">
            <v>同</v>
          </cell>
          <cell r="J2863" t="str">
            <v>鳳閣星</v>
          </cell>
          <cell r="K2863" t="str">
            <v>天堂星</v>
          </cell>
        </row>
        <row r="2864">
          <cell r="H2864" t="str">
            <v>47+60</v>
          </cell>
          <cell r="I2864" t="str">
            <v>－</v>
          </cell>
          <cell r="J2864" t="str">
            <v>調舒星</v>
          </cell>
          <cell r="K2864" t="str">
            <v>天胡星</v>
          </cell>
        </row>
        <row r="2865">
          <cell r="H2865" t="str">
            <v>48+1</v>
          </cell>
          <cell r="I2865" t="str">
            <v>準方位</v>
          </cell>
          <cell r="J2865" t="str">
            <v>司禄星</v>
          </cell>
          <cell r="K2865" t="str">
            <v>天貴星</v>
          </cell>
        </row>
        <row r="2866">
          <cell r="H2866" t="str">
            <v>48+2</v>
          </cell>
          <cell r="I2866" t="str">
            <v>準方位</v>
          </cell>
          <cell r="J2866" t="str">
            <v>禄存星</v>
          </cell>
          <cell r="K2866" t="str">
            <v>天印星</v>
          </cell>
        </row>
        <row r="2867">
          <cell r="H2867" t="str">
            <v>48+3</v>
          </cell>
          <cell r="I2867" t="str">
            <v>支合</v>
          </cell>
          <cell r="J2867" t="str">
            <v>牽牛星</v>
          </cell>
          <cell r="K2867" t="str">
            <v>天報星</v>
          </cell>
        </row>
        <row r="2868">
          <cell r="H2868" t="str">
            <v>48+4</v>
          </cell>
          <cell r="I2868" t="str">
            <v>半会</v>
          </cell>
          <cell r="J2868" t="str">
            <v>車騎星</v>
          </cell>
          <cell r="K2868" t="str">
            <v>天馳星</v>
          </cell>
        </row>
        <row r="2869">
          <cell r="H2869" t="str">
            <v>48+5</v>
          </cell>
          <cell r="I2869" t="str">
            <v>－</v>
          </cell>
          <cell r="J2869" t="str">
            <v>玉堂星</v>
          </cell>
          <cell r="K2869" t="str">
            <v>天庫星</v>
          </cell>
        </row>
        <row r="2870">
          <cell r="H2870" t="str">
            <v>48+6</v>
          </cell>
          <cell r="I2870" t="str">
            <v>対冲</v>
          </cell>
          <cell r="J2870" t="str">
            <v>龍高星</v>
          </cell>
          <cell r="K2870" t="str">
            <v>天極星</v>
          </cell>
        </row>
        <row r="2871">
          <cell r="H2871" t="str">
            <v>48+7</v>
          </cell>
          <cell r="I2871" t="str">
            <v>－</v>
          </cell>
          <cell r="J2871" t="str">
            <v>石門星</v>
          </cell>
          <cell r="K2871" t="str">
            <v>天胡星</v>
          </cell>
        </row>
        <row r="2872">
          <cell r="H2872" t="str">
            <v>48+8</v>
          </cell>
          <cell r="I2872" t="str">
            <v>大半会</v>
          </cell>
          <cell r="J2872" t="str">
            <v>貫索星</v>
          </cell>
          <cell r="K2872" t="str">
            <v>天堂星</v>
          </cell>
        </row>
        <row r="2873">
          <cell r="H2873" t="str">
            <v>48+9</v>
          </cell>
          <cell r="I2873" t="str">
            <v>害</v>
          </cell>
          <cell r="J2873" t="str">
            <v>調舒星</v>
          </cell>
          <cell r="K2873" t="str">
            <v>天将星</v>
          </cell>
        </row>
        <row r="2874">
          <cell r="H2874" t="str">
            <v>48+10</v>
          </cell>
          <cell r="I2874" t="str">
            <v>－</v>
          </cell>
          <cell r="J2874" t="str">
            <v>鳳閣星</v>
          </cell>
          <cell r="K2874" t="str">
            <v>天禄星</v>
          </cell>
        </row>
        <row r="2875">
          <cell r="H2875" t="str">
            <v>48+11</v>
          </cell>
          <cell r="I2875" t="str">
            <v>－</v>
          </cell>
          <cell r="J2875" t="str">
            <v>司禄星</v>
          </cell>
          <cell r="K2875" t="str">
            <v>天南星</v>
          </cell>
        </row>
        <row r="2876">
          <cell r="H2876" t="str">
            <v>48+12</v>
          </cell>
          <cell r="I2876" t="str">
            <v>自刑</v>
          </cell>
          <cell r="J2876" t="str">
            <v>禄存星</v>
          </cell>
          <cell r="K2876" t="str">
            <v>天恍星</v>
          </cell>
        </row>
        <row r="2877">
          <cell r="H2877" t="str">
            <v>48+13</v>
          </cell>
          <cell r="I2877" t="str">
            <v>準方位</v>
          </cell>
          <cell r="J2877" t="str">
            <v>牽牛星</v>
          </cell>
          <cell r="K2877" t="str">
            <v>天貴星</v>
          </cell>
        </row>
        <row r="2878">
          <cell r="H2878" t="str">
            <v>48+14</v>
          </cell>
          <cell r="I2878" t="str">
            <v>準方位</v>
          </cell>
          <cell r="J2878" t="str">
            <v>車騎星</v>
          </cell>
          <cell r="K2878" t="str">
            <v>天印星</v>
          </cell>
        </row>
        <row r="2879">
          <cell r="H2879" t="str">
            <v>48+15</v>
          </cell>
          <cell r="I2879" t="str">
            <v>支合</v>
          </cell>
          <cell r="J2879" t="str">
            <v>玉堂星</v>
          </cell>
          <cell r="K2879" t="str">
            <v>天報星</v>
          </cell>
        </row>
        <row r="2880">
          <cell r="H2880" t="str">
            <v>48+16</v>
          </cell>
          <cell r="I2880" t="str">
            <v>半会</v>
          </cell>
          <cell r="J2880" t="str">
            <v>龍高星</v>
          </cell>
          <cell r="K2880" t="str">
            <v>天馳星</v>
          </cell>
        </row>
        <row r="2881">
          <cell r="H2881" t="str">
            <v>48+17</v>
          </cell>
          <cell r="I2881" t="str">
            <v>－</v>
          </cell>
          <cell r="J2881" t="str">
            <v>石門星</v>
          </cell>
          <cell r="K2881" t="str">
            <v>天庫星</v>
          </cell>
        </row>
        <row r="2882">
          <cell r="H2882" t="str">
            <v>48+18</v>
          </cell>
          <cell r="I2882" t="str">
            <v>納音</v>
          </cell>
          <cell r="J2882" t="str">
            <v>貫索星</v>
          </cell>
          <cell r="K2882" t="str">
            <v>天極星</v>
          </cell>
        </row>
        <row r="2883">
          <cell r="H2883" t="str">
            <v>48+19</v>
          </cell>
          <cell r="I2883" t="str">
            <v>－</v>
          </cell>
          <cell r="J2883" t="str">
            <v>調舒星</v>
          </cell>
          <cell r="K2883" t="str">
            <v>天胡星</v>
          </cell>
        </row>
        <row r="2884">
          <cell r="H2884" t="str">
            <v>48+20</v>
          </cell>
          <cell r="I2884" t="str">
            <v>半会</v>
          </cell>
          <cell r="J2884" t="str">
            <v>鳳閣星</v>
          </cell>
          <cell r="K2884" t="str">
            <v>天堂星</v>
          </cell>
        </row>
        <row r="2885">
          <cell r="H2885" t="str">
            <v>48+21</v>
          </cell>
          <cell r="I2885" t="str">
            <v>害</v>
          </cell>
          <cell r="J2885" t="str">
            <v>司禄星</v>
          </cell>
          <cell r="K2885" t="str">
            <v>天将星</v>
          </cell>
        </row>
        <row r="2886">
          <cell r="H2886" t="str">
            <v>48+22</v>
          </cell>
          <cell r="I2886" t="str">
            <v>－</v>
          </cell>
          <cell r="J2886" t="str">
            <v>禄存星</v>
          </cell>
          <cell r="K2886" t="str">
            <v>天禄星</v>
          </cell>
        </row>
        <row r="2887">
          <cell r="H2887" t="str">
            <v>48+23</v>
          </cell>
          <cell r="I2887" t="str">
            <v>－</v>
          </cell>
          <cell r="J2887" t="str">
            <v>牽牛星</v>
          </cell>
          <cell r="K2887" t="str">
            <v>天南星</v>
          </cell>
        </row>
        <row r="2888">
          <cell r="H2888" t="str">
            <v>48+24</v>
          </cell>
          <cell r="I2888" t="str">
            <v>自刑</v>
          </cell>
          <cell r="J2888" t="str">
            <v>車騎星</v>
          </cell>
          <cell r="K2888" t="str">
            <v>天恍星</v>
          </cell>
        </row>
        <row r="2889">
          <cell r="H2889" t="str">
            <v>48+25</v>
          </cell>
          <cell r="I2889" t="str">
            <v>準方位</v>
          </cell>
          <cell r="J2889" t="str">
            <v>玉堂星</v>
          </cell>
          <cell r="K2889" t="str">
            <v>天貴星</v>
          </cell>
        </row>
        <row r="2890">
          <cell r="H2890" t="str">
            <v>48+26</v>
          </cell>
          <cell r="I2890" t="str">
            <v>準方位</v>
          </cell>
          <cell r="J2890" t="str">
            <v>龍高星</v>
          </cell>
          <cell r="K2890" t="str">
            <v>天印星</v>
          </cell>
        </row>
        <row r="2891">
          <cell r="H2891" t="str">
            <v>48+27</v>
          </cell>
          <cell r="I2891" t="str">
            <v>支合</v>
          </cell>
          <cell r="J2891" t="str">
            <v>石門星</v>
          </cell>
          <cell r="K2891" t="str">
            <v>天報星</v>
          </cell>
        </row>
        <row r="2892">
          <cell r="H2892" t="str">
            <v>48+28</v>
          </cell>
          <cell r="I2892" t="str">
            <v>大半会</v>
          </cell>
          <cell r="J2892" t="str">
            <v>貫索星</v>
          </cell>
          <cell r="K2892" t="str">
            <v>天馳星</v>
          </cell>
        </row>
        <row r="2893">
          <cell r="H2893" t="str">
            <v>48+29</v>
          </cell>
          <cell r="I2893" t="str">
            <v>－</v>
          </cell>
          <cell r="J2893" t="str">
            <v>調舒星</v>
          </cell>
          <cell r="K2893" t="str">
            <v>天庫星</v>
          </cell>
        </row>
        <row r="2894">
          <cell r="H2894" t="str">
            <v>48+30</v>
          </cell>
          <cell r="I2894" t="str">
            <v>対冲</v>
          </cell>
          <cell r="J2894" t="str">
            <v>鳳閣星</v>
          </cell>
          <cell r="K2894" t="str">
            <v>天極星</v>
          </cell>
        </row>
        <row r="2895">
          <cell r="H2895" t="str">
            <v>48+31</v>
          </cell>
          <cell r="I2895" t="str">
            <v>－</v>
          </cell>
          <cell r="J2895" t="str">
            <v>司禄星</v>
          </cell>
          <cell r="K2895" t="str">
            <v>天胡星</v>
          </cell>
        </row>
        <row r="2896">
          <cell r="H2896" t="str">
            <v>48+32</v>
          </cell>
          <cell r="I2896" t="str">
            <v>半会</v>
          </cell>
          <cell r="J2896" t="str">
            <v>禄存星</v>
          </cell>
          <cell r="K2896" t="str">
            <v>天堂星</v>
          </cell>
        </row>
        <row r="2897">
          <cell r="H2897" t="str">
            <v>48+33</v>
          </cell>
          <cell r="I2897" t="str">
            <v>害</v>
          </cell>
          <cell r="J2897" t="str">
            <v>牽牛星</v>
          </cell>
          <cell r="K2897" t="str">
            <v>天将星</v>
          </cell>
        </row>
        <row r="2898">
          <cell r="H2898" t="str">
            <v>48+34</v>
          </cell>
          <cell r="I2898" t="str">
            <v>－</v>
          </cell>
          <cell r="J2898" t="str">
            <v>車騎星</v>
          </cell>
          <cell r="K2898" t="str">
            <v>天禄星</v>
          </cell>
        </row>
        <row r="2899">
          <cell r="H2899" t="str">
            <v>48+35</v>
          </cell>
          <cell r="I2899" t="str">
            <v>－</v>
          </cell>
          <cell r="J2899" t="str">
            <v>玉堂星</v>
          </cell>
          <cell r="K2899" t="str">
            <v>天南星</v>
          </cell>
        </row>
        <row r="2900">
          <cell r="H2900" t="str">
            <v>48+36</v>
          </cell>
          <cell r="I2900" t="str">
            <v>自刑</v>
          </cell>
          <cell r="J2900" t="str">
            <v>龍高星</v>
          </cell>
          <cell r="K2900" t="str">
            <v>天恍星</v>
          </cell>
        </row>
        <row r="2901">
          <cell r="H2901" t="str">
            <v>48+37</v>
          </cell>
          <cell r="I2901" t="str">
            <v>準方位</v>
          </cell>
          <cell r="J2901" t="str">
            <v>石門星</v>
          </cell>
          <cell r="K2901" t="str">
            <v>天貴星</v>
          </cell>
        </row>
        <row r="2902">
          <cell r="H2902" t="str">
            <v>48+38</v>
          </cell>
          <cell r="I2902" t="str">
            <v>準方位</v>
          </cell>
          <cell r="J2902" t="str">
            <v>貫索星</v>
          </cell>
          <cell r="K2902" t="str">
            <v>天印星</v>
          </cell>
        </row>
        <row r="2903">
          <cell r="H2903" t="str">
            <v>48+39</v>
          </cell>
          <cell r="I2903" t="str">
            <v>支合</v>
          </cell>
          <cell r="J2903" t="str">
            <v>調舒星</v>
          </cell>
          <cell r="K2903" t="str">
            <v>天報星</v>
          </cell>
        </row>
        <row r="2904">
          <cell r="H2904" t="str">
            <v>48+40</v>
          </cell>
          <cell r="I2904" t="str">
            <v>半会</v>
          </cell>
          <cell r="J2904" t="str">
            <v>鳳閣星</v>
          </cell>
          <cell r="K2904" t="str">
            <v>天馳星</v>
          </cell>
        </row>
        <row r="2905">
          <cell r="H2905" t="str">
            <v>48+41</v>
          </cell>
          <cell r="I2905" t="str">
            <v>－</v>
          </cell>
          <cell r="J2905" t="str">
            <v>司禄星</v>
          </cell>
          <cell r="K2905" t="str">
            <v>天庫星</v>
          </cell>
        </row>
        <row r="2906">
          <cell r="H2906" t="str">
            <v>48+42</v>
          </cell>
          <cell r="I2906" t="str">
            <v>天剋地冲</v>
          </cell>
          <cell r="J2906" t="str">
            <v>禄存星</v>
          </cell>
          <cell r="K2906" t="str">
            <v>天極星</v>
          </cell>
        </row>
        <row r="2907">
          <cell r="H2907" t="str">
            <v>48+43</v>
          </cell>
          <cell r="I2907" t="str">
            <v>－</v>
          </cell>
          <cell r="J2907" t="str">
            <v>牽牛星</v>
          </cell>
          <cell r="K2907" t="str">
            <v>天胡星</v>
          </cell>
        </row>
        <row r="2908">
          <cell r="H2908" t="str">
            <v>48+44</v>
          </cell>
          <cell r="I2908" t="str">
            <v>半会</v>
          </cell>
          <cell r="J2908" t="str">
            <v>車騎星</v>
          </cell>
          <cell r="K2908" t="str">
            <v>天堂星</v>
          </cell>
        </row>
        <row r="2909">
          <cell r="H2909" t="str">
            <v>48+45</v>
          </cell>
          <cell r="I2909" t="str">
            <v>害</v>
          </cell>
          <cell r="J2909" t="str">
            <v>玉堂星</v>
          </cell>
          <cell r="K2909" t="str">
            <v>天将星</v>
          </cell>
        </row>
        <row r="2910">
          <cell r="H2910" t="str">
            <v>48+46</v>
          </cell>
          <cell r="I2910" t="str">
            <v>－</v>
          </cell>
          <cell r="J2910" t="str">
            <v>龍高星</v>
          </cell>
          <cell r="K2910" t="str">
            <v>天禄星</v>
          </cell>
        </row>
        <row r="2911">
          <cell r="H2911" t="str">
            <v>48+47</v>
          </cell>
          <cell r="I2911" t="str">
            <v>－</v>
          </cell>
          <cell r="J2911" t="str">
            <v>石門星</v>
          </cell>
          <cell r="K2911" t="str">
            <v>天南星</v>
          </cell>
        </row>
        <row r="2912">
          <cell r="H2912" t="str">
            <v>48+48</v>
          </cell>
          <cell r="I2912" t="str">
            <v>律音</v>
          </cell>
          <cell r="J2912" t="str">
            <v>貫索星</v>
          </cell>
          <cell r="K2912" t="str">
            <v>天恍星</v>
          </cell>
        </row>
        <row r="2913">
          <cell r="H2913" t="str">
            <v>48+49</v>
          </cell>
          <cell r="I2913" t="str">
            <v>準方位</v>
          </cell>
          <cell r="J2913" t="str">
            <v>調舒星</v>
          </cell>
          <cell r="K2913" t="str">
            <v>天貴星</v>
          </cell>
        </row>
        <row r="2914">
          <cell r="H2914" t="str">
            <v>48+50</v>
          </cell>
          <cell r="I2914" t="str">
            <v>準方位</v>
          </cell>
          <cell r="J2914" t="str">
            <v>鳳閣星</v>
          </cell>
          <cell r="K2914" t="str">
            <v>天印星</v>
          </cell>
        </row>
        <row r="2915">
          <cell r="H2915" t="str">
            <v>48+51</v>
          </cell>
          <cell r="I2915" t="str">
            <v>支合</v>
          </cell>
          <cell r="J2915" t="str">
            <v>司禄星</v>
          </cell>
          <cell r="K2915" t="str">
            <v>天報星</v>
          </cell>
        </row>
        <row r="2916">
          <cell r="H2916" t="str">
            <v>48+52</v>
          </cell>
          <cell r="I2916" t="str">
            <v>半会</v>
          </cell>
          <cell r="J2916" t="str">
            <v>禄存星</v>
          </cell>
          <cell r="K2916" t="str">
            <v>天馳星</v>
          </cell>
        </row>
        <row r="2917">
          <cell r="H2917" t="str">
            <v>48+53</v>
          </cell>
          <cell r="I2917" t="str">
            <v>－</v>
          </cell>
          <cell r="J2917" t="str">
            <v>牽牛星</v>
          </cell>
          <cell r="K2917" t="str">
            <v>天庫星</v>
          </cell>
        </row>
        <row r="2918">
          <cell r="H2918" t="str">
            <v>48+54</v>
          </cell>
          <cell r="I2918" t="str">
            <v>天剋地冲</v>
          </cell>
          <cell r="J2918" t="str">
            <v>車騎星</v>
          </cell>
          <cell r="K2918" t="str">
            <v>天極星</v>
          </cell>
        </row>
        <row r="2919">
          <cell r="H2919" t="str">
            <v>48+55</v>
          </cell>
          <cell r="I2919" t="str">
            <v>－</v>
          </cell>
          <cell r="J2919" t="str">
            <v>玉堂星</v>
          </cell>
          <cell r="K2919" t="str">
            <v>天胡星</v>
          </cell>
        </row>
        <row r="2920">
          <cell r="H2920" t="str">
            <v>48+56</v>
          </cell>
          <cell r="I2920" t="str">
            <v>半会</v>
          </cell>
          <cell r="J2920" t="str">
            <v>龍高星</v>
          </cell>
          <cell r="K2920" t="str">
            <v>天堂星</v>
          </cell>
        </row>
        <row r="2921">
          <cell r="H2921" t="str">
            <v>48+57</v>
          </cell>
          <cell r="I2921" t="str">
            <v>害</v>
          </cell>
          <cell r="J2921" t="str">
            <v>石門星</v>
          </cell>
          <cell r="K2921" t="str">
            <v>天将星</v>
          </cell>
        </row>
        <row r="2922">
          <cell r="H2922" t="str">
            <v>48+58</v>
          </cell>
          <cell r="I2922" t="str">
            <v>－</v>
          </cell>
          <cell r="J2922" t="str">
            <v>貫索星</v>
          </cell>
          <cell r="K2922" t="str">
            <v>天禄星</v>
          </cell>
        </row>
        <row r="2923">
          <cell r="H2923" t="str">
            <v>48+59</v>
          </cell>
          <cell r="I2923" t="str">
            <v>－</v>
          </cell>
          <cell r="J2923" t="str">
            <v>調舒星</v>
          </cell>
          <cell r="K2923" t="str">
            <v>天南星</v>
          </cell>
        </row>
        <row r="2924">
          <cell r="H2924" t="str">
            <v>48+60</v>
          </cell>
          <cell r="I2924" t="str">
            <v>自刑</v>
          </cell>
          <cell r="J2924" t="str">
            <v>鳳閣星</v>
          </cell>
          <cell r="K2924" t="str">
            <v>天恍星</v>
          </cell>
        </row>
        <row r="2925">
          <cell r="H2925" t="str">
            <v>49+1</v>
          </cell>
          <cell r="I2925" t="str">
            <v>同</v>
          </cell>
          <cell r="J2925" t="str">
            <v>鳳閣星</v>
          </cell>
          <cell r="K2925" t="str">
            <v>天将星</v>
          </cell>
        </row>
        <row r="2926">
          <cell r="H2926" t="str">
            <v>49+2</v>
          </cell>
          <cell r="I2926" t="str">
            <v>支合</v>
          </cell>
          <cell r="J2926" t="str">
            <v>調舒星</v>
          </cell>
          <cell r="K2926" t="str">
            <v>天堂星</v>
          </cell>
        </row>
        <row r="2927">
          <cell r="H2927" t="str">
            <v>49+3</v>
          </cell>
          <cell r="I2927" t="str">
            <v>－</v>
          </cell>
          <cell r="J2927" t="str">
            <v>禄存星</v>
          </cell>
          <cell r="K2927" t="str">
            <v>天胡星</v>
          </cell>
        </row>
        <row r="2928">
          <cell r="H2928" t="str">
            <v>49+4</v>
          </cell>
          <cell r="I2928" t="str">
            <v>刑</v>
          </cell>
          <cell r="J2928" t="str">
            <v>司禄星</v>
          </cell>
          <cell r="K2928" t="str">
            <v>天極星</v>
          </cell>
        </row>
        <row r="2929">
          <cell r="H2929" t="str">
            <v>49+5</v>
          </cell>
          <cell r="I2929" t="str">
            <v>半会</v>
          </cell>
          <cell r="J2929" t="str">
            <v>車騎星</v>
          </cell>
          <cell r="K2929" t="str">
            <v>天庫星</v>
          </cell>
        </row>
        <row r="2930">
          <cell r="H2930" t="str">
            <v>49+6</v>
          </cell>
          <cell r="I2930" t="str">
            <v>－</v>
          </cell>
          <cell r="J2930" t="str">
            <v>牽牛星</v>
          </cell>
          <cell r="K2930" t="str">
            <v>天馳星</v>
          </cell>
        </row>
        <row r="2931">
          <cell r="H2931" t="str">
            <v>49+7</v>
          </cell>
          <cell r="I2931" t="str">
            <v>対冲</v>
          </cell>
          <cell r="J2931" t="str">
            <v>龍高星</v>
          </cell>
          <cell r="K2931" t="str">
            <v>天報星</v>
          </cell>
        </row>
        <row r="2932">
          <cell r="H2932" t="str">
            <v>49+8</v>
          </cell>
          <cell r="I2932" t="str">
            <v>害</v>
          </cell>
          <cell r="J2932" t="str">
            <v>玉堂星</v>
          </cell>
          <cell r="K2932" t="str">
            <v>天印星</v>
          </cell>
        </row>
        <row r="2933">
          <cell r="H2933" t="str">
            <v>49+9</v>
          </cell>
          <cell r="I2933" t="str">
            <v>大半会</v>
          </cell>
          <cell r="J2933" t="str">
            <v>貫索星</v>
          </cell>
          <cell r="K2933" t="str">
            <v>天貴星</v>
          </cell>
        </row>
        <row r="2934">
          <cell r="H2934" t="str">
            <v>49+10</v>
          </cell>
          <cell r="I2934" t="str">
            <v>破</v>
          </cell>
          <cell r="J2934" t="str">
            <v>石門星</v>
          </cell>
          <cell r="K2934" t="str">
            <v>天恍星</v>
          </cell>
        </row>
        <row r="2935">
          <cell r="H2935" t="str">
            <v>49+11</v>
          </cell>
          <cell r="I2935" t="str">
            <v>－</v>
          </cell>
          <cell r="J2935" t="str">
            <v>鳳閣星</v>
          </cell>
          <cell r="K2935" t="str">
            <v>天南星</v>
          </cell>
        </row>
        <row r="2936">
          <cell r="H2936" t="str">
            <v>49+12</v>
          </cell>
          <cell r="I2936" t="str">
            <v>準方位</v>
          </cell>
          <cell r="J2936" t="str">
            <v>調舒星</v>
          </cell>
          <cell r="K2936" t="str">
            <v>天禄星</v>
          </cell>
        </row>
        <row r="2937">
          <cell r="H2937" t="str">
            <v>49+13</v>
          </cell>
          <cell r="I2937" t="str">
            <v>同</v>
          </cell>
          <cell r="J2937" t="str">
            <v>禄存星</v>
          </cell>
          <cell r="K2937" t="str">
            <v>天将星</v>
          </cell>
        </row>
        <row r="2938">
          <cell r="H2938" t="str">
            <v>49+14</v>
          </cell>
          <cell r="I2938" t="str">
            <v>支合</v>
          </cell>
          <cell r="J2938" t="str">
            <v>司禄星</v>
          </cell>
          <cell r="K2938" t="str">
            <v>天堂星</v>
          </cell>
        </row>
        <row r="2939">
          <cell r="H2939" t="str">
            <v>49+15</v>
          </cell>
          <cell r="I2939" t="str">
            <v>－</v>
          </cell>
          <cell r="J2939" t="str">
            <v>車騎星</v>
          </cell>
          <cell r="K2939" t="str">
            <v>天胡星</v>
          </cell>
        </row>
        <row r="2940">
          <cell r="H2940" t="str">
            <v>49+16</v>
          </cell>
          <cell r="I2940" t="str">
            <v>刑</v>
          </cell>
          <cell r="J2940" t="str">
            <v>牽牛星</v>
          </cell>
          <cell r="K2940" t="str">
            <v>天極星</v>
          </cell>
        </row>
        <row r="2941">
          <cell r="H2941" t="str">
            <v>49+17</v>
          </cell>
          <cell r="I2941" t="str">
            <v>半会</v>
          </cell>
          <cell r="J2941" t="str">
            <v>龍高星</v>
          </cell>
          <cell r="K2941" t="str">
            <v>天庫星</v>
          </cell>
        </row>
        <row r="2942">
          <cell r="H2942" t="str">
            <v>49+18</v>
          </cell>
          <cell r="I2942" t="str">
            <v>－</v>
          </cell>
          <cell r="J2942" t="str">
            <v>玉堂星</v>
          </cell>
          <cell r="K2942" t="str">
            <v>天馳星</v>
          </cell>
        </row>
        <row r="2943">
          <cell r="H2943" t="str">
            <v>49+19</v>
          </cell>
          <cell r="I2943" t="str">
            <v>納音</v>
          </cell>
          <cell r="J2943" t="str">
            <v>貫索星</v>
          </cell>
          <cell r="K2943" t="str">
            <v>天報星</v>
          </cell>
        </row>
        <row r="2944">
          <cell r="H2944" t="str">
            <v>49+20</v>
          </cell>
          <cell r="I2944" t="str">
            <v>害</v>
          </cell>
          <cell r="J2944" t="str">
            <v>石門星</v>
          </cell>
          <cell r="K2944" t="str">
            <v>天印星</v>
          </cell>
        </row>
        <row r="2945">
          <cell r="H2945" t="str">
            <v>49+21</v>
          </cell>
          <cell r="I2945" t="str">
            <v>半会</v>
          </cell>
          <cell r="J2945" t="str">
            <v>鳳閣星</v>
          </cell>
          <cell r="K2945" t="str">
            <v>天貴星</v>
          </cell>
        </row>
        <row r="2946">
          <cell r="H2946" t="str">
            <v>49+22</v>
          </cell>
          <cell r="I2946" t="str">
            <v>破</v>
          </cell>
          <cell r="J2946" t="str">
            <v>調舒星</v>
          </cell>
          <cell r="K2946" t="str">
            <v>天恍星</v>
          </cell>
        </row>
        <row r="2947">
          <cell r="H2947" t="str">
            <v>49+23</v>
          </cell>
          <cell r="I2947" t="str">
            <v>－</v>
          </cell>
          <cell r="J2947" t="str">
            <v>禄存星</v>
          </cell>
          <cell r="K2947" t="str">
            <v>天南星</v>
          </cell>
        </row>
        <row r="2948">
          <cell r="H2948" t="str">
            <v>49+24</v>
          </cell>
          <cell r="I2948" t="str">
            <v>準方位</v>
          </cell>
          <cell r="J2948" t="str">
            <v>司禄星</v>
          </cell>
          <cell r="K2948" t="str">
            <v>天禄星</v>
          </cell>
        </row>
        <row r="2949">
          <cell r="H2949" t="str">
            <v>49+25</v>
          </cell>
          <cell r="I2949" t="str">
            <v>同</v>
          </cell>
          <cell r="J2949" t="str">
            <v>車騎星</v>
          </cell>
          <cell r="K2949" t="str">
            <v>天将星</v>
          </cell>
        </row>
        <row r="2950">
          <cell r="H2950" t="str">
            <v>49+26</v>
          </cell>
          <cell r="I2950" t="str">
            <v>支合</v>
          </cell>
          <cell r="J2950" t="str">
            <v>牽牛星</v>
          </cell>
          <cell r="K2950" t="str">
            <v>天堂星</v>
          </cell>
        </row>
        <row r="2951">
          <cell r="H2951" t="str">
            <v>49+27</v>
          </cell>
          <cell r="I2951" t="str">
            <v>－</v>
          </cell>
          <cell r="J2951" t="str">
            <v>龍高星</v>
          </cell>
          <cell r="K2951" t="str">
            <v>天胡星</v>
          </cell>
        </row>
        <row r="2952">
          <cell r="H2952" t="str">
            <v>49+28</v>
          </cell>
          <cell r="I2952" t="str">
            <v>刑</v>
          </cell>
          <cell r="J2952" t="str">
            <v>玉堂星</v>
          </cell>
          <cell r="K2952" t="str">
            <v>天極星</v>
          </cell>
        </row>
        <row r="2953">
          <cell r="H2953" t="str">
            <v>49+29</v>
          </cell>
          <cell r="I2953" t="str">
            <v>大半会</v>
          </cell>
          <cell r="J2953" t="str">
            <v>貫索星</v>
          </cell>
          <cell r="K2953" t="str">
            <v>天庫星</v>
          </cell>
        </row>
        <row r="2954">
          <cell r="H2954" t="str">
            <v>49+30</v>
          </cell>
          <cell r="I2954" t="str">
            <v>－</v>
          </cell>
          <cell r="J2954" t="str">
            <v>石門星</v>
          </cell>
          <cell r="K2954" t="str">
            <v>天馳星</v>
          </cell>
        </row>
        <row r="2955">
          <cell r="H2955" t="str">
            <v>49+31</v>
          </cell>
          <cell r="I2955" t="str">
            <v>対冲</v>
          </cell>
          <cell r="J2955" t="str">
            <v>鳳閣星</v>
          </cell>
          <cell r="K2955" t="str">
            <v>天報星</v>
          </cell>
        </row>
        <row r="2956">
          <cell r="H2956" t="str">
            <v>49+32</v>
          </cell>
          <cell r="I2956" t="str">
            <v>害</v>
          </cell>
          <cell r="J2956" t="str">
            <v>調舒星</v>
          </cell>
          <cell r="K2956" t="str">
            <v>天印星</v>
          </cell>
        </row>
        <row r="2957">
          <cell r="H2957" t="str">
            <v>49+33</v>
          </cell>
          <cell r="I2957" t="str">
            <v>半会</v>
          </cell>
          <cell r="J2957" t="str">
            <v>禄存星</v>
          </cell>
          <cell r="K2957" t="str">
            <v>天貴星</v>
          </cell>
        </row>
        <row r="2958">
          <cell r="H2958" t="str">
            <v>49+34</v>
          </cell>
          <cell r="I2958" t="str">
            <v>破</v>
          </cell>
          <cell r="J2958" t="str">
            <v>司禄星</v>
          </cell>
          <cell r="K2958" t="str">
            <v>天恍星</v>
          </cell>
        </row>
        <row r="2959">
          <cell r="H2959" t="str">
            <v>49+35</v>
          </cell>
          <cell r="I2959" t="str">
            <v>－</v>
          </cell>
          <cell r="J2959" t="str">
            <v>車騎星</v>
          </cell>
          <cell r="K2959" t="str">
            <v>天南星</v>
          </cell>
        </row>
        <row r="2960">
          <cell r="H2960" t="str">
            <v>49+36</v>
          </cell>
          <cell r="I2960" t="str">
            <v>準方位</v>
          </cell>
          <cell r="J2960" t="str">
            <v>牽牛星</v>
          </cell>
          <cell r="K2960" t="str">
            <v>天禄星</v>
          </cell>
        </row>
        <row r="2961">
          <cell r="H2961" t="str">
            <v>49+37</v>
          </cell>
          <cell r="I2961" t="str">
            <v>同</v>
          </cell>
          <cell r="J2961" t="str">
            <v>龍高星</v>
          </cell>
          <cell r="K2961" t="str">
            <v>天将星</v>
          </cell>
        </row>
        <row r="2962">
          <cell r="H2962" t="str">
            <v>49+38</v>
          </cell>
          <cell r="I2962" t="str">
            <v>支合</v>
          </cell>
          <cell r="J2962" t="str">
            <v>玉堂星</v>
          </cell>
          <cell r="K2962" t="str">
            <v>天堂星</v>
          </cell>
        </row>
        <row r="2963">
          <cell r="H2963" t="str">
            <v>49+39</v>
          </cell>
          <cell r="I2963" t="str">
            <v>－</v>
          </cell>
          <cell r="J2963" t="str">
            <v>貫索星</v>
          </cell>
          <cell r="K2963" t="str">
            <v>天胡星</v>
          </cell>
        </row>
        <row r="2964">
          <cell r="H2964" t="str">
            <v>49+40</v>
          </cell>
          <cell r="I2964" t="str">
            <v>刑</v>
          </cell>
          <cell r="J2964" t="str">
            <v>石門星</v>
          </cell>
          <cell r="K2964" t="str">
            <v>天極星</v>
          </cell>
        </row>
        <row r="2965">
          <cell r="H2965" t="str">
            <v>49+41</v>
          </cell>
          <cell r="I2965" t="str">
            <v>半会</v>
          </cell>
          <cell r="J2965" t="str">
            <v>鳳閣星</v>
          </cell>
          <cell r="K2965" t="str">
            <v>天庫星</v>
          </cell>
        </row>
        <row r="2966">
          <cell r="H2966" t="str">
            <v>49+42</v>
          </cell>
          <cell r="I2966" t="str">
            <v>－</v>
          </cell>
          <cell r="J2966" t="str">
            <v>調舒星</v>
          </cell>
          <cell r="K2966" t="str">
            <v>天馳星</v>
          </cell>
        </row>
        <row r="2967">
          <cell r="H2967" t="str">
            <v>49+43</v>
          </cell>
          <cell r="I2967" t="str">
            <v>天剋地冲</v>
          </cell>
          <cell r="J2967" t="str">
            <v>禄存星</v>
          </cell>
          <cell r="K2967" t="str">
            <v>天報星</v>
          </cell>
        </row>
        <row r="2968">
          <cell r="H2968" t="str">
            <v>49+44</v>
          </cell>
          <cell r="I2968" t="str">
            <v>害</v>
          </cell>
          <cell r="J2968" t="str">
            <v>司禄星</v>
          </cell>
          <cell r="K2968" t="str">
            <v>天印星</v>
          </cell>
        </row>
        <row r="2969">
          <cell r="H2969" t="str">
            <v>49+45</v>
          </cell>
          <cell r="I2969" t="str">
            <v>半会</v>
          </cell>
          <cell r="J2969" t="str">
            <v>車騎星</v>
          </cell>
          <cell r="K2969" t="str">
            <v>天貴星</v>
          </cell>
        </row>
        <row r="2970">
          <cell r="H2970" t="str">
            <v>49+46</v>
          </cell>
          <cell r="I2970" t="str">
            <v>破</v>
          </cell>
          <cell r="J2970" t="str">
            <v>牽牛星</v>
          </cell>
          <cell r="K2970" t="str">
            <v>天恍星</v>
          </cell>
        </row>
        <row r="2971">
          <cell r="H2971" t="str">
            <v>49+47</v>
          </cell>
          <cell r="I2971" t="str">
            <v>－</v>
          </cell>
          <cell r="J2971" t="str">
            <v>龍高星</v>
          </cell>
          <cell r="K2971" t="str">
            <v>天南星</v>
          </cell>
        </row>
        <row r="2972">
          <cell r="H2972" t="str">
            <v>49+48</v>
          </cell>
          <cell r="I2972" t="str">
            <v>準方位</v>
          </cell>
          <cell r="J2972" t="str">
            <v>玉堂星</v>
          </cell>
          <cell r="K2972" t="str">
            <v>天禄星</v>
          </cell>
        </row>
        <row r="2973">
          <cell r="H2973" t="str">
            <v>49+49</v>
          </cell>
          <cell r="I2973" t="str">
            <v>律音</v>
          </cell>
          <cell r="J2973" t="str">
            <v>貫索星</v>
          </cell>
          <cell r="K2973" t="str">
            <v>天将星</v>
          </cell>
        </row>
        <row r="2974">
          <cell r="H2974" t="str">
            <v>49+50</v>
          </cell>
          <cell r="I2974" t="str">
            <v>支合</v>
          </cell>
          <cell r="J2974" t="str">
            <v>石門星</v>
          </cell>
          <cell r="K2974" t="str">
            <v>天堂星</v>
          </cell>
        </row>
        <row r="2975">
          <cell r="H2975" t="str">
            <v>49+51</v>
          </cell>
          <cell r="I2975" t="str">
            <v>－</v>
          </cell>
          <cell r="J2975" t="str">
            <v>鳳閣星</v>
          </cell>
          <cell r="K2975" t="str">
            <v>天胡星</v>
          </cell>
        </row>
        <row r="2976">
          <cell r="H2976" t="str">
            <v>49+52</v>
          </cell>
          <cell r="I2976" t="str">
            <v>刑</v>
          </cell>
          <cell r="J2976" t="str">
            <v>調舒星</v>
          </cell>
          <cell r="K2976" t="str">
            <v>天極星</v>
          </cell>
        </row>
        <row r="2977">
          <cell r="H2977" t="str">
            <v>49+53</v>
          </cell>
          <cell r="I2977" t="str">
            <v>半会</v>
          </cell>
          <cell r="J2977" t="str">
            <v>禄存星</v>
          </cell>
          <cell r="K2977" t="str">
            <v>天庫星</v>
          </cell>
        </row>
        <row r="2978">
          <cell r="H2978" t="str">
            <v>49+54</v>
          </cell>
          <cell r="I2978" t="str">
            <v>－</v>
          </cell>
          <cell r="J2978" t="str">
            <v>司禄星</v>
          </cell>
          <cell r="K2978" t="str">
            <v>天馳星</v>
          </cell>
        </row>
        <row r="2979">
          <cell r="H2979" t="str">
            <v>49+55</v>
          </cell>
          <cell r="I2979" t="str">
            <v>天剋地冲</v>
          </cell>
          <cell r="J2979" t="str">
            <v>車騎星</v>
          </cell>
          <cell r="K2979" t="str">
            <v>天報星</v>
          </cell>
        </row>
        <row r="2980">
          <cell r="H2980" t="str">
            <v>49+56</v>
          </cell>
          <cell r="I2980" t="str">
            <v>害</v>
          </cell>
          <cell r="J2980" t="str">
            <v>牽牛星</v>
          </cell>
          <cell r="K2980" t="str">
            <v>天印星</v>
          </cell>
        </row>
        <row r="2981">
          <cell r="H2981" t="str">
            <v>49+57</v>
          </cell>
          <cell r="I2981" t="str">
            <v>半会</v>
          </cell>
          <cell r="J2981" t="str">
            <v>龍高星</v>
          </cell>
          <cell r="K2981" t="str">
            <v>天貴星</v>
          </cell>
        </row>
        <row r="2982">
          <cell r="H2982" t="str">
            <v>49+58</v>
          </cell>
          <cell r="I2982" t="str">
            <v>破</v>
          </cell>
          <cell r="J2982" t="str">
            <v>玉堂星</v>
          </cell>
          <cell r="K2982" t="str">
            <v>天恍星</v>
          </cell>
        </row>
        <row r="2983">
          <cell r="H2983" t="str">
            <v>49+59</v>
          </cell>
          <cell r="I2983" t="str">
            <v>－</v>
          </cell>
          <cell r="J2983" t="str">
            <v>貫索星</v>
          </cell>
          <cell r="K2983" t="str">
            <v>天南星</v>
          </cell>
        </row>
        <row r="2984">
          <cell r="H2984" t="str">
            <v>49+60</v>
          </cell>
          <cell r="I2984" t="str">
            <v>準方位</v>
          </cell>
          <cell r="J2984" t="str">
            <v>石門星</v>
          </cell>
          <cell r="K2984" t="str">
            <v>天禄星</v>
          </cell>
        </row>
        <row r="2985">
          <cell r="H2985" t="str">
            <v>50+1</v>
          </cell>
          <cell r="I2985" t="str">
            <v>支合</v>
          </cell>
          <cell r="J2985" t="str">
            <v>調舒星</v>
          </cell>
          <cell r="K2985" t="str">
            <v>天禄星</v>
          </cell>
        </row>
        <row r="2986">
          <cell r="H2986" t="str">
            <v>50+2</v>
          </cell>
          <cell r="I2986" t="str">
            <v>同</v>
          </cell>
          <cell r="J2986" t="str">
            <v>鳳閣星</v>
          </cell>
          <cell r="K2986" t="str">
            <v>天南星</v>
          </cell>
        </row>
        <row r="2987">
          <cell r="H2987" t="str">
            <v>50+3</v>
          </cell>
          <cell r="I2987" t="str">
            <v>－</v>
          </cell>
          <cell r="J2987" t="str">
            <v>司禄星</v>
          </cell>
          <cell r="K2987" t="str">
            <v>天恍星</v>
          </cell>
        </row>
        <row r="2988">
          <cell r="H2988" t="str">
            <v>50+4</v>
          </cell>
          <cell r="I2988" t="str">
            <v>－</v>
          </cell>
          <cell r="J2988" t="str">
            <v>禄存星</v>
          </cell>
          <cell r="K2988" t="str">
            <v>天貴星</v>
          </cell>
        </row>
        <row r="2989">
          <cell r="H2989" t="str">
            <v>50+5</v>
          </cell>
          <cell r="I2989" t="str">
            <v>破</v>
          </cell>
          <cell r="J2989" t="str">
            <v>牽牛星</v>
          </cell>
          <cell r="K2989" t="str">
            <v>天印星</v>
          </cell>
        </row>
        <row r="2990">
          <cell r="H2990" t="str">
            <v>50+6</v>
          </cell>
          <cell r="I2990" t="str">
            <v>半会</v>
          </cell>
          <cell r="J2990" t="str">
            <v>車騎星</v>
          </cell>
          <cell r="K2990" t="str">
            <v>天報星</v>
          </cell>
        </row>
        <row r="2991">
          <cell r="H2991" t="str">
            <v>50+7</v>
          </cell>
          <cell r="I2991" t="str">
            <v>害</v>
          </cell>
          <cell r="J2991" t="str">
            <v>玉堂星</v>
          </cell>
          <cell r="K2991" t="str">
            <v>天馳星</v>
          </cell>
        </row>
        <row r="2992">
          <cell r="H2992" t="str">
            <v>50+8</v>
          </cell>
          <cell r="I2992" t="str">
            <v>対冲</v>
          </cell>
          <cell r="J2992" t="str">
            <v>龍高星</v>
          </cell>
          <cell r="K2992" t="str">
            <v>天庫星</v>
          </cell>
        </row>
        <row r="2993">
          <cell r="H2993" t="str">
            <v>50+9</v>
          </cell>
          <cell r="I2993" t="str">
            <v>－</v>
          </cell>
          <cell r="J2993" t="str">
            <v>石門星</v>
          </cell>
          <cell r="K2993" t="str">
            <v>天極星</v>
          </cell>
        </row>
        <row r="2994">
          <cell r="H2994" t="str">
            <v>50+10</v>
          </cell>
          <cell r="I2994" t="str">
            <v>大半会</v>
          </cell>
          <cell r="J2994" t="str">
            <v>貫索星</v>
          </cell>
          <cell r="K2994" t="str">
            <v>天胡星</v>
          </cell>
        </row>
        <row r="2995">
          <cell r="H2995" t="str">
            <v>50+11</v>
          </cell>
          <cell r="I2995" t="str">
            <v>刑</v>
          </cell>
          <cell r="J2995" t="str">
            <v>調舒星</v>
          </cell>
          <cell r="K2995" t="str">
            <v>天堂星</v>
          </cell>
        </row>
        <row r="2996">
          <cell r="H2996" t="str">
            <v>50+12</v>
          </cell>
          <cell r="I2996" t="str">
            <v>準方位</v>
          </cell>
          <cell r="J2996" t="str">
            <v>鳳閣星</v>
          </cell>
          <cell r="K2996" t="str">
            <v>天将星</v>
          </cell>
        </row>
        <row r="2997">
          <cell r="H2997" t="str">
            <v>50+13</v>
          </cell>
          <cell r="I2997" t="str">
            <v>支合</v>
          </cell>
          <cell r="J2997" t="str">
            <v>司禄星</v>
          </cell>
          <cell r="K2997" t="str">
            <v>天禄星</v>
          </cell>
        </row>
        <row r="2998">
          <cell r="H2998" t="str">
            <v>50+14</v>
          </cell>
          <cell r="I2998" t="str">
            <v>同</v>
          </cell>
          <cell r="J2998" t="str">
            <v>禄存星</v>
          </cell>
          <cell r="K2998" t="str">
            <v>天南星</v>
          </cell>
        </row>
        <row r="2999">
          <cell r="H2999" t="str">
            <v>50+15</v>
          </cell>
          <cell r="I2999" t="str">
            <v>－</v>
          </cell>
          <cell r="J2999" t="str">
            <v>牽牛星</v>
          </cell>
          <cell r="K2999" t="str">
            <v>天恍星</v>
          </cell>
        </row>
        <row r="3000">
          <cell r="H3000" t="str">
            <v>50+16</v>
          </cell>
          <cell r="I3000" t="str">
            <v>－</v>
          </cell>
          <cell r="J3000" t="str">
            <v>車騎星</v>
          </cell>
          <cell r="K3000" t="str">
            <v>天貴星</v>
          </cell>
        </row>
        <row r="3001">
          <cell r="H3001" t="str">
            <v>50+17</v>
          </cell>
          <cell r="I3001" t="str">
            <v>破</v>
          </cell>
          <cell r="J3001" t="str">
            <v>玉堂星</v>
          </cell>
          <cell r="K3001" t="str">
            <v>天印星</v>
          </cell>
        </row>
        <row r="3002">
          <cell r="H3002" t="str">
            <v>50+18</v>
          </cell>
          <cell r="I3002" t="str">
            <v>半会</v>
          </cell>
          <cell r="J3002" t="str">
            <v>龍高星</v>
          </cell>
          <cell r="K3002" t="str">
            <v>天報星</v>
          </cell>
        </row>
        <row r="3003">
          <cell r="H3003" t="str">
            <v>50+19</v>
          </cell>
          <cell r="I3003" t="str">
            <v>害</v>
          </cell>
          <cell r="J3003" t="str">
            <v>石門星</v>
          </cell>
          <cell r="K3003" t="str">
            <v>天馳星</v>
          </cell>
        </row>
        <row r="3004">
          <cell r="H3004" t="str">
            <v>50+20</v>
          </cell>
          <cell r="I3004" t="str">
            <v>納音</v>
          </cell>
          <cell r="J3004" t="str">
            <v>貫索星</v>
          </cell>
          <cell r="K3004" t="str">
            <v>天庫星</v>
          </cell>
        </row>
        <row r="3005">
          <cell r="H3005" t="str">
            <v>50+21</v>
          </cell>
          <cell r="I3005" t="str">
            <v>－</v>
          </cell>
          <cell r="J3005" t="str">
            <v>調舒星</v>
          </cell>
          <cell r="K3005" t="str">
            <v>天極星</v>
          </cell>
        </row>
        <row r="3006">
          <cell r="H3006" t="str">
            <v>50+22</v>
          </cell>
          <cell r="I3006" t="str">
            <v>半会</v>
          </cell>
          <cell r="J3006" t="str">
            <v>鳳閣星</v>
          </cell>
          <cell r="K3006" t="str">
            <v>天胡星</v>
          </cell>
        </row>
        <row r="3007">
          <cell r="H3007" t="str">
            <v>50+23</v>
          </cell>
          <cell r="I3007" t="str">
            <v>刑</v>
          </cell>
          <cell r="J3007" t="str">
            <v>司禄星</v>
          </cell>
          <cell r="K3007" t="str">
            <v>天堂星</v>
          </cell>
        </row>
        <row r="3008">
          <cell r="H3008" t="str">
            <v>50+24</v>
          </cell>
          <cell r="I3008" t="str">
            <v>準方位</v>
          </cell>
          <cell r="J3008" t="str">
            <v>禄存星</v>
          </cell>
          <cell r="K3008" t="str">
            <v>天将星</v>
          </cell>
        </row>
        <row r="3009">
          <cell r="H3009" t="str">
            <v>50+25</v>
          </cell>
          <cell r="I3009" t="str">
            <v>支合</v>
          </cell>
          <cell r="J3009" t="str">
            <v>牽牛星</v>
          </cell>
          <cell r="K3009" t="str">
            <v>天禄星</v>
          </cell>
        </row>
        <row r="3010">
          <cell r="H3010" t="str">
            <v>50+26</v>
          </cell>
          <cell r="I3010" t="str">
            <v>同</v>
          </cell>
          <cell r="J3010" t="str">
            <v>車騎星</v>
          </cell>
          <cell r="K3010" t="str">
            <v>天南星</v>
          </cell>
        </row>
        <row r="3011">
          <cell r="H3011" t="str">
            <v>50+27</v>
          </cell>
          <cell r="I3011" t="str">
            <v>－</v>
          </cell>
          <cell r="J3011" t="str">
            <v>玉堂星</v>
          </cell>
          <cell r="K3011" t="str">
            <v>天恍星</v>
          </cell>
        </row>
        <row r="3012">
          <cell r="H3012" t="str">
            <v>50+28</v>
          </cell>
          <cell r="I3012" t="str">
            <v>－</v>
          </cell>
          <cell r="J3012" t="str">
            <v>龍高星</v>
          </cell>
          <cell r="K3012" t="str">
            <v>天貴星</v>
          </cell>
        </row>
        <row r="3013">
          <cell r="H3013" t="str">
            <v>50+29</v>
          </cell>
          <cell r="I3013" t="str">
            <v>破</v>
          </cell>
          <cell r="J3013" t="str">
            <v>石門星</v>
          </cell>
          <cell r="K3013" t="str">
            <v>天印星</v>
          </cell>
        </row>
        <row r="3014">
          <cell r="H3014" t="str">
            <v>50+30</v>
          </cell>
          <cell r="I3014" t="str">
            <v>大半会</v>
          </cell>
          <cell r="J3014" t="str">
            <v>貫索星</v>
          </cell>
          <cell r="K3014" t="str">
            <v>天報星</v>
          </cell>
        </row>
        <row r="3015">
          <cell r="H3015" t="str">
            <v>50+31</v>
          </cell>
          <cell r="I3015" t="str">
            <v>害</v>
          </cell>
          <cell r="J3015" t="str">
            <v>調舒星</v>
          </cell>
          <cell r="K3015" t="str">
            <v>天馳星</v>
          </cell>
        </row>
        <row r="3016">
          <cell r="H3016" t="str">
            <v>50+32</v>
          </cell>
          <cell r="I3016" t="str">
            <v>対冲</v>
          </cell>
          <cell r="J3016" t="str">
            <v>鳳閣星</v>
          </cell>
          <cell r="K3016" t="str">
            <v>天庫星</v>
          </cell>
        </row>
        <row r="3017">
          <cell r="H3017" t="str">
            <v>50+33</v>
          </cell>
          <cell r="I3017" t="str">
            <v>－</v>
          </cell>
          <cell r="J3017" t="str">
            <v>司禄星</v>
          </cell>
          <cell r="K3017" t="str">
            <v>天極星</v>
          </cell>
        </row>
        <row r="3018">
          <cell r="H3018" t="str">
            <v>50+34</v>
          </cell>
          <cell r="I3018" t="str">
            <v>半会</v>
          </cell>
          <cell r="J3018" t="str">
            <v>禄存星</v>
          </cell>
          <cell r="K3018" t="str">
            <v>天胡星</v>
          </cell>
        </row>
        <row r="3019">
          <cell r="H3019" t="str">
            <v>50+35</v>
          </cell>
          <cell r="I3019" t="str">
            <v>刑</v>
          </cell>
          <cell r="J3019" t="str">
            <v>牽牛星</v>
          </cell>
          <cell r="K3019" t="str">
            <v>天堂星</v>
          </cell>
        </row>
        <row r="3020">
          <cell r="H3020" t="str">
            <v>50+36</v>
          </cell>
          <cell r="I3020" t="str">
            <v>準方位</v>
          </cell>
          <cell r="J3020" t="str">
            <v>車騎星</v>
          </cell>
          <cell r="K3020" t="str">
            <v>天将星</v>
          </cell>
        </row>
        <row r="3021">
          <cell r="H3021" t="str">
            <v>50+37</v>
          </cell>
          <cell r="I3021" t="str">
            <v>支合</v>
          </cell>
          <cell r="J3021" t="str">
            <v>玉堂星</v>
          </cell>
          <cell r="K3021" t="str">
            <v>天禄星</v>
          </cell>
        </row>
        <row r="3022">
          <cell r="H3022" t="str">
            <v>50+38</v>
          </cell>
          <cell r="I3022" t="str">
            <v>同</v>
          </cell>
          <cell r="J3022" t="str">
            <v>龍高星</v>
          </cell>
          <cell r="K3022" t="str">
            <v>天南星</v>
          </cell>
        </row>
        <row r="3023">
          <cell r="H3023" t="str">
            <v>50+39</v>
          </cell>
          <cell r="I3023" t="str">
            <v>－</v>
          </cell>
          <cell r="J3023" t="str">
            <v>石門星</v>
          </cell>
          <cell r="K3023" t="str">
            <v>天恍星</v>
          </cell>
        </row>
        <row r="3024">
          <cell r="H3024" t="str">
            <v>50+40</v>
          </cell>
          <cell r="I3024" t="str">
            <v>－</v>
          </cell>
          <cell r="J3024" t="str">
            <v>貫索星</v>
          </cell>
          <cell r="K3024" t="str">
            <v>天貴星</v>
          </cell>
        </row>
        <row r="3025">
          <cell r="H3025" t="str">
            <v>50+41</v>
          </cell>
          <cell r="I3025" t="str">
            <v>破</v>
          </cell>
          <cell r="J3025" t="str">
            <v>調舒星</v>
          </cell>
          <cell r="K3025" t="str">
            <v>天印星</v>
          </cell>
        </row>
        <row r="3026">
          <cell r="H3026" t="str">
            <v>50+42</v>
          </cell>
          <cell r="I3026" t="str">
            <v>半会</v>
          </cell>
          <cell r="J3026" t="str">
            <v>鳳閣星</v>
          </cell>
          <cell r="K3026" t="str">
            <v>天報星</v>
          </cell>
        </row>
        <row r="3027">
          <cell r="H3027" t="str">
            <v>50+43</v>
          </cell>
          <cell r="I3027" t="str">
            <v>害</v>
          </cell>
          <cell r="J3027" t="str">
            <v>司禄星</v>
          </cell>
          <cell r="K3027" t="str">
            <v>天馳星</v>
          </cell>
        </row>
        <row r="3028">
          <cell r="H3028" t="str">
            <v>50+44</v>
          </cell>
          <cell r="I3028" t="str">
            <v>天剋地冲</v>
          </cell>
          <cell r="J3028" t="str">
            <v>禄存星</v>
          </cell>
          <cell r="K3028" t="str">
            <v>天庫星</v>
          </cell>
        </row>
        <row r="3029">
          <cell r="H3029" t="str">
            <v>50+45</v>
          </cell>
          <cell r="I3029" t="str">
            <v>－</v>
          </cell>
          <cell r="J3029" t="str">
            <v>牽牛星</v>
          </cell>
          <cell r="K3029" t="str">
            <v>天極星</v>
          </cell>
        </row>
        <row r="3030">
          <cell r="H3030" t="str">
            <v>50+46</v>
          </cell>
          <cell r="I3030" t="str">
            <v>半会</v>
          </cell>
          <cell r="J3030" t="str">
            <v>車騎星</v>
          </cell>
          <cell r="K3030" t="str">
            <v>天胡星</v>
          </cell>
        </row>
        <row r="3031">
          <cell r="H3031" t="str">
            <v>50+47</v>
          </cell>
          <cell r="I3031" t="str">
            <v>刑</v>
          </cell>
          <cell r="J3031" t="str">
            <v>玉堂星</v>
          </cell>
          <cell r="K3031" t="str">
            <v>天堂星</v>
          </cell>
        </row>
        <row r="3032">
          <cell r="H3032" t="str">
            <v>50+48</v>
          </cell>
          <cell r="I3032" t="str">
            <v>準方位</v>
          </cell>
          <cell r="J3032" t="str">
            <v>龍高星</v>
          </cell>
          <cell r="K3032" t="str">
            <v>天将星</v>
          </cell>
        </row>
        <row r="3033">
          <cell r="H3033" t="str">
            <v>50+49</v>
          </cell>
          <cell r="I3033" t="str">
            <v>支合</v>
          </cell>
          <cell r="J3033" t="str">
            <v>石門星</v>
          </cell>
          <cell r="K3033" t="str">
            <v>天禄星</v>
          </cell>
        </row>
        <row r="3034">
          <cell r="H3034" t="str">
            <v>50+50</v>
          </cell>
          <cell r="I3034" t="str">
            <v>律音</v>
          </cell>
          <cell r="J3034" t="str">
            <v>貫索星</v>
          </cell>
          <cell r="K3034" t="str">
            <v>天南星</v>
          </cell>
        </row>
        <row r="3035">
          <cell r="H3035" t="str">
            <v>50+51</v>
          </cell>
          <cell r="I3035" t="str">
            <v>－</v>
          </cell>
          <cell r="J3035" t="str">
            <v>調舒星</v>
          </cell>
          <cell r="K3035" t="str">
            <v>天恍星</v>
          </cell>
        </row>
        <row r="3036">
          <cell r="H3036" t="str">
            <v>50+52</v>
          </cell>
          <cell r="I3036" t="str">
            <v>－</v>
          </cell>
          <cell r="J3036" t="str">
            <v>鳳閣星</v>
          </cell>
          <cell r="K3036" t="str">
            <v>天貴星</v>
          </cell>
        </row>
        <row r="3037">
          <cell r="H3037" t="str">
            <v>50+53</v>
          </cell>
          <cell r="I3037" t="str">
            <v>破</v>
          </cell>
          <cell r="J3037" t="str">
            <v>司禄星</v>
          </cell>
          <cell r="K3037" t="str">
            <v>天印星</v>
          </cell>
        </row>
        <row r="3038">
          <cell r="H3038" t="str">
            <v>50+54</v>
          </cell>
          <cell r="I3038" t="str">
            <v>半会</v>
          </cell>
          <cell r="J3038" t="str">
            <v>禄存星</v>
          </cell>
          <cell r="K3038" t="str">
            <v>天報星</v>
          </cell>
        </row>
        <row r="3039">
          <cell r="H3039" t="str">
            <v>50+55</v>
          </cell>
          <cell r="I3039" t="str">
            <v>害</v>
          </cell>
          <cell r="J3039" t="str">
            <v>牽牛星</v>
          </cell>
          <cell r="K3039" t="str">
            <v>天馳星</v>
          </cell>
        </row>
        <row r="3040">
          <cell r="H3040" t="str">
            <v>50+56</v>
          </cell>
          <cell r="I3040" t="str">
            <v>天剋地冲</v>
          </cell>
          <cell r="J3040" t="str">
            <v>車騎星</v>
          </cell>
          <cell r="K3040" t="str">
            <v>天庫星</v>
          </cell>
        </row>
        <row r="3041">
          <cell r="H3041" t="str">
            <v>50+57</v>
          </cell>
          <cell r="I3041" t="str">
            <v>－</v>
          </cell>
          <cell r="J3041" t="str">
            <v>玉堂星</v>
          </cell>
          <cell r="K3041" t="str">
            <v>天極星</v>
          </cell>
        </row>
        <row r="3042">
          <cell r="H3042" t="str">
            <v>50+58</v>
          </cell>
          <cell r="I3042" t="str">
            <v>半会</v>
          </cell>
          <cell r="J3042" t="str">
            <v>龍高星</v>
          </cell>
          <cell r="K3042" t="str">
            <v>天胡星</v>
          </cell>
        </row>
        <row r="3043">
          <cell r="H3043" t="str">
            <v>50+59</v>
          </cell>
          <cell r="I3043" t="str">
            <v>刑</v>
          </cell>
          <cell r="J3043" t="str">
            <v>石門星</v>
          </cell>
          <cell r="K3043" t="str">
            <v>天堂星</v>
          </cell>
        </row>
        <row r="3044">
          <cell r="H3044" t="str">
            <v>50+60</v>
          </cell>
          <cell r="I3044" t="str">
            <v>準方位</v>
          </cell>
          <cell r="J3044" t="str">
            <v>貫索星</v>
          </cell>
          <cell r="K3044" t="str">
            <v>天将星</v>
          </cell>
        </row>
        <row r="3045">
          <cell r="H3045" t="str">
            <v>51+1</v>
          </cell>
          <cell r="I3045" t="str">
            <v>－</v>
          </cell>
          <cell r="J3045" t="str">
            <v>貫索星</v>
          </cell>
          <cell r="K3045" t="str">
            <v>天恍星</v>
          </cell>
        </row>
        <row r="3046">
          <cell r="H3046" t="str">
            <v>51+2</v>
          </cell>
          <cell r="I3046" t="str">
            <v>－</v>
          </cell>
          <cell r="J3046" t="str">
            <v>石門星</v>
          </cell>
          <cell r="K3046" t="str">
            <v>天南星</v>
          </cell>
        </row>
        <row r="3047">
          <cell r="H3047" t="str">
            <v>51+3</v>
          </cell>
          <cell r="I3047" t="str">
            <v>同</v>
          </cell>
          <cell r="J3047" t="str">
            <v>鳳閣星</v>
          </cell>
          <cell r="K3047" t="str">
            <v>天禄星</v>
          </cell>
        </row>
        <row r="3048">
          <cell r="H3048" t="str">
            <v>51+4</v>
          </cell>
          <cell r="I3048" t="str">
            <v>準方位</v>
          </cell>
          <cell r="J3048" t="str">
            <v>調舒星</v>
          </cell>
          <cell r="K3048" t="str">
            <v>天将星</v>
          </cell>
        </row>
        <row r="3049">
          <cell r="H3049" t="str">
            <v>51+5</v>
          </cell>
          <cell r="I3049" t="str">
            <v>準方位</v>
          </cell>
          <cell r="J3049" t="str">
            <v>禄存星</v>
          </cell>
          <cell r="K3049" t="str">
            <v>天堂星</v>
          </cell>
        </row>
        <row r="3050">
          <cell r="H3050" t="str">
            <v>51+6</v>
          </cell>
          <cell r="I3050" t="str">
            <v>害</v>
          </cell>
          <cell r="J3050" t="str">
            <v>司禄星</v>
          </cell>
          <cell r="K3050" t="str">
            <v>天胡星</v>
          </cell>
        </row>
        <row r="3051">
          <cell r="H3051" t="str">
            <v>51+7</v>
          </cell>
          <cell r="I3051" t="str">
            <v>半会</v>
          </cell>
          <cell r="J3051" t="str">
            <v>車騎星</v>
          </cell>
          <cell r="K3051" t="str">
            <v>天極星</v>
          </cell>
        </row>
        <row r="3052">
          <cell r="H3052" t="str">
            <v>51+8</v>
          </cell>
          <cell r="I3052" t="str">
            <v>－</v>
          </cell>
          <cell r="J3052" t="str">
            <v>牽牛星</v>
          </cell>
          <cell r="K3052" t="str">
            <v>天庫星</v>
          </cell>
        </row>
        <row r="3053">
          <cell r="H3053" t="str">
            <v>51+9</v>
          </cell>
          <cell r="I3053" t="str">
            <v>対冲</v>
          </cell>
          <cell r="J3053" t="str">
            <v>龍高星</v>
          </cell>
          <cell r="K3053" t="str">
            <v>天馳星</v>
          </cell>
        </row>
        <row r="3054">
          <cell r="H3054" t="str">
            <v>51+10</v>
          </cell>
          <cell r="I3054" t="str">
            <v>－</v>
          </cell>
          <cell r="J3054" t="str">
            <v>玉堂星</v>
          </cell>
          <cell r="K3054" t="str">
            <v>天報星</v>
          </cell>
        </row>
        <row r="3055">
          <cell r="H3055" t="str">
            <v>51+11</v>
          </cell>
          <cell r="I3055" t="str">
            <v>大半会</v>
          </cell>
          <cell r="J3055" t="str">
            <v>貫索星</v>
          </cell>
          <cell r="K3055" t="str">
            <v>天印星</v>
          </cell>
        </row>
        <row r="3056">
          <cell r="H3056" t="str">
            <v>51+12</v>
          </cell>
          <cell r="I3056" t="str">
            <v>支合</v>
          </cell>
          <cell r="J3056" t="str">
            <v>石門星</v>
          </cell>
          <cell r="K3056" t="str">
            <v>天貴星</v>
          </cell>
        </row>
        <row r="3057">
          <cell r="H3057" t="str">
            <v>51+13</v>
          </cell>
          <cell r="I3057" t="str">
            <v>－</v>
          </cell>
          <cell r="J3057" t="str">
            <v>鳳閣星</v>
          </cell>
          <cell r="K3057" t="str">
            <v>天恍星</v>
          </cell>
        </row>
        <row r="3058">
          <cell r="H3058" t="str">
            <v>51+14</v>
          </cell>
          <cell r="I3058" t="str">
            <v>－</v>
          </cell>
          <cell r="J3058" t="str">
            <v>調舒星</v>
          </cell>
          <cell r="K3058" t="str">
            <v>天南星</v>
          </cell>
        </row>
        <row r="3059">
          <cell r="H3059" t="str">
            <v>51+15</v>
          </cell>
          <cell r="I3059" t="str">
            <v>同</v>
          </cell>
          <cell r="J3059" t="str">
            <v>禄存星</v>
          </cell>
          <cell r="K3059" t="str">
            <v>天禄星</v>
          </cell>
        </row>
        <row r="3060">
          <cell r="H3060" t="str">
            <v>51+16</v>
          </cell>
          <cell r="I3060" t="str">
            <v>準方位</v>
          </cell>
          <cell r="J3060" t="str">
            <v>司禄星</v>
          </cell>
          <cell r="K3060" t="str">
            <v>天将星</v>
          </cell>
        </row>
        <row r="3061">
          <cell r="H3061" t="str">
            <v>51+17</v>
          </cell>
          <cell r="I3061" t="str">
            <v>準方位</v>
          </cell>
          <cell r="J3061" t="str">
            <v>車騎星</v>
          </cell>
          <cell r="K3061" t="str">
            <v>天堂星</v>
          </cell>
        </row>
        <row r="3062">
          <cell r="H3062" t="str">
            <v>51+18</v>
          </cell>
          <cell r="I3062" t="str">
            <v>害</v>
          </cell>
          <cell r="J3062" t="str">
            <v>牽牛星</v>
          </cell>
          <cell r="K3062" t="str">
            <v>天胡星</v>
          </cell>
        </row>
        <row r="3063">
          <cell r="H3063" t="str">
            <v>51+19</v>
          </cell>
          <cell r="I3063" t="str">
            <v>半会</v>
          </cell>
          <cell r="J3063" t="str">
            <v>龍高星</v>
          </cell>
          <cell r="K3063" t="str">
            <v>天極星</v>
          </cell>
        </row>
        <row r="3064">
          <cell r="H3064" t="str">
            <v>51+20</v>
          </cell>
          <cell r="I3064" t="str">
            <v>－</v>
          </cell>
          <cell r="J3064" t="str">
            <v>玉堂星</v>
          </cell>
          <cell r="K3064" t="str">
            <v>天庫星</v>
          </cell>
        </row>
        <row r="3065">
          <cell r="H3065" t="str">
            <v>51+21</v>
          </cell>
          <cell r="I3065" t="str">
            <v>納音</v>
          </cell>
          <cell r="J3065" t="str">
            <v>貫索星</v>
          </cell>
          <cell r="K3065" t="str">
            <v>天馳星</v>
          </cell>
        </row>
        <row r="3066">
          <cell r="H3066" t="str">
            <v>51+22</v>
          </cell>
          <cell r="I3066" t="str">
            <v>－</v>
          </cell>
          <cell r="J3066" t="str">
            <v>石門星</v>
          </cell>
          <cell r="K3066" t="str">
            <v>天報星</v>
          </cell>
        </row>
        <row r="3067">
          <cell r="H3067" t="str">
            <v>51+23</v>
          </cell>
          <cell r="I3067" t="str">
            <v>半会</v>
          </cell>
          <cell r="J3067" t="str">
            <v>鳳閣星</v>
          </cell>
          <cell r="K3067" t="str">
            <v>天印星</v>
          </cell>
        </row>
        <row r="3068">
          <cell r="H3068" t="str">
            <v>51+24</v>
          </cell>
          <cell r="I3068" t="str">
            <v>支合</v>
          </cell>
          <cell r="J3068" t="str">
            <v>調舒星</v>
          </cell>
          <cell r="K3068" t="str">
            <v>天貴星</v>
          </cell>
        </row>
        <row r="3069">
          <cell r="H3069" t="str">
            <v>51+25</v>
          </cell>
          <cell r="I3069" t="str">
            <v>－</v>
          </cell>
          <cell r="J3069" t="str">
            <v>禄存星</v>
          </cell>
          <cell r="K3069" t="str">
            <v>天恍星</v>
          </cell>
        </row>
        <row r="3070">
          <cell r="H3070" t="str">
            <v>51+26</v>
          </cell>
          <cell r="I3070" t="str">
            <v>－</v>
          </cell>
          <cell r="J3070" t="str">
            <v>司禄星</v>
          </cell>
          <cell r="K3070" t="str">
            <v>天南星</v>
          </cell>
        </row>
        <row r="3071">
          <cell r="H3071" t="str">
            <v>51+27</v>
          </cell>
          <cell r="I3071" t="str">
            <v>同</v>
          </cell>
          <cell r="J3071" t="str">
            <v>車騎星</v>
          </cell>
          <cell r="K3071" t="str">
            <v>天禄星</v>
          </cell>
        </row>
        <row r="3072">
          <cell r="H3072" t="str">
            <v>51+28</v>
          </cell>
          <cell r="I3072" t="str">
            <v>準方位</v>
          </cell>
          <cell r="J3072" t="str">
            <v>牽牛星</v>
          </cell>
          <cell r="K3072" t="str">
            <v>天将星</v>
          </cell>
        </row>
        <row r="3073">
          <cell r="H3073" t="str">
            <v>51+29</v>
          </cell>
          <cell r="I3073" t="str">
            <v>準方位</v>
          </cell>
          <cell r="J3073" t="str">
            <v>龍高星</v>
          </cell>
          <cell r="K3073" t="str">
            <v>天堂星</v>
          </cell>
        </row>
        <row r="3074">
          <cell r="H3074" t="str">
            <v>51+30</v>
          </cell>
          <cell r="I3074" t="str">
            <v>害</v>
          </cell>
          <cell r="J3074" t="str">
            <v>玉堂星</v>
          </cell>
          <cell r="K3074" t="str">
            <v>天胡星</v>
          </cell>
        </row>
        <row r="3075">
          <cell r="H3075" t="str">
            <v>51+31</v>
          </cell>
          <cell r="I3075" t="str">
            <v>大半会</v>
          </cell>
          <cell r="J3075" t="str">
            <v>貫索星</v>
          </cell>
          <cell r="K3075" t="str">
            <v>天極星</v>
          </cell>
        </row>
        <row r="3076">
          <cell r="H3076" t="str">
            <v>51+32</v>
          </cell>
          <cell r="I3076" t="str">
            <v>－</v>
          </cell>
          <cell r="J3076" t="str">
            <v>石門星</v>
          </cell>
          <cell r="K3076" t="str">
            <v>天庫星</v>
          </cell>
        </row>
        <row r="3077">
          <cell r="H3077" t="str">
            <v>51+33</v>
          </cell>
          <cell r="I3077" t="str">
            <v>対冲</v>
          </cell>
          <cell r="J3077" t="str">
            <v>鳳閣星</v>
          </cell>
          <cell r="K3077" t="str">
            <v>天馳星</v>
          </cell>
        </row>
        <row r="3078">
          <cell r="H3078" t="str">
            <v>51+34</v>
          </cell>
          <cell r="I3078" t="str">
            <v>－</v>
          </cell>
          <cell r="J3078" t="str">
            <v>調舒星</v>
          </cell>
          <cell r="K3078" t="str">
            <v>天報星</v>
          </cell>
        </row>
        <row r="3079">
          <cell r="H3079" t="str">
            <v>51+35</v>
          </cell>
          <cell r="I3079" t="str">
            <v>半会</v>
          </cell>
          <cell r="J3079" t="str">
            <v>禄存星</v>
          </cell>
          <cell r="K3079" t="str">
            <v>天印星</v>
          </cell>
        </row>
        <row r="3080">
          <cell r="H3080" t="str">
            <v>51+36</v>
          </cell>
          <cell r="I3080" t="str">
            <v>支合</v>
          </cell>
          <cell r="J3080" t="str">
            <v>司禄星</v>
          </cell>
          <cell r="K3080" t="str">
            <v>天貴星</v>
          </cell>
        </row>
        <row r="3081">
          <cell r="H3081" t="str">
            <v>51+37</v>
          </cell>
          <cell r="I3081" t="str">
            <v>－</v>
          </cell>
          <cell r="J3081" t="str">
            <v>車騎星</v>
          </cell>
          <cell r="K3081" t="str">
            <v>天恍星</v>
          </cell>
        </row>
        <row r="3082">
          <cell r="H3082" t="str">
            <v>51+38</v>
          </cell>
          <cell r="I3082" t="str">
            <v>－</v>
          </cell>
          <cell r="J3082" t="str">
            <v>牽牛星</v>
          </cell>
          <cell r="K3082" t="str">
            <v>天南星</v>
          </cell>
        </row>
        <row r="3083">
          <cell r="H3083" t="str">
            <v>51+39</v>
          </cell>
          <cell r="I3083" t="str">
            <v>同</v>
          </cell>
          <cell r="J3083" t="str">
            <v>龍高星</v>
          </cell>
          <cell r="K3083" t="str">
            <v>天禄星</v>
          </cell>
        </row>
        <row r="3084">
          <cell r="H3084" t="str">
            <v>51+40</v>
          </cell>
          <cell r="I3084" t="str">
            <v>準方位</v>
          </cell>
          <cell r="J3084" t="str">
            <v>玉堂星</v>
          </cell>
          <cell r="K3084" t="str">
            <v>天将星</v>
          </cell>
        </row>
        <row r="3085">
          <cell r="H3085" t="str">
            <v>51+41</v>
          </cell>
          <cell r="I3085" t="str">
            <v>準方位</v>
          </cell>
          <cell r="J3085" t="str">
            <v>貫索星</v>
          </cell>
          <cell r="K3085" t="str">
            <v>天堂星</v>
          </cell>
        </row>
        <row r="3086">
          <cell r="H3086" t="str">
            <v>51+42</v>
          </cell>
          <cell r="I3086" t="str">
            <v>害</v>
          </cell>
          <cell r="J3086" t="str">
            <v>石門星</v>
          </cell>
          <cell r="K3086" t="str">
            <v>天胡星</v>
          </cell>
        </row>
        <row r="3087">
          <cell r="H3087" t="str">
            <v>51+43</v>
          </cell>
          <cell r="I3087" t="str">
            <v>半会</v>
          </cell>
          <cell r="J3087" t="str">
            <v>鳳閣星</v>
          </cell>
          <cell r="K3087" t="str">
            <v>天極星</v>
          </cell>
        </row>
        <row r="3088">
          <cell r="H3088" t="str">
            <v>51+44</v>
          </cell>
          <cell r="I3088" t="str">
            <v>－</v>
          </cell>
          <cell r="J3088" t="str">
            <v>調舒星</v>
          </cell>
          <cell r="K3088" t="str">
            <v>天庫星</v>
          </cell>
        </row>
        <row r="3089">
          <cell r="H3089" t="str">
            <v>51+45</v>
          </cell>
          <cell r="I3089" t="str">
            <v>天剋地冲</v>
          </cell>
          <cell r="J3089" t="str">
            <v>禄存星</v>
          </cell>
          <cell r="K3089" t="str">
            <v>天馳星</v>
          </cell>
        </row>
        <row r="3090">
          <cell r="H3090" t="str">
            <v>51+46</v>
          </cell>
          <cell r="I3090" t="str">
            <v>－</v>
          </cell>
          <cell r="J3090" t="str">
            <v>司禄星</v>
          </cell>
          <cell r="K3090" t="str">
            <v>天報星</v>
          </cell>
        </row>
        <row r="3091">
          <cell r="H3091" t="str">
            <v>51+47</v>
          </cell>
          <cell r="I3091" t="str">
            <v>半会</v>
          </cell>
          <cell r="J3091" t="str">
            <v>車騎星</v>
          </cell>
          <cell r="K3091" t="str">
            <v>天印星</v>
          </cell>
        </row>
        <row r="3092">
          <cell r="H3092" t="str">
            <v>51+48</v>
          </cell>
          <cell r="I3092" t="str">
            <v>支合</v>
          </cell>
          <cell r="J3092" t="str">
            <v>牽牛星</v>
          </cell>
          <cell r="K3092" t="str">
            <v>天貴星</v>
          </cell>
        </row>
        <row r="3093">
          <cell r="H3093" t="str">
            <v>51+49</v>
          </cell>
          <cell r="I3093" t="str">
            <v>－</v>
          </cell>
          <cell r="J3093" t="str">
            <v>龍高星</v>
          </cell>
          <cell r="K3093" t="str">
            <v>天恍星</v>
          </cell>
        </row>
        <row r="3094">
          <cell r="H3094" t="str">
            <v>51+50</v>
          </cell>
          <cell r="I3094" t="str">
            <v>－</v>
          </cell>
          <cell r="J3094" t="str">
            <v>玉堂星</v>
          </cell>
          <cell r="K3094" t="str">
            <v>天南星</v>
          </cell>
        </row>
        <row r="3095">
          <cell r="H3095" t="str">
            <v>51+51</v>
          </cell>
          <cell r="I3095" t="str">
            <v>律音</v>
          </cell>
          <cell r="J3095" t="str">
            <v>貫索星</v>
          </cell>
          <cell r="K3095" t="str">
            <v>天禄星</v>
          </cell>
        </row>
        <row r="3096">
          <cell r="H3096" t="str">
            <v>51+52</v>
          </cell>
          <cell r="I3096" t="str">
            <v>準方位</v>
          </cell>
          <cell r="J3096" t="str">
            <v>石門星</v>
          </cell>
          <cell r="K3096" t="str">
            <v>天将星</v>
          </cell>
        </row>
        <row r="3097">
          <cell r="H3097" t="str">
            <v>51+53</v>
          </cell>
          <cell r="I3097" t="str">
            <v>準方位</v>
          </cell>
          <cell r="J3097" t="str">
            <v>鳳閣星</v>
          </cell>
          <cell r="K3097" t="str">
            <v>天堂星</v>
          </cell>
        </row>
        <row r="3098">
          <cell r="H3098" t="str">
            <v>51+54</v>
          </cell>
          <cell r="I3098" t="str">
            <v>害</v>
          </cell>
          <cell r="J3098" t="str">
            <v>調舒星</v>
          </cell>
          <cell r="K3098" t="str">
            <v>天胡星</v>
          </cell>
        </row>
        <row r="3099">
          <cell r="H3099" t="str">
            <v>51+55</v>
          </cell>
          <cell r="I3099" t="str">
            <v>半会</v>
          </cell>
          <cell r="J3099" t="str">
            <v>禄存星</v>
          </cell>
          <cell r="K3099" t="str">
            <v>天極星</v>
          </cell>
        </row>
        <row r="3100">
          <cell r="H3100" t="str">
            <v>51+56</v>
          </cell>
          <cell r="I3100" t="str">
            <v>－</v>
          </cell>
          <cell r="J3100" t="str">
            <v>司禄星</v>
          </cell>
          <cell r="K3100" t="str">
            <v>天庫星</v>
          </cell>
        </row>
        <row r="3101">
          <cell r="H3101" t="str">
            <v>51+57</v>
          </cell>
          <cell r="I3101" t="str">
            <v>天剋地冲</v>
          </cell>
          <cell r="J3101" t="str">
            <v>車騎星</v>
          </cell>
          <cell r="K3101" t="str">
            <v>天馳星</v>
          </cell>
        </row>
        <row r="3102">
          <cell r="H3102" t="str">
            <v>51+58</v>
          </cell>
          <cell r="I3102" t="str">
            <v>－</v>
          </cell>
          <cell r="J3102" t="str">
            <v>牽牛星</v>
          </cell>
          <cell r="K3102" t="str">
            <v>天報星</v>
          </cell>
        </row>
        <row r="3103">
          <cell r="H3103" t="str">
            <v>51+59</v>
          </cell>
          <cell r="I3103" t="str">
            <v>半会</v>
          </cell>
          <cell r="J3103" t="str">
            <v>龍高星</v>
          </cell>
          <cell r="K3103" t="str">
            <v>天印星</v>
          </cell>
        </row>
        <row r="3104">
          <cell r="H3104" t="str">
            <v>51+60</v>
          </cell>
          <cell r="I3104" t="str">
            <v>支合</v>
          </cell>
          <cell r="J3104" t="str">
            <v>玉堂星</v>
          </cell>
          <cell r="K3104" t="str">
            <v>天貴星</v>
          </cell>
        </row>
        <row r="3105">
          <cell r="H3105" t="str">
            <v>52+1</v>
          </cell>
          <cell r="I3105" t="str">
            <v>刑</v>
          </cell>
          <cell r="J3105" t="str">
            <v>石門星</v>
          </cell>
          <cell r="K3105" t="str">
            <v>天胡星</v>
          </cell>
        </row>
        <row r="3106">
          <cell r="H3106" t="str">
            <v>52+2</v>
          </cell>
          <cell r="I3106" t="str">
            <v>－</v>
          </cell>
          <cell r="J3106" t="str">
            <v>貫索星</v>
          </cell>
          <cell r="K3106" t="str">
            <v>天堂星</v>
          </cell>
        </row>
        <row r="3107">
          <cell r="H3107" t="str">
            <v>52+3</v>
          </cell>
          <cell r="I3107" t="str">
            <v>準方位</v>
          </cell>
          <cell r="J3107" t="str">
            <v>調舒星</v>
          </cell>
          <cell r="K3107" t="str">
            <v>天将星</v>
          </cell>
        </row>
        <row r="3108">
          <cell r="H3108" t="str">
            <v>52+4</v>
          </cell>
          <cell r="I3108" t="str">
            <v>同</v>
          </cell>
          <cell r="J3108" t="str">
            <v>鳳閣星</v>
          </cell>
          <cell r="K3108" t="str">
            <v>天禄星</v>
          </cell>
        </row>
        <row r="3109">
          <cell r="H3109" t="str">
            <v>52+5</v>
          </cell>
          <cell r="I3109" t="str">
            <v>害</v>
          </cell>
          <cell r="J3109" t="str">
            <v>司禄星</v>
          </cell>
          <cell r="K3109" t="str">
            <v>天南星</v>
          </cell>
        </row>
        <row r="3110">
          <cell r="H3110" t="str">
            <v>52+6</v>
          </cell>
          <cell r="I3110" t="str">
            <v>－</v>
          </cell>
          <cell r="J3110" t="str">
            <v>禄存星</v>
          </cell>
          <cell r="K3110" t="str">
            <v>天恍星</v>
          </cell>
        </row>
        <row r="3111">
          <cell r="H3111" t="str">
            <v>52+7</v>
          </cell>
          <cell r="I3111" t="str">
            <v>破</v>
          </cell>
          <cell r="J3111" t="str">
            <v>牽牛星</v>
          </cell>
          <cell r="K3111" t="str">
            <v>天貴星</v>
          </cell>
        </row>
        <row r="3112">
          <cell r="H3112" t="str">
            <v>52+8</v>
          </cell>
          <cell r="I3112" t="str">
            <v>半会</v>
          </cell>
          <cell r="J3112" t="str">
            <v>車騎星</v>
          </cell>
          <cell r="K3112" t="str">
            <v>天印星</v>
          </cell>
        </row>
        <row r="3113">
          <cell r="H3113" t="str">
            <v>52+9</v>
          </cell>
          <cell r="I3113" t="str">
            <v>－</v>
          </cell>
          <cell r="J3113" t="str">
            <v>玉堂星</v>
          </cell>
          <cell r="K3113" t="str">
            <v>天報星</v>
          </cell>
        </row>
        <row r="3114">
          <cell r="H3114" t="str">
            <v>52+10</v>
          </cell>
          <cell r="I3114" t="str">
            <v>対冲</v>
          </cell>
          <cell r="J3114" t="str">
            <v>龍高星</v>
          </cell>
          <cell r="K3114" t="str">
            <v>天馳星</v>
          </cell>
        </row>
        <row r="3115">
          <cell r="H3115" t="str">
            <v>52+11</v>
          </cell>
          <cell r="I3115" t="str">
            <v>支合</v>
          </cell>
          <cell r="J3115" t="str">
            <v>石門星</v>
          </cell>
          <cell r="K3115" t="str">
            <v>天庫星</v>
          </cell>
        </row>
        <row r="3116">
          <cell r="H3116" t="str">
            <v>52+12</v>
          </cell>
          <cell r="I3116" t="str">
            <v>大半会</v>
          </cell>
          <cell r="J3116" t="str">
            <v>貫索星</v>
          </cell>
          <cell r="K3116" t="str">
            <v>天極星</v>
          </cell>
        </row>
        <row r="3117">
          <cell r="H3117" t="str">
            <v>52+13</v>
          </cell>
          <cell r="I3117" t="str">
            <v>刑</v>
          </cell>
          <cell r="J3117" t="str">
            <v>調舒星</v>
          </cell>
          <cell r="K3117" t="str">
            <v>天胡星</v>
          </cell>
        </row>
        <row r="3118">
          <cell r="H3118" t="str">
            <v>52+14</v>
          </cell>
          <cell r="I3118" t="str">
            <v>－</v>
          </cell>
          <cell r="J3118" t="str">
            <v>鳳閣星</v>
          </cell>
          <cell r="K3118" t="str">
            <v>天堂星</v>
          </cell>
        </row>
        <row r="3119">
          <cell r="H3119" t="str">
            <v>52+15</v>
          </cell>
          <cell r="I3119" t="str">
            <v>準方位</v>
          </cell>
          <cell r="J3119" t="str">
            <v>司禄星</v>
          </cell>
          <cell r="K3119" t="str">
            <v>天将星</v>
          </cell>
        </row>
        <row r="3120">
          <cell r="H3120" t="str">
            <v>52+16</v>
          </cell>
          <cell r="I3120" t="str">
            <v>同</v>
          </cell>
          <cell r="J3120" t="str">
            <v>禄存星</v>
          </cell>
          <cell r="K3120" t="str">
            <v>天禄星</v>
          </cell>
        </row>
        <row r="3121">
          <cell r="H3121" t="str">
            <v>52+17</v>
          </cell>
          <cell r="I3121" t="str">
            <v>害</v>
          </cell>
          <cell r="J3121" t="str">
            <v>牽牛星</v>
          </cell>
          <cell r="K3121" t="str">
            <v>天南星</v>
          </cell>
        </row>
        <row r="3122">
          <cell r="H3122" t="str">
            <v>52+18</v>
          </cell>
          <cell r="I3122" t="str">
            <v>－</v>
          </cell>
          <cell r="J3122" t="str">
            <v>車騎星</v>
          </cell>
          <cell r="K3122" t="str">
            <v>天恍星</v>
          </cell>
        </row>
        <row r="3123">
          <cell r="H3123" t="str">
            <v>52+19</v>
          </cell>
          <cell r="I3123" t="str">
            <v>破</v>
          </cell>
          <cell r="J3123" t="str">
            <v>玉堂星</v>
          </cell>
          <cell r="K3123" t="str">
            <v>天貴星</v>
          </cell>
        </row>
        <row r="3124">
          <cell r="H3124" t="str">
            <v>52+20</v>
          </cell>
          <cell r="I3124" t="str">
            <v>半会</v>
          </cell>
          <cell r="J3124" t="str">
            <v>龍高星</v>
          </cell>
          <cell r="K3124" t="str">
            <v>天印星</v>
          </cell>
        </row>
        <row r="3125">
          <cell r="H3125" t="str">
            <v>52+21</v>
          </cell>
          <cell r="I3125" t="str">
            <v>－</v>
          </cell>
          <cell r="J3125" t="str">
            <v>石門星</v>
          </cell>
          <cell r="K3125" t="str">
            <v>天報星</v>
          </cell>
        </row>
        <row r="3126">
          <cell r="H3126" t="str">
            <v>52+22</v>
          </cell>
          <cell r="I3126" t="str">
            <v>納音</v>
          </cell>
          <cell r="J3126" t="str">
            <v>貫索星</v>
          </cell>
          <cell r="K3126" t="str">
            <v>天馳星</v>
          </cell>
        </row>
        <row r="3127">
          <cell r="H3127" t="str">
            <v>52+23</v>
          </cell>
          <cell r="I3127" t="str">
            <v>支合</v>
          </cell>
          <cell r="J3127" t="str">
            <v>調舒星</v>
          </cell>
          <cell r="K3127" t="str">
            <v>天庫星</v>
          </cell>
        </row>
        <row r="3128">
          <cell r="H3128" t="str">
            <v>52+24</v>
          </cell>
          <cell r="I3128" t="str">
            <v>半会</v>
          </cell>
          <cell r="J3128" t="str">
            <v>鳳閣星</v>
          </cell>
          <cell r="K3128" t="str">
            <v>天極星</v>
          </cell>
        </row>
        <row r="3129">
          <cell r="H3129" t="str">
            <v>52+25</v>
          </cell>
          <cell r="I3129" t="str">
            <v>刑</v>
          </cell>
          <cell r="J3129" t="str">
            <v>司禄星</v>
          </cell>
          <cell r="K3129" t="str">
            <v>天胡星</v>
          </cell>
        </row>
        <row r="3130">
          <cell r="H3130" t="str">
            <v>52+26</v>
          </cell>
          <cell r="I3130" t="str">
            <v>－</v>
          </cell>
          <cell r="J3130" t="str">
            <v>禄存星</v>
          </cell>
          <cell r="K3130" t="str">
            <v>天堂星</v>
          </cell>
        </row>
        <row r="3131">
          <cell r="H3131" t="str">
            <v>52+27</v>
          </cell>
          <cell r="I3131" t="str">
            <v>準方位</v>
          </cell>
          <cell r="J3131" t="str">
            <v>牽牛星</v>
          </cell>
          <cell r="K3131" t="str">
            <v>天将星</v>
          </cell>
        </row>
        <row r="3132">
          <cell r="H3132" t="str">
            <v>52+28</v>
          </cell>
          <cell r="I3132" t="str">
            <v>同</v>
          </cell>
          <cell r="J3132" t="str">
            <v>車騎星</v>
          </cell>
          <cell r="K3132" t="str">
            <v>天禄星</v>
          </cell>
        </row>
        <row r="3133">
          <cell r="H3133" t="str">
            <v>52+29</v>
          </cell>
          <cell r="I3133" t="str">
            <v>害</v>
          </cell>
          <cell r="J3133" t="str">
            <v>玉堂星</v>
          </cell>
          <cell r="K3133" t="str">
            <v>天南星</v>
          </cell>
        </row>
        <row r="3134">
          <cell r="H3134" t="str">
            <v>52+30</v>
          </cell>
          <cell r="I3134" t="str">
            <v>－</v>
          </cell>
          <cell r="J3134" t="str">
            <v>龍高星</v>
          </cell>
          <cell r="K3134" t="str">
            <v>天恍星</v>
          </cell>
        </row>
        <row r="3135">
          <cell r="H3135" t="str">
            <v>52+31</v>
          </cell>
          <cell r="I3135" t="str">
            <v>破</v>
          </cell>
          <cell r="J3135" t="str">
            <v>石門星</v>
          </cell>
          <cell r="K3135" t="str">
            <v>天貴星</v>
          </cell>
        </row>
        <row r="3136">
          <cell r="H3136" t="str">
            <v>52+32</v>
          </cell>
          <cell r="I3136" t="str">
            <v>大半会</v>
          </cell>
          <cell r="J3136" t="str">
            <v>貫索星</v>
          </cell>
          <cell r="K3136" t="str">
            <v>天印星</v>
          </cell>
        </row>
        <row r="3137">
          <cell r="H3137" t="str">
            <v>52+33</v>
          </cell>
          <cell r="I3137" t="str">
            <v>－</v>
          </cell>
          <cell r="J3137" t="str">
            <v>調舒星</v>
          </cell>
          <cell r="K3137" t="str">
            <v>天報星</v>
          </cell>
        </row>
        <row r="3138">
          <cell r="H3138" t="str">
            <v>52+34</v>
          </cell>
          <cell r="I3138" t="str">
            <v>対冲</v>
          </cell>
          <cell r="J3138" t="str">
            <v>鳳閣星</v>
          </cell>
          <cell r="K3138" t="str">
            <v>天馳星</v>
          </cell>
        </row>
        <row r="3139">
          <cell r="H3139" t="str">
            <v>52+35</v>
          </cell>
          <cell r="I3139" t="str">
            <v>支合</v>
          </cell>
          <cell r="J3139" t="str">
            <v>司禄星</v>
          </cell>
          <cell r="K3139" t="str">
            <v>天庫星</v>
          </cell>
        </row>
        <row r="3140">
          <cell r="H3140" t="str">
            <v>52+36</v>
          </cell>
          <cell r="I3140" t="str">
            <v>半会</v>
          </cell>
          <cell r="J3140" t="str">
            <v>禄存星</v>
          </cell>
          <cell r="K3140" t="str">
            <v>天極星</v>
          </cell>
        </row>
        <row r="3141">
          <cell r="H3141" t="str">
            <v>52+37</v>
          </cell>
          <cell r="I3141" t="str">
            <v>刑</v>
          </cell>
          <cell r="J3141" t="str">
            <v>牽牛星</v>
          </cell>
          <cell r="K3141" t="str">
            <v>天胡星</v>
          </cell>
        </row>
        <row r="3142">
          <cell r="H3142" t="str">
            <v>52+38</v>
          </cell>
          <cell r="I3142" t="str">
            <v>－</v>
          </cell>
          <cell r="J3142" t="str">
            <v>車騎星</v>
          </cell>
          <cell r="K3142" t="str">
            <v>天堂星</v>
          </cell>
        </row>
        <row r="3143">
          <cell r="H3143" t="str">
            <v>52+39</v>
          </cell>
          <cell r="I3143" t="str">
            <v>準方位</v>
          </cell>
          <cell r="J3143" t="str">
            <v>玉堂星</v>
          </cell>
          <cell r="K3143" t="str">
            <v>天将星</v>
          </cell>
        </row>
        <row r="3144">
          <cell r="H3144" t="str">
            <v>52+40</v>
          </cell>
          <cell r="I3144" t="str">
            <v>同</v>
          </cell>
          <cell r="J3144" t="str">
            <v>龍高星</v>
          </cell>
          <cell r="K3144" t="str">
            <v>天禄星</v>
          </cell>
        </row>
        <row r="3145">
          <cell r="H3145" t="str">
            <v>52+41</v>
          </cell>
          <cell r="I3145" t="str">
            <v>害</v>
          </cell>
          <cell r="J3145" t="str">
            <v>石門星</v>
          </cell>
          <cell r="K3145" t="str">
            <v>天南星</v>
          </cell>
        </row>
        <row r="3146">
          <cell r="H3146" t="str">
            <v>52+42</v>
          </cell>
          <cell r="I3146" t="str">
            <v>－</v>
          </cell>
          <cell r="J3146" t="str">
            <v>貫索星</v>
          </cell>
          <cell r="K3146" t="str">
            <v>天恍星</v>
          </cell>
        </row>
        <row r="3147">
          <cell r="H3147" t="str">
            <v>52+43</v>
          </cell>
          <cell r="I3147" t="str">
            <v>破</v>
          </cell>
          <cell r="J3147" t="str">
            <v>調舒星</v>
          </cell>
          <cell r="K3147" t="str">
            <v>天貴星</v>
          </cell>
        </row>
        <row r="3148">
          <cell r="H3148" t="str">
            <v>52+44</v>
          </cell>
          <cell r="I3148" t="str">
            <v>半会</v>
          </cell>
          <cell r="J3148" t="str">
            <v>鳳閣星</v>
          </cell>
          <cell r="K3148" t="str">
            <v>天印星</v>
          </cell>
        </row>
        <row r="3149">
          <cell r="H3149" t="str">
            <v>52+45</v>
          </cell>
          <cell r="I3149" t="str">
            <v>－</v>
          </cell>
          <cell r="J3149" t="str">
            <v>司禄星</v>
          </cell>
          <cell r="K3149" t="str">
            <v>天報星</v>
          </cell>
        </row>
        <row r="3150">
          <cell r="H3150" t="str">
            <v>52+46</v>
          </cell>
          <cell r="I3150" t="str">
            <v>天剋地冲</v>
          </cell>
          <cell r="J3150" t="str">
            <v>禄存星</v>
          </cell>
          <cell r="K3150" t="str">
            <v>天馳星</v>
          </cell>
        </row>
        <row r="3151">
          <cell r="H3151" t="str">
            <v>52+47</v>
          </cell>
          <cell r="I3151" t="str">
            <v>支合</v>
          </cell>
          <cell r="J3151" t="str">
            <v>牽牛星</v>
          </cell>
          <cell r="K3151" t="str">
            <v>天庫星</v>
          </cell>
        </row>
        <row r="3152">
          <cell r="H3152" t="str">
            <v>52+48</v>
          </cell>
          <cell r="I3152" t="str">
            <v>半会</v>
          </cell>
          <cell r="J3152" t="str">
            <v>車騎星</v>
          </cell>
          <cell r="K3152" t="str">
            <v>天極星</v>
          </cell>
        </row>
        <row r="3153">
          <cell r="H3153" t="str">
            <v>52+49</v>
          </cell>
          <cell r="I3153" t="str">
            <v>刑</v>
          </cell>
          <cell r="J3153" t="str">
            <v>玉堂星</v>
          </cell>
          <cell r="K3153" t="str">
            <v>天胡星</v>
          </cell>
        </row>
        <row r="3154">
          <cell r="H3154" t="str">
            <v>52+50</v>
          </cell>
          <cell r="I3154" t="str">
            <v>－</v>
          </cell>
          <cell r="J3154" t="str">
            <v>龍高星</v>
          </cell>
          <cell r="K3154" t="str">
            <v>天堂星</v>
          </cell>
        </row>
        <row r="3155">
          <cell r="H3155" t="str">
            <v>52+51</v>
          </cell>
          <cell r="I3155" t="str">
            <v>準方位</v>
          </cell>
          <cell r="J3155" t="str">
            <v>石門星</v>
          </cell>
          <cell r="K3155" t="str">
            <v>天将星</v>
          </cell>
        </row>
        <row r="3156">
          <cell r="H3156" t="str">
            <v>52+52</v>
          </cell>
          <cell r="I3156" t="str">
            <v>律音</v>
          </cell>
          <cell r="J3156" t="str">
            <v>貫索星</v>
          </cell>
          <cell r="K3156" t="str">
            <v>天禄星</v>
          </cell>
        </row>
        <row r="3157">
          <cell r="H3157" t="str">
            <v>52+53</v>
          </cell>
          <cell r="I3157" t="str">
            <v>害</v>
          </cell>
          <cell r="J3157" t="str">
            <v>調舒星</v>
          </cell>
          <cell r="K3157" t="str">
            <v>天南星</v>
          </cell>
        </row>
        <row r="3158">
          <cell r="H3158" t="str">
            <v>52+54</v>
          </cell>
          <cell r="I3158" t="str">
            <v>－</v>
          </cell>
          <cell r="J3158" t="str">
            <v>鳳閣星</v>
          </cell>
          <cell r="K3158" t="str">
            <v>天恍星</v>
          </cell>
        </row>
        <row r="3159">
          <cell r="H3159" t="str">
            <v>52+55</v>
          </cell>
          <cell r="I3159" t="str">
            <v>破</v>
          </cell>
          <cell r="J3159" t="str">
            <v>司禄星</v>
          </cell>
          <cell r="K3159" t="str">
            <v>天貴星</v>
          </cell>
        </row>
        <row r="3160">
          <cell r="H3160" t="str">
            <v>52+56</v>
          </cell>
          <cell r="I3160" t="str">
            <v>半会</v>
          </cell>
          <cell r="J3160" t="str">
            <v>禄存星</v>
          </cell>
          <cell r="K3160" t="str">
            <v>天印星</v>
          </cell>
        </row>
        <row r="3161">
          <cell r="H3161" t="str">
            <v>52+57</v>
          </cell>
          <cell r="I3161" t="str">
            <v>－</v>
          </cell>
          <cell r="J3161" t="str">
            <v>牽牛星</v>
          </cell>
          <cell r="K3161" t="str">
            <v>天報星</v>
          </cell>
        </row>
        <row r="3162">
          <cell r="H3162" t="str">
            <v>52+58</v>
          </cell>
          <cell r="I3162" t="str">
            <v>天剋地冲</v>
          </cell>
          <cell r="J3162" t="str">
            <v>車騎星</v>
          </cell>
          <cell r="K3162" t="str">
            <v>天馳星</v>
          </cell>
        </row>
        <row r="3163">
          <cell r="H3163" t="str">
            <v>52+59</v>
          </cell>
          <cell r="I3163" t="str">
            <v>支合</v>
          </cell>
          <cell r="J3163" t="str">
            <v>玉堂星</v>
          </cell>
          <cell r="K3163" t="str">
            <v>天庫星</v>
          </cell>
        </row>
        <row r="3164">
          <cell r="H3164" t="str">
            <v>52+60</v>
          </cell>
          <cell r="I3164" t="str">
            <v>半会</v>
          </cell>
          <cell r="J3164" t="str">
            <v>龍高星</v>
          </cell>
          <cell r="K3164" t="str">
            <v>天極星</v>
          </cell>
        </row>
        <row r="3165">
          <cell r="H3165" t="str">
            <v>53+1</v>
          </cell>
          <cell r="I3165" t="str">
            <v>半会</v>
          </cell>
          <cell r="J3165" t="str">
            <v>龍高星</v>
          </cell>
          <cell r="K3165" t="str">
            <v>天報星</v>
          </cell>
        </row>
        <row r="3166">
          <cell r="H3166" t="str">
            <v>53+2</v>
          </cell>
          <cell r="I3166" t="str">
            <v>破</v>
          </cell>
          <cell r="J3166" t="str">
            <v>玉堂星</v>
          </cell>
          <cell r="K3166" t="str">
            <v>天印星</v>
          </cell>
        </row>
        <row r="3167">
          <cell r="H3167" t="str">
            <v>53+3</v>
          </cell>
          <cell r="I3167" t="str">
            <v>準方位</v>
          </cell>
          <cell r="J3167" t="str">
            <v>貫索星</v>
          </cell>
          <cell r="K3167" t="str">
            <v>天貴星</v>
          </cell>
        </row>
        <row r="3168">
          <cell r="H3168" t="str">
            <v>53+4</v>
          </cell>
          <cell r="I3168" t="str">
            <v>害</v>
          </cell>
          <cell r="J3168" t="str">
            <v>石門星</v>
          </cell>
          <cell r="K3168" t="str">
            <v>天恍星</v>
          </cell>
        </row>
        <row r="3169">
          <cell r="H3169" t="str">
            <v>53+5</v>
          </cell>
          <cell r="I3169" t="str">
            <v>自刑</v>
          </cell>
          <cell r="J3169" t="str">
            <v>鳳閣星</v>
          </cell>
          <cell r="K3169" t="str">
            <v>天南星</v>
          </cell>
        </row>
        <row r="3170">
          <cell r="H3170" t="str">
            <v>53+6</v>
          </cell>
          <cell r="I3170" t="str">
            <v>－</v>
          </cell>
          <cell r="J3170" t="str">
            <v>調舒星</v>
          </cell>
          <cell r="K3170" t="str">
            <v>天禄星</v>
          </cell>
        </row>
        <row r="3171">
          <cell r="H3171" t="str">
            <v>53+7</v>
          </cell>
          <cell r="I3171" t="str">
            <v>－</v>
          </cell>
          <cell r="J3171" t="str">
            <v>禄存星</v>
          </cell>
          <cell r="K3171" t="str">
            <v>天将星</v>
          </cell>
        </row>
        <row r="3172">
          <cell r="H3172" t="str">
            <v>53+8</v>
          </cell>
          <cell r="I3172" t="str">
            <v>－</v>
          </cell>
          <cell r="J3172" t="str">
            <v>司禄星</v>
          </cell>
          <cell r="K3172" t="str">
            <v>天堂星</v>
          </cell>
        </row>
        <row r="3173">
          <cell r="H3173" t="str">
            <v>53+9</v>
          </cell>
          <cell r="I3173" t="str">
            <v>半会</v>
          </cell>
          <cell r="J3173" t="str">
            <v>車騎星</v>
          </cell>
          <cell r="K3173" t="str">
            <v>天胡星</v>
          </cell>
        </row>
        <row r="3174">
          <cell r="H3174" t="str">
            <v>53+10</v>
          </cell>
          <cell r="I3174" t="str">
            <v>支合</v>
          </cell>
          <cell r="J3174" t="str">
            <v>牽牛星</v>
          </cell>
          <cell r="K3174" t="str">
            <v>天極星</v>
          </cell>
        </row>
        <row r="3175">
          <cell r="H3175" t="str">
            <v>53+11</v>
          </cell>
          <cell r="I3175" t="str">
            <v>対冲</v>
          </cell>
          <cell r="J3175" t="str">
            <v>龍高星</v>
          </cell>
          <cell r="K3175" t="str">
            <v>天庫星</v>
          </cell>
        </row>
        <row r="3176">
          <cell r="H3176" t="str">
            <v>53+12</v>
          </cell>
          <cell r="I3176" t="str">
            <v>－</v>
          </cell>
          <cell r="J3176" t="str">
            <v>玉堂星</v>
          </cell>
          <cell r="K3176" t="str">
            <v>天馳星</v>
          </cell>
        </row>
        <row r="3177">
          <cell r="H3177" t="str">
            <v>53+13</v>
          </cell>
          <cell r="I3177" t="str">
            <v>大半会</v>
          </cell>
          <cell r="J3177" t="str">
            <v>貫索星</v>
          </cell>
          <cell r="K3177" t="str">
            <v>天報星</v>
          </cell>
        </row>
        <row r="3178">
          <cell r="H3178" t="str">
            <v>53+14</v>
          </cell>
          <cell r="I3178" t="str">
            <v>破</v>
          </cell>
          <cell r="J3178" t="str">
            <v>石門星</v>
          </cell>
          <cell r="K3178" t="str">
            <v>天印星</v>
          </cell>
        </row>
        <row r="3179">
          <cell r="H3179" t="str">
            <v>53+15</v>
          </cell>
          <cell r="I3179" t="str">
            <v>準方位</v>
          </cell>
          <cell r="J3179" t="str">
            <v>鳳閣星</v>
          </cell>
          <cell r="K3179" t="str">
            <v>天貴星</v>
          </cell>
        </row>
        <row r="3180">
          <cell r="H3180" t="str">
            <v>53+16</v>
          </cell>
          <cell r="I3180" t="str">
            <v>害</v>
          </cell>
          <cell r="J3180" t="str">
            <v>調舒星</v>
          </cell>
          <cell r="K3180" t="str">
            <v>天恍星</v>
          </cell>
        </row>
        <row r="3181">
          <cell r="H3181" t="str">
            <v>53+17</v>
          </cell>
          <cell r="I3181" t="str">
            <v>自刑</v>
          </cell>
          <cell r="J3181" t="str">
            <v>禄存星</v>
          </cell>
          <cell r="K3181" t="str">
            <v>天南星</v>
          </cell>
        </row>
        <row r="3182">
          <cell r="H3182" t="str">
            <v>53+18</v>
          </cell>
          <cell r="I3182" t="str">
            <v>－</v>
          </cell>
          <cell r="J3182" t="str">
            <v>司禄星</v>
          </cell>
          <cell r="K3182" t="str">
            <v>天禄星</v>
          </cell>
        </row>
        <row r="3183">
          <cell r="H3183" t="str">
            <v>53+19</v>
          </cell>
          <cell r="I3183" t="str">
            <v>－</v>
          </cell>
          <cell r="J3183" t="str">
            <v>車騎星</v>
          </cell>
          <cell r="K3183" t="str">
            <v>天将星</v>
          </cell>
        </row>
        <row r="3184">
          <cell r="H3184" t="str">
            <v>53+20</v>
          </cell>
          <cell r="I3184" t="str">
            <v>－</v>
          </cell>
          <cell r="J3184" t="str">
            <v>牽牛星</v>
          </cell>
          <cell r="K3184" t="str">
            <v>天堂星</v>
          </cell>
        </row>
        <row r="3185">
          <cell r="H3185" t="str">
            <v>53+21</v>
          </cell>
          <cell r="I3185" t="str">
            <v>半会</v>
          </cell>
          <cell r="J3185" t="str">
            <v>龍高星</v>
          </cell>
          <cell r="K3185" t="str">
            <v>天胡星</v>
          </cell>
        </row>
        <row r="3186">
          <cell r="H3186" t="str">
            <v>53+22</v>
          </cell>
          <cell r="I3186" t="str">
            <v>支合</v>
          </cell>
          <cell r="J3186" t="str">
            <v>玉堂星</v>
          </cell>
          <cell r="K3186" t="str">
            <v>天極星</v>
          </cell>
        </row>
        <row r="3187">
          <cell r="H3187" t="str">
            <v>53+23</v>
          </cell>
          <cell r="I3187" t="str">
            <v>納音</v>
          </cell>
          <cell r="J3187" t="str">
            <v>貫索星</v>
          </cell>
          <cell r="K3187" t="str">
            <v>天庫星</v>
          </cell>
        </row>
        <row r="3188">
          <cell r="H3188" t="str">
            <v>53+24</v>
          </cell>
          <cell r="I3188" t="str">
            <v>－</v>
          </cell>
          <cell r="J3188" t="str">
            <v>石門星</v>
          </cell>
          <cell r="K3188" t="str">
            <v>天馳星</v>
          </cell>
        </row>
        <row r="3189">
          <cell r="H3189" t="str">
            <v>53+25</v>
          </cell>
          <cell r="I3189" t="str">
            <v>半会</v>
          </cell>
          <cell r="J3189" t="str">
            <v>鳳閣星</v>
          </cell>
          <cell r="K3189" t="str">
            <v>天報星</v>
          </cell>
        </row>
        <row r="3190">
          <cell r="H3190" t="str">
            <v>53+26</v>
          </cell>
          <cell r="I3190" t="str">
            <v>破</v>
          </cell>
          <cell r="J3190" t="str">
            <v>調舒星</v>
          </cell>
          <cell r="K3190" t="str">
            <v>天印星</v>
          </cell>
        </row>
        <row r="3191">
          <cell r="H3191" t="str">
            <v>53+27</v>
          </cell>
          <cell r="I3191" t="str">
            <v>準方位</v>
          </cell>
          <cell r="J3191" t="str">
            <v>禄存星</v>
          </cell>
          <cell r="K3191" t="str">
            <v>天貴星</v>
          </cell>
        </row>
        <row r="3192">
          <cell r="H3192" t="str">
            <v>53+28</v>
          </cell>
          <cell r="I3192" t="str">
            <v>害</v>
          </cell>
          <cell r="J3192" t="str">
            <v>司禄星</v>
          </cell>
          <cell r="K3192" t="str">
            <v>天恍星</v>
          </cell>
        </row>
        <row r="3193">
          <cell r="H3193" t="str">
            <v>53+29</v>
          </cell>
          <cell r="I3193" t="str">
            <v>自刑</v>
          </cell>
          <cell r="J3193" t="str">
            <v>車騎星</v>
          </cell>
          <cell r="K3193" t="str">
            <v>天南星</v>
          </cell>
        </row>
        <row r="3194">
          <cell r="H3194" t="str">
            <v>53+30</v>
          </cell>
          <cell r="I3194" t="str">
            <v>－</v>
          </cell>
          <cell r="J3194" t="str">
            <v>牽牛星</v>
          </cell>
          <cell r="K3194" t="str">
            <v>天禄星</v>
          </cell>
        </row>
        <row r="3195">
          <cell r="H3195" t="str">
            <v>53+31</v>
          </cell>
          <cell r="I3195" t="str">
            <v>－</v>
          </cell>
          <cell r="J3195" t="str">
            <v>龍高星</v>
          </cell>
          <cell r="K3195" t="str">
            <v>天将星</v>
          </cell>
        </row>
        <row r="3196">
          <cell r="H3196" t="str">
            <v>53+32</v>
          </cell>
          <cell r="I3196" t="str">
            <v>－</v>
          </cell>
          <cell r="J3196" t="str">
            <v>玉堂星</v>
          </cell>
          <cell r="K3196" t="str">
            <v>天堂星</v>
          </cell>
        </row>
        <row r="3197">
          <cell r="H3197" t="str">
            <v>53+33</v>
          </cell>
          <cell r="I3197" t="str">
            <v>大半会</v>
          </cell>
          <cell r="J3197" t="str">
            <v>貫索星</v>
          </cell>
          <cell r="K3197" t="str">
            <v>天胡星</v>
          </cell>
        </row>
        <row r="3198">
          <cell r="H3198" t="str">
            <v>53+34</v>
          </cell>
          <cell r="I3198" t="str">
            <v>支合</v>
          </cell>
          <cell r="J3198" t="str">
            <v>石門星</v>
          </cell>
          <cell r="K3198" t="str">
            <v>天極星</v>
          </cell>
        </row>
        <row r="3199">
          <cell r="H3199" t="str">
            <v>53+35</v>
          </cell>
          <cell r="I3199" t="str">
            <v>対冲</v>
          </cell>
          <cell r="J3199" t="str">
            <v>鳳閣星</v>
          </cell>
          <cell r="K3199" t="str">
            <v>天庫星</v>
          </cell>
        </row>
        <row r="3200">
          <cell r="H3200" t="str">
            <v>53+36</v>
          </cell>
          <cell r="I3200" t="str">
            <v>－</v>
          </cell>
          <cell r="J3200" t="str">
            <v>調舒星</v>
          </cell>
          <cell r="K3200" t="str">
            <v>天馳星</v>
          </cell>
        </row>
        <row r="3201">
          <cell r="H3201" t="str">
            <v>53+37</v>
          </cell>
          <cell r="I3201" t="str">
            <v>半会</v>
          </cell>
          <cell r="J3201" t="str">
            <v>禄存星</v>
          </cell>
          <cell r="K3201" t="str">
            <v>天報星</v>
          </cell>
        </row>
        <row r="3202">
          <cell r="H3202" t="str">
            <v>53+38</v>
          </cell>
          <cell r="I3202" t="str">
            <v>破</v>
          </cell>
          <cell r="J3202" t="str">
            <v>司禄星</v>
          </cell>
          <cell r="K3202" t="str">
            <v>天印星</v>
          </cell>
        </row>
        <row r="3203">
          <cell r="H3203" t="str">
            <v>53+39</v>
          </cell>
          <cell r="I3203" t="str">
            <v>準方位</v>
          </cell>
          <cell r="J3203" t="str">
            <v>車騎星</v>
          </cell>
          <cell r="K3203" t="str">
            <v>天貴星</v>
          </cell>
        </row>
        <row r="3204">
          <cell r="H3204" t="str">
            <v>53+40</v>
          </cell>
          <cell r="I3204" t="str">
            <v>害</v>
          </cell>
          <cell r="J3204" t="str">
            <v>牽牛星</v>
          </cell>
          <cell r="K3204" t="str">
            <v>天恍星</v>
          </cell>
        </row>
        <row r="3205">
          <cell r="H3205" t="str">
            <v>53+41</v>
          </cell>
          <cell r="I3205" t="str">
            <v>自刑</v>
          </cell>
          <cell r="J3205" t="str">
            <v>龍高星</v>
          </cell>
          <cell r="K3205" t="str">
            <v>天南星</v>
          </cell>
        </row>
        <row r="3206">
          <cell r="H3206" t="str">
            <v>53+42</v>
          </cell>
          <cell r="I3206" t="str">
            <v>－</v>
          </cell>
          <cell r="J3206" t="str">
            <v>玉堂星</v>
          </cell>
          <cell r="K3206" t="str">
            <v>天禄星</v>
          </cell>
        </row>
        <row r="3207">
          <cell r="H3207" t="str">
            <v>53+43</v>
          </cell>
          <cell r="I3207" t="str">
            <v>－</v>
          </cell>
          <cell r="J3207" t="str">
            <v>貫索星</v>
          </cell>
          <cell r="K3207" t="str">
            <v>天将星</v>
          </cell>
        </row>
        <row r="3208">
          <cell r="H3208" t="str">
            <v>53+44</v>
          </cell>
          <cell r="I3208" t="str">
            <v>－</v>
          </cell>
          <cell r="J3208" t="str">
            <v>石門星</v>
          </cell>
          <cell r="K3208" t="str">
            <v>天堂星</v>
          </cell>
        </row>
        <row r="3209">
          <cell r="H3209" t="str">
            <v>53+45</v>
          </cell>
          <cell r="I3209" t="str">
            <v>半会</v>
          </cell>
          <cell r="J3209" t="str">
            <v>鳳閣星</v>
          </cell>
          <cell r="K3209" t="str">
            <v>天胡星</v>
          </cell>
        </row>
        <row r="3210">
          <cell r="H3210" t="str">
            <v>53+46</v>
          </cell>
          <cell r="I3210" t="str">
            <v>支合</v>
          </cell>
          <cell r="J3210" t="str">
            <v>調舒星</v>
          </cell>
          <cell r="K3210" t="str">
            <v>天極星</v>
          </cell>
        </row>
        <row r="3211">
          <cell r="H3211" t="str">
            <v>53+47</v>
          </cell>
          <cell r="I3211" t="str">
            <v>天剋地冲</v>
          </cell>
          <cell r="J3211" t="str">
            <v>禄存星</v>
          </cell>
          <cell r="K3211" t="str">
            <v>天庫星</v>
          </cell>
        </row>
        <row r="3212">
          <cell r="H3212" t="str">
            <v>53+48</v>
          </cell>
          <cell r="I3212" t="str">
            <v>－</v>
          </cell>
          <cell r="J3212" t="str">
            <v>司禄星</v>
          </cell>
          <cell r="K3212" t="str">
            <v>天馳星</v>
          </cell>
        </row>
        <row r="3213">
          <cell r="H3213" t="str">
            <v>53+49</v>
          </cell>
          <cell r="I3213" t="str">
            <v>半会</v>
          </cell>
          <cell r="J3213" t="str">
            <v>車騎星</v>
          </cell>
          <cell r="K3213" t="str">
            <v>天報星</v>
          </cell>
        </row>
        <row r="3214">
          <cell r="H3214" t="str">
            <v>53+50</v>
          </cell>
          <cell r="I3214" t="str">
            <v>破</v>
          </cell>
          <cell r="J3214" t="str">
            <v>牽牛星</v>
          </cell>
          <cell r="K3214" t="str">
            <v>天印星</v>
          </cell>
        </row>
        <row r="3215">
          <cell r="H3215" t="str">
            <v>53+51</v>
          </cell>
          <cell r="I3215" t="str">
            <v>準方位</v>
          </cell>
          <cell r="J3215" t="str">
            <v>龍高星</v>
          </cell>
          <cell r="K3215" t="str">
            <v>天貴星</v>
          </cell>
        </row>
        <row r="3216">
          <cell r="H3216" t="str">
            <v>53+52</v>
          </cell>
          <cell r="I3216" t="str">
            <v>害</v>
          </cell>
          <cell r="J3216" t="str">
            <v>玉堂星</v>
          </cell>
          <cell r="K3216" t="str">
            <v>天恍星</v>
          </cell>
        </row>
        <row r="3217">
          <cell r="H3217" t="str">
            <v>53+53</v>
          </cell>
          <cell r="I3217" t="str">
            <v>律音</v>
          </cell>
          <cell r="J3217" t="str">
            <v>貫索星</v>
          </cell>
          <cell r="K3217" t="str">
            <v>天南星</v>
          </cell>
        </row>
        <row r="3218">
          <cell r="H3218" t="str">
            <v>53+54</v>
          </cell>
          <cell r="I3218" t="str">
            <v>－</v>
          </cell>
          <cell r="J3218" t="str">
            <v>石門星</v>
          </cell>
          <cell r="K3218" t="str">
            <v>天禄星</v>
          </cell>
        </row>
        <row r="3219">
          <cell r="H3219" t="str">
            <v>53+55</v>
          </cell>
          <cell r="I3219" t="str">
            <v>－</v>
          </cell>
          <cell r="J3219" t="str">
            <v>鳳閣星</v>
          </cell>
          <cell r="K3219" t="str">
            <v>天将星</v>
          </cell>
        </row>
        <row r="3220">
          <cell r="H3220" t="str">
            <v>53+56</v>
          </cell>
          <cell r="I3220" t="str">
            <v>－</v>
          </cell>
          <cell r="J3220" t="str">
            <v>調舒星</v>
          </cell>
          <cell r="K3220" t="str">
            <v>天堂星</v>
          </cell>
        </row>
        <row r="3221">
          <cell r="H3221" t="str">
            <v>53+57</v>
          </cell>
          <cell r="I3221" t="str">
            <v>半会</v>
          </cell>
          <cell r="J3221" t="str">
            <v>禄存星</v>
          </cell>
          <cell r="K3221" t="str">
            <v>天胡星</v>
          </cell>
        </row>
        <row r="3222">
          <cell r="H3222" t="str">
            <v>53+58</v>
          </cell>
          <cell r="I3222" t="str">
            <v>支合</v>
          </cell>
          <cell r="J3222" t="str">
            <v>司禄星</v>
          </cell>
          <cell r="K3222" t="str">
            <v>天極星</v>
          </cell>
        </row>
        <row r="3223">
          <cell r="H3223" t="str">
            <v>53+59</v>
          </cell>
          <cell r="I3223" t="str">
            <v>天剋地冲</v>
          </cell>
          <cell r="J3223" t="str">
            <v>車騎星</v>
          </cell>
          <cell r="K3223" t="str">
            <v>天庫星</v>
          </cell>
        </row>
        <row r="3224">
          <cell r="H3224" t="str">
            <v>53+60</v>
          </cell>
          <cell r="I3224" t="str">
            <v>－</v>
          </cell>
          <cell r="J3224" t="str">
            <v>牽牛星</v>
          </cell>
          <cell r="K3224" t="str">
            <v>天馳星</v>
          </cell>
        </row>
        <row r="3225">
          <cell r="H3225" t="str">
            <v>54+1</v>
          </cell>
          <cell r="I3225" t="str">
            <v>－</v>
          </cell>
          <cell r="J3225" t="str">
            <v>玉堂星</v>
          </cell>
          <cell r="K3225" t="str">
            <v>天馳星</v>
          </cell>
        </row>
        <row r="3226">
          <cell r="H3226" t="str">
            <v>54+2</v>
          </cell>
          <cell r="I3226" t="str">
            <v>半会</v>
          </cell>
          <cell r="J3226" t="str">
            <v>龍高星</v>
          </cell>
          <cell r="K3226" t="str">
            <v>天庫星</v>
          </cell>
        </row>
        <row r="3227">
          <cell r="H3227" t="str">
            <v>54+3</v>
          </cell>
          <cell r="I3227" t="str">
            <v>害</v>
          </cell>
          <cell r="J3227" t="str">
            <v>石門星</v>
          </cell>
          <cell r="K3227" t="str">
            <v>天極星</v>
          </cell>
        </row>
        <row r="3228">
          <cell r="H3228" t="str">
            <v>54+4</v>
          </cell>
          <cell r="I3228" t="str">
            <v>－</v>
          </cell>
          <cell r="J3228" t="str">
            <v>貫索星</v>
          </cell>
          <cell r="K3228" t="str">
            <v>天胡星</v>
          </cell>
        </row>
        <row r="3229">
          <cell r="H3229" t="str">
            <v>54+5</v>
          </cell>
          <cell r="I3229" t="str">
            <v>－</v>
          </cell>
          <cell r="J3229" t="str">
            <v>調舒星</v>
          </cell>
          <cell r="K3229" t="str">
            <v>天堂星</v>
          </cell>
        </row>
        <row r="3230">
          <cell r="H3230" t="str">
            <v>54+6</v>
          </cell>
          <cell r="I3230" t="str">
            <v>同</v>
          </cell>
          <cell r="J3230" t="str">
            <v>鳳閣星</v>
          </cell>
          <cell r="K3230" t="str">
            <v>天将星</v>
          </cell>
        </row>
        <row r="3231">
          <cell r="H3231" t="str">
            <v>54+7</v>
          </cell>
          <cell r="I3231" t="str">
            <v>準方位</v>
          </cell>
          <cell r="J3231" t="str">
            <v>司禄星</v>
          </cell>
          <cell r="K3231" t="str">
            <v>天禄星</v>
          </cell>
        </row>
        <row r="3232">
          <cell r="H3232" t="str">
            <v>54+8</v>
          </cell>
          <cell r="I3232" t="str">
            <v>準方位</v>
          </cell>
          <cell r="J3232" t="str">
            <v>禄存星</v>
          </cell>
          <cell r="K3232" t="str">
            <v>天南星</v>
          </cell>
        </row>
        <row r="3233">
          <cell r="H3233" t="str">
            <v>54+9</v>
          </cell>
          <cell r="I3233" t="str">
            <v>支合</v>
          </cell>
          <cell r="J3233" t="str">
            <v>牽牛星</v>
          </cell>
          <cell r="K3233" t="str">
            <v>天恍星</v>
          </cell>
        </row>
        <row r="3234">
          <cell r="H3234" t="str">
            <v>54+10</v>
          </cell>
          <cell r="I3234" t="str">
            <v>半会</v>
          </cell>
          <cell r="J3234" t="str">
            <v>車騎星</v>
          </cell>
          <cell r="K3234" t="str">
            <v>天貴星</v>
          </cell>
        </row>
        <row r="3235">
          <cell r="H3235" t="str">
            <v>54+11</v>
          </cell>
          <cell r="I3235" t="str">
            <v>－</v>
          </cell>
          <cell r="J3235" t="str">
            <v>玉堂星</v>
          </cell>
          <cell r="K3235" t="str">
            <v>天印星</v>
          </cell>
        </row>
        <row r="3236">
          <cell r="H3236" t="str">
            <v>54+12</v>
          </cell>
          <cell r="I3236" t="str">
            <v>対冲</v>
          </cell>
          <cell r="J3236" t="str">
            <v>龍高星</v>
          </cell>
          <cell r="K3236" t="str">
            <v>天報星</v>
          </cell>
        </row>
        <row r="3237">
          <cell r="H3237" t="str">
            <v>54+13</v>
          </cell>
          <cell r="I3237" t="str">
            <v>－</v>
          </cell>
          <cell r="J3237" t="str">
            <v>石門星</v>
          </cell>
          <cell r="K3237" t="str">
            <v>天馳星</v>
          </cell>
        </row>
        <row r="3238">
          <cell r="H3238" t="str">
            <v>54+14</v>
          </cell>
          <cell r="I3238" t="str">
            <v>大半会</v>
          </cell>
          <cell r="J3238" t="str">
            <v>貫索星</v>
          </cell>
          <cell r="K3238" t="str">
            <v>天庫星</v>
          </cell>
        </row>
        <row r="3239">
          <cell r="H3239" t="str">
            <v>54+15</v>
          </cell>
          <cell r="I3239" t="str">
            <v>害</v>
          </cell>
          <cell r="J3239" t="str">
            <v>調舒星</v>
          </cell>
          <cell r="K3239" t="str">
            <v>天極星</v>
          </cell>
        </row>
        <row r="3240">
          <cell r="H3240" t="str">
            <v>54+16</v>
          </cell>
          <cell r="I3240" t="str">
            <v>－</v>
          </cell>
          <cell r="J3240" t="str">
            <v>鳳閣星</v>
          </cell>
          <cell r="K3240" t="str">
            <v>天胡星</v>
          </cell>
        </row>
        <row r="3241">
          <cell r="H3241" t="str">
            <v>54+17</v>
          </cell>
          <cell r="I3241" t="str">
            <v>－</v>
          </cell>
          <cell r="J3241" t="str">
            <v>司禄星</v>
          </cell>
          <cell r="K3241" t="str">
            <v>天堂星</v>
          </cell>
        </row>
        <row r="3242">
          <cell r="H3242" t="str">
            <v>54+18</v>
          </cell>
          <cell r="I3242" t="str">
            <v>同</v>
          </cell>
          <cell r="J3242" t="str">
            <v>禄存星</v>
          </cell>
          <cell r="K3242" t="str">
            <v>天将星</v>
          </cell>
        </row>
        <row r="3243">
          <cell r="H3243" t="str">
            <v>54+19</v>
          </cell>
          <cell r="I3243" t="str">
            <v>準方位</v>
          </cell>
          <cell r="J3243" t="str">
            <v>牽牛星</v>
          </cell>
          <cell r="K3243" t="str">
            <v>天禄星</v>
          </cell>
        </row>
        <row r="3244">
          <cell r="H3244" t="str">
            <v>54+20</v>
          </cell>
          <cell r="I3244" t="str">
            <v>準方位</v>
          </cell>
          <cell r="J3244" t="str">
            <v>車騎星</v>
          </cell>
          <cell r="K3244" t="str">
            <v>天南星</v>
          </cell>
        </row>
        <row r="3245">
          <cell r="H3245" t="str">
            <v>54+21</v>
          </cell>
          <cell r="I3245" t="str">
            <v>支合</v>
          </cell>
          <cell r="J3245" t="str">
            <v>玉堂星</v>
          </cell>
          <cell r="K3245" t="str">
            <v>天恍星</v>
          </cell>
        </row>
        <row r="3246">
          <cell r="H3246" t="str">
            <v>54+22</v>
          </cell>
          <cell r="I3246" t="str">
            <v>半会</v>
          </cell>
          <cell r="J3246" t="str">
            <v>龍高星</v>
          </cell>
          <cell r="K3246" t="str">
            <v>天貴星</v>
          </cell>
        </row>
        <row r="3247">
          <cell r="H3247" t="str">
            <v>54+23</v>
          </cell>
          <cell r="I3247" t="str">
            <v>－</v>
          </cell>
          <cell r="J3247" t="str">
            <v>石門星</v>
          </cell>
          <cell r="K3247" t="str">
            <v>天印星</v>
          </cell>
        </row>
        <row r="3248">
          <cell r="H3248" t="str">
            <v>54+24</v>
          </cell>
          <cell r="I3248" t="str">
            <v>納音</v>
          </cell>
          <cell r="J3248" t="str">
            <v>貫索星</v>
          </cell>
          <cell r="K3248" t="str">
            <v>天報星</v>
          </cell>
        </row>
        <row r="3249">
          <cell r="H3249" t="str">
            <v>54+25</v>
          </cell>
          <cell r="I3249" t="str">
            <v>－</v>
          </cell>
          <cell r="J3249" t="str">
            <v>調舒星</v>
          </cell>
          <cell r="K3249" t="str">
            <v>天馳星</v>
          </cell>
        </row>
        <row r="3250">
          <cell r="H3250" t="str">
            <v>54+26</v>
          </cell>
          <cell r="I3250" t="str">
            <v>半会</v>
          </cell>
          <cell r="J3250" t="str">
            <v>鳳閣星</v>
          </cell>
          <cell r="K3250" t="str">
            <v>天庫星</v>
          </cell>
        </row>
        <row r="3251">
          <cell r="H3251" t="str">
            <v>54+27</v>
          </cell>
          <cell r="I3251" t="str">
            <v>害</v>
          </cell>
          <cell r="J3251" t="str">
            <v>司禄星</v>
          </cell>
          <cell r="K3251" t="str">
            <v>天極星</v>
          </cell>
        </row>
        <row r="3252">
          <cell r="H3252" t="str">
            <v>54+28</v>
          </cell>
          <cell r="I3252" t="str">
            <v>－</v>
          </cell>
          <cell r="J3252" t="str">
            <v>禄存星</v>
          </cell>
          <cell r="K3252" t="str">
            <v>天胡星</v>
          </cell>
        </row>
        <row r="3253">
          <cell r="H3253" t="str">
            <v>54+29</v>
          </cell>
          <cell r="I3253" t="str">
            <v>－</v>
          </cell>
          <cell r="J3253" t="str">
            <v>牽牛星</v>
          </cell>
          <cell r="K3253" t="str">
            <v>天堂星</v>
          </cell>
        </row>
        <row r="3254">
          <cell r="H3254" t="str">
            <v>54+30</v>
          </cell>
          <cell r="I3254" t="str">
            <v>同</v>
          </cell>
          <cell r="J3254" t="str">
            <v>車騎星</v>
          </cell>
          <cell r="K3254" t="str">
            <v>天将星</v>
          </cell>
        </row>
        <row r="3255">
          <cell r="H3255" t="str">
            <v>54+31</v>
          </cell>
          <cell r="I3255" t="str">
            <v>準方位</v>
          </cell>
          <cell r="J3255" t="str">
            <v>玉堂星</v>
          </cell>
          <cell r="K3255" t="str">
            <v>天禄星</v>
          </cell>
        </row>
        <row r="3256">
          <cell r="H3256" t="str">
            <v>54+32</v>
          </cell>
          <cell r="I3256" t="str">
            <v>準方位</v>
          </cell>
          <cell r="J3256" t="str">
            <v>龍高星</v>
          </cell>
          <cell r="K3256" t="str">
            <v>天南星</v>
          </cell>
        </row>
        <row r="3257">
          <cell r="H3257" t="str">
            <v>54+33</v>
          </cell>
          <cell r="I3257" t="str">
            <v>支合</v>
          </cell>
          <cell r="J3257" t="str">
            <v>石門星</v>
          </cell>
          <cell r="K3257" t="str">
            <v>天恍星</v>
          </cell>
        </row>
        <row r="3258">
          <cell r="H3258" t="str">
            <v>54+34</v>
          </cell>
          <cell r="I3258" t="str">
            <v>大半会</v>
          </cell>
          <cell r="J3258" t="str">
            <v>貫索星</v>
          </cell>
          <cell r="K3258" t="str">
            <v>天貴星</v>
          </cell>
        </row>
        <row r="3259">
          <cell r="H3259" t="str">
            <v>54+35</v>
          </cell>
          <cell r="I3259" t="str">
            <v>－</v>
          </cell>
          <cell r="J3259" t="str">
            <v>調舒星</v>
          </cell>
          <cell r="K3259" t="str">
            <v>天印星</v>
          </cell>
        </row>
        <row r="3260">
          <cell r="H3260" t="str">
            <v>54+36</v>
          </cell>
          <cell r="I3260" t="str">
            <v>対冲</v>
          </cell>
          <cell r="J3260" t="str">
            <v>鳳閣星</v>
          </cell>
          <cell r="K3260" t="str">
            <v>天報星</v>
          </cell>
        </row>
        <row r="3261">
          <cell r="H3261" t="str">
            <v>54+37</v>
          </cell>
          <cell r="I3261" t="str">
            <v>－</v>
          </cell>
          <cell r="J3261" t="str">
            <v>司禄星</v>
          </cell>
          <cell r="K3261" t="str">
            <v>天馳星</v>
          </cell>
        </row>
        <row r="3262">
          <cell r="H3262" t="str">
            <v>54+38</v>
          </cell>
          <cell r="I3262" t="str">
            <v>半会</v>
          </cell>
          <cell r="J3262" t="str">
            <v>禄存星</v>
          </cell>
          <cell r="K3262" t="str">
            <v>天庫星</v>
          </cell>
        </row>
        <row r="3263">
          <cell r="H3263" t="str">
            <v>54+39</v>
          </cell>
          <cell r="I3263" t="str">
            <v>害</v>
          </cell>
          <cell r="J3263" t="str">
            <v>牽牛星</v>
          </cell>
          <cell r="K3263" t="str">
            <v>天極星</v>
          </cell>
        </row>
        <row r="3264">
          <cell r="H3264" t="str">
            <v>54+40</v>
          </cell>
          <cell r="I3264" t="str">
            <v>－</v>
          </cell>
          <cell r="J3264" t="str">
            <v>車騎星</v>
          </cell>
          <cell r="K3264" t="str">
            <v>天胡星</v>
          </cell>
        </row>
        <row r="3265">
          <cell r="H3265" t="str">
            <v>54+41</v>
          </cell>
          <cell r="I3265" t="str">
            <v>－</v>
          </cell>
          <cell r="J3265" t="str">
            <v>玉堂星</v>
          </cell>
          <cell r="K3265" t="str">
            <v>天堂星</v>
          </cell>
        </row>
        <row r="3266">
          <cell r="H3266" t="str">
            <v>54+42</v>
          </cell>
          <cell r="I3266" t="str">
            <v>同</v>
          </cell>
          <cell r="J3266" t="str">
            <v>龍高星</v>
          </cell>
          <cell r="K3266" t="str">
            <v>天将星</v>
          </cell>
        </row>
        <row r="3267">
          <cell r="H3267" t="str">
            <v>54+43</v>
          </cell>
          <cell r="I3267" t="str">
            <v>準方位</v>
          </cell>
          <cell r="J3267" t="str">
            <v>石門星</v>
          </cell>
          <cell r="K3267" t="str">
            <v>天禄星</v>
          </cell>
        </row>
        <row r="3268">
          <cell r="H3268" t="str">
            <v>54+44</v>
          </cell>
          <cell r="I3268" t="str">
            <v>準方位</v>
          </cell>
          <cell r="J3268" t="str">
            <v>貫索星</v>
          </cell>
          <cell r="K3268" t="str">
            <v>天南星</v>
          </cell>
        </row>
        <row r="3269">
          <cell r="H3269" t="str">
            <v>54+45</v>
          </cell>
          <cell r="I3269" t="str">
            <v>支合</v>
          </cell>
          <cell r="J3269" t="str">
            <v>調舒星</v>
          </cell>
          <cell r="K3269" t="str">
            <v>天恍星</v>
          </cell>
        </row>
        <row r="3270">
          <cell r="H3270" t="str">
            <v>54+46</v>
          </cell>
          <cell r="I3270" t="str">
            <v>半会</v>
          </cell>
          <cell r="J3270" t="str">
            <v>鳳閣星</v>
          </cell>
          <cell r="K3270" t="str">
            <v>天貴星</v>
          </cell>
        </row>
        <row r="3271">
          <cell r="H3271" t="str">
            <v>54+47</v>
          </cell>
          <cell r="I3271" t="str">
            <v>－</v>
          </cell>
          <cell r="J3271" t="str">
            <v>司禄星</v>
          </cell>
          <cell r="K3271" t="str">
            <v>天印星</v>
          </cell>
        </row>
        <row r="3272">
          <cell r="H3272" t="str">
            <v>54+48</v>
          </cell>
          <cell r="I3272" t="str">
            <v>天剋地冲</v>
          </cell>
          <cell r="J3272" t="str">
            <v>禄存星</v>
          </cell>
          <cell r="K3272" t="str">
            <v>天報星</v>
          </cell>
        </row>
        <row r="3273">
          <cell r="H3273" t="str">
            <v>54+49</v>
          </cell>
          <cell r="I3273" t="str">
            <v>－</v>
          </cell>
          <cell r="J3273" t="str">
            <v>牽牛星</v>
          </cell>
          <cell r="K3273" t="str">
            <v>天馳星</v>
          </cell>
        </row>
        <row r="3274">
          <cell r="H3274" t="str">
            <v>54+50</v>
          </cell>
          <cell r="I3274" t="str">
            <v>半会</v>
          </cell>
          <cell r="J3274" t="str">
            <v>車騎星</v>
          </cell>
          <cell r="K3274" t="str">
            <v>天庫星</v>
          </cell>
        </row>
        <row r="3275">
          <cell r="H3275" t="str">
            <v>54+51</v>
          </cell>
          <cell r="I3275" t="str">
            <v>害</v>
          </cell>
          <cell r="J3275" t="str">
            <v>玉堂星</v>
          </cell>
          <cell r="K3275" t="str">
            <v>天極星</v>
          </cell>
        </row>
        <row r="3276">
          <cell r="H3276" t="str">
            <v>54+52</v>
          </cell>
          <cell r="I3276" t="str">
            <v>－</v>
          </cell>
          <cell r="J3276" t="str">
            <v>龍高星</v>
          </cell>
          <cell r="K3276" t="str">
            <v>天胡星</v>
          </cell>
        </row>
        <row r="3277">
          <cell r="H3277" t="str">
            <v>54+53</v>
          </cell>
          <cell r="I3277" t="str">
            <v>－</v>
          </cell>
          <cell r="J3277" t="str">
            <v>石門星</v>
          </cell>
          <cell r="K3277" t="str">
            <v>天堂星</v>
          </cell>
        </row>
        <row r="3278">
          <cell r="H3278" t="str">
            <v>54+54</v>
          </cell>
          <cell r="I3278" t="str">
            <v>律音</v>
          </cell>
          <cell r="J3278" t="str">
            <v>貫索星</v>
          </cell>
          <cell r="K3278" t="str">
            <v>天将星</v>
          </cell>
        </row>
        <row r="3279">
          <cell r="H3279" t="str">
            <v>54+55</v>
          </cell>
          <cell r="I3279" t="str">
            <v>準方位</v>
          </cell>
          <cell r="J3279" t="str">
            <v>調舒星</v>
          </cell>
          <cell r="K3279" t="str">
            <v>天禄星</v>
          </cell>
        </row>
        <row r="3280">
          <cell r="H3280" t="str">
            <v>54+56</v>
          </cell>
          <cell r="I3280" t="str">
            <v>準方位</v>
          </cell>
          <cell r="J3280" t="str">
            <v>鳳閣星</v>
          </cell>
          <cell r="K3280" t="str">
            <v>天南星</v>
          </cell>
        </row>
        <row r="3281">
          <cell r="H3281" t="str">
            <v>54+57</v>
          </cell>
          <cell r="I3281" t="str">
            <v>支合</v>
          </cell>
          <cell r="J3281" t="str">
            <v>司禄星</v>
          </cell>
          <cell r="K3281" t="str">
            <v>天恍星</v>
          </cell>
        </row>
        <row r="3282">
          <cell r="H3282" t="str">
            <v>54+58</v>
          </cell>
          <cell r="I3282" t="str">
            <v>半会</v>
          </cell>
          <cell r="J3282" t="str">
            <v>禄存星</v>
          </cell>
          <cell r="K3282" t="str">
            <v>天貴星</v>
          </cell>
        </row>
        <row r="3283">
          <cell r="H3283" t="str">
            <v>54+59</v>
          </cell>
          <cell r="I3283" t="str">
            <v>－</v>
          </cell>
          <cell r="J3283" t="str">
            <v>牽牛星</v>
          </cell>
          <cell r="K3283" t="str">
            <v>天印星</v>
          </cell>
        </row>
        <row r="3284">
          <cell r="H3284" t="str">
            <v>54+60</v>
          </cell>
          <cell r="I3284" t="str">
            <v>天剋地冲</v>
          </cell>
          <cell r="J3284" t="str">
            <v>車騎星</v>
          </cell>
          <cell r="K3284" t="str">
            <v>天報星</v>
          </cell>
        </row>
        <row r="3285">
          <cell r="H3285" t="str">
            <v>55+1</v>
          </cell>
          <cell r="I3285" t="str">
            <v>天剋地冲</v>
          </cell>
          <cell r="J3285" t="str">
            <v>車騎星</v>
          </cell>
          <cell r="K3285" t="str">
            <v>天報星</v>
          </cell>
        </row>
        <row r="3286">
          <cell r="H3286" t="str">
            <v>55+2</v>
          </cell>
          <cell r="I3286" t="str">
            <v>害</v>
          </cell>
          <cell r="J3286" t="str">
            <v>牽牛星</v>
          </cell>
          <cell r="K3286" t="str">
            <v>天印星</v>
          </cell>
        </row>
        <row r="3287">
          <cell r="H3287" t="str">
            <v>55+3</v>
          </cell>
          <cell r="I3287" t="str">
            <v>半会</v>
          </cell>
          <cell r="J3287" t="str">
            <v>龍高星</v>
          </cell>
          <cell r="K3287" t="str">
            <v>天貴星</v>
          </cell>
        </row>
        <row r="3288">
          <cell r="H3288" t="str">
            <v>55+4</v>
          </cell>
          <cell r="I3288" t="str">
            <v>破</v>
          </cell>
          <cell r="J3288" t="str">
            <v>玉堂星</v>
          </cell>
          <cell r="K3288" t="str">
            <v>天恍星</v>
          </cell>
        </row>
        <row r="3289">
          <cell r="H3289" t="str">
            <v>55+5</v>
          </cell>
          <cell r="I3289" t="str">
            <v>－</v>
          </cell>
          <cell r="J3289" t="str">
            <v>貫索星</v>
          </cell>
          <cell r="K3289" t="str">
            <v>天南星</v>
          </cell>
        </row>
        <row r="3290">
          <cell r="H3290" t="str">
            <v>55+6</v>
          </cell>
          <cell r="I3290" t="str">
            <v>準方位</v>
          </cell>
          <cell r="J3290" t="str">
            <v>石門星</v>
          </cell>
          <cell r="K3290" t="str">
            <v>天禄星</v>
          </cell>
        </row>
        <row r="3291">
          <cell r="H3291" t="str">
            <v>55+7</v>
          </cell>
          <cell r="I3291" t="str">
            <v>自刑</v>
          </cell>
          <cell r="J3291" t="str">
            <v>鳳閣星</v>
          </cell>
          <cell r="K3291" t="str">
            <v>天将星</v>
          </cell>
        </row>
        <row r="3292">
          <cell r="H3292" t="str">
            <v>55+8</v>
          </cell>
          <cell r="I3292" t="str">
            <v>支合</v>
          </cell>
          <cell r="J3292" t="str">
            <v>調舒星</v>
          </cell>
          <cell r="K3292" t="str">
            <v>天堂星</v>
          </cell>
        </row>
        <row r="3293">
          <cell r="H3293" t="str">
            <v>55+9</v>
          </cell>
          <cell r="I3293" t="str">
            <v>－</v>
          </cell>
          <cell r="J3293" t="str">
            <v>禄存星</v>
          </cell>
          <cell r="K3293" t="str">
            <v>天胡星</v>
          </cell>
        </row>
        <row r="3294">
          <cell r="H3294" t="str">
            <v>55+10</v>
          </cell>
          <cell r="I3294" t="str">
            <v>－</v>
          </cell>
          <cell r="J3294" t="str">
            <v>司禄星</v>
          </cell>
          <cell r="K3294" t="str">
            <v>天極星</v>
          </cell>
        </row>
        <row r="3295">
          <cell r="H3295" t="str">
            <v>55+11</v>
          </cell>
          <cell r="I3295" t="str">
            <v>半会</v>
          </cell>
          <cell r="J3295" t="str">
            <v>車騎星</v>
          </cell>
          <cell r="K3295" t="str">
            <v>天庫星</v>
          </cell>
        </row>
        <row r="3296">
          <cell r="H3296" t="str">
            <v>55+12</v>
          </cell>
          <cell r="I3296" t="str">
            <v>－</v>
          </cell>
          <cell r="J3296" t="str">
            <v>牽牛星</v>
          </cell>
          <cell r="K3296" t="str">
            <v>天馳星</v>
          </cell>
        </row>
        <row r="3297">
          <cell r="H3297" t="str">
            <v>55+13</v>
          </cell>
          <cell r="I3297" t="str">
            <v>対冲</v>
          </cell>
          <cell r="J3297" t="str">
            <v>龍高星</v>
          </cell>
          <cell r="K3297" t="str">
            <v>天報星</v>
          </cell>
        </row>
        <row r="3298">
          <cell r="H3298" t="str">
            <v>55+14</v>
          </cell>
          <cell r="I3298" t="str">
            <v>害</v>
          </cell>
          <cell r="J3298" t="str">
            <v>玉堂星</v>
          </cell>
          <cell r="K3298" t="str">
            <v>天印星</v>
          </cell>
        </row>
        <row r="3299">
          <cell r="H3299" t="str">
            <v>55+15</v>
          </cell>
          <cell r="I3299" t="str">
            <v>大半会</v>
          </cell>
          <cell r="J3299" t="str">
            <v>貫索星</v>
          </cell>
          <cell r="K3299" t="str">
            <v>天貴星</v>
          </cell>
        </row>
        <row r="3300">
          <cell r="H3300" t="str">
            <v>55+16</v>
          </cell>
          <cell r="I3300" t="str">
            <v>破</v>
          </cell>
          <cell r="J3300" t="str">
            <v>石門星</v>
          </cell>
          <cell r="K3300" t="str">
            <v>天恍星</v>
          </cell>
        </row>
        <row r="3301">
          <cell r="H3301" t="str">
            <v>55+17</v>
          </cell>
          <cell r="I3301" t="str">
            <v>－</v>
          </cell>
          <cell r="J3301" t="str">
            <v>鳳閣星</v>
          </cell>
          <cell r="K3301" t="str">
            <v>天南星</v>
          </cell>
        </row>
        <row r="3302">
          <cell r="H3302" t="str">
            <v>55+18</v>
          </cell>
          <cell r="I3302" t="str">
            <v>準方位</v>
          </cell>
          <cell r="J3302" t="str">
            <v>調舒星</v>
          </cell>
          <cell r="K3302" t="str">
            <v>天禄星</v>
          </cell>
        </row>
        <row r="3303">
          <cell r="H3303" t="str">
            <v>55+19</v>
          </cell>
          <cell r="I3303" t="str">
            <v>自刑</v>
          </cell>
          <cell r="J3303" t="str">
            <v>禄存星</v>
          </cell>
          <cell r="K3303" t="str">
            <v>天将星</v>
          </cell>
        </row>
        <row r="3304">
          <cell r="H3304" t="str">
            <v>55+20</v>
          </cell>
          <cell r="I3304" t="str">
            <v>支合</v>
          </cell>
          <cell r="J3304" t="str">
            <v>司禄星</v>
          </cell>
          <cell r="K3304" t="str">
            <v>天堂星</v>
          </cell>
        </row>
        <row r="3305">
          <cell r="H3305" t="str">
            <v>55+21</v>
          </cell>
          <cell r="I3305" t="str">
            <v>－</v>
          </cell>
          <cell r="J3305" t="str">
            <v>車騎星</v>
          </cell>
          <cell r="K3305" t="str">
            <v>天胡星</v>
          </cell>
        </row>
        <row r="3306">
          <cell r="H3306" t="str">
            <v>55+22</v>
          </cell>
          <cell r="I3306" t="str">
            <v>－</v>
          </cell>
          <cell r="J3306" t="str">
            <v>牽牛星</v>
          </cell>
          <cell r="K3306" t="str">
            <v>天極星</v>
          </cell>
        </row>
        <row r="3307">
          <cell r="H3307" t="str">
            <v>55+23</v>
          </cell>
          <cell r="I3307" t="str">
            <v>半会</v>
          </cell>
          <cell r="J3307" t="str">
            <v>龍高星</v>
          </cell>
          <cell r="K3307" t="str">
            <v>天庫星</v>
          </cell>
        </row>
        <row r="3308">
          <cell r="H3308" t="str">
            <v>55+24</v>
          </cell>
          <cell r="I3308" t="str">
            <v>－</v>
          </cell>
          <cell r="J3308" t="str">
            <v>玉堂星</v>
          </cell>
          <cell r="K3308" t="str">
            <v>天馳星</v>
          </cell>
        </row>
        <row r="3309">
          <cell r="H3309" t="str">
            <v>55+25</v>
          </cell>
          <cell r="I3309" t="str">
            <v>納音</v>
          </cell>
          <cell r="J3309" t="str">
            <v>貫索星</v>
          </cell>
          <cell r="K3309" t="str">
            <v>天報星</v>
          </cell>
        </row>
        <row r="3310">
          <cell r="H3310" t="str">
            <v>55+26</v>
          </cell>
          <cell r="I3310" t="str">
            <v>害</v>
          </cell>
          <cell r="J3310" t="str">
            <v>石門星</v>
          </cell>
          <cell r="K3310" t="str">
            <v>天印星</v>
          </cell>
        </row>
        <row r="3311">
          <cell r="H3311" t="str">
            <v>55+27</v>
          </cell>
          <cell r="I3311" t="str">
            <v>半会</v>
          </cell>
          <cell r="J3311" t="str">
            <v>鳳閣星</v>
          </cell>
          <cell r="K3311" t="str">
            <v>天貴星</v>
          </cell>
        </row>
        <row r="3312">
          <cell r="H3312" t="str">
            <v>55+28</v>
          </cell>
          <cell r="I3312" t="str">
            <v>破</v>
          </cell>
          <cell r="J3312" t="str">
            <v>調舒星</v>
          </cell>
          <cell r="K3312" t="str">
            <v>天恍星</v>
          </cell>
        </row>
        <row r="3313">
          <cell r="H3313" t="str">
            <v>55+29</v>
          </cell>
          <cell r="I3313" t="str">
            <v>－</v>
          </cell>
          <cell r="J3313" t="str">
            <v>禄存星</v>
          </cell>
          <cell r="K3313" t="str">
            <v>天南星</v>
          </cell>
        </row>
        <row r="3314">
          <cell r="H3314" t="str">
            <v>55+30</v>
          </cell>
          <cell r="I3314" t="str">
            <v>準方位</v>
          </cell>
          <cell r="J3314" t="str">
            <v>司禄星</v>
          </cell>
          <cell r="K3314" t="str">
            <v>天禄星</v>
          </cell>
        </row>
        <row r="3315">
          <cell r="H3315" t="str">
            <v>55+31</v>
          </cell>
          <cell r="I3315" t="str">
            <v>自刑</v>
          </cell>
          <cell r="J3315" t="str">
            <v>車騎星</v>
          </cell>
          <cell r="K3315" t="str">
            <v>天将星</v>
          </cell>
        </row>
        <row r="3316">
          <cell r="H3316" t="str">
            <v>55+32</v>
          </cell>
          <cell r="I3316" t="str">
            <v>支合</v>
          </cell>
          <cell r="J3316" t="str">
            <v>牽牛星</v>
          </cell>
          <cell r="K3316" t="str">
            <v>天堂星</v>
          </cell>
        </row>
        <row r="3317">
          <cell r="H3317" t="str">
            <v>55+33</v>
          </cell>
          <cell r="I3317" t="str">
            <v>－</v>
          </cell>
          <cell r="J3317" t="str">
            <v>龍高星</v>
          </cell>
          <cell r="K3317" t="str">
            <v>天胡星</v>
          </cell>
        </row>
        <row r="3318">
          <cell r="H3318" t="str">
            <v>55+34</v>
          </cell>
          <cell r="I3318" t="str">
            <v>－</v>
          </cell>
          <cell r="J3318" t="str">
            <v>玉堂星</v>
          </cell>
          <cell r="K3318" t="str">
            <v>天極星</v>
          </cell>
        </row>
        <row r="3319">
          <cell r="H3319" t="str">
            <v>55+35</v>
          </cell>
          <cell r="I3319" t="str">
            <v>大半会</v>
          </cell>
          <cell r="J3319" t="str">
            <v>貫索星</v>
          </cell>
          <cell r="K3319" t="str">
            <v>天庫星</v>
          </cell>
        </row>
        <row r="3320">
          <cell r="H3320" t="str">
            <v>55+36</v>
          </cell>
          <cell r="I3320" t="str">
            <v>－</v>
          </cell>
          <cell r="J3320" t="str">
            <v>石門星</v>
          </cell>
          <cell r="K3320" t="str">
            <v>天馳星</v>
          </cell>
        </row>
        <row r="3321">
          <cell r="H3321" t="str">
            <v>55+37</v>
          </cell>
          <cell r="I3321" t="str">
            <v>対冲</v>
          </cell>
          <cell r="J3321" t="str">
            <v>鳳閣星</v>
          </cell>
          <cell r="K3321" t="str">
            <v>天報星</v>
          </cell>
        </row>
        <row r="3322">
          <cell r="H3322" t="str">
            <v>55+38</v>
          </cell>
          <cell r="I3322" t="str">
            <v>害</v>
          </cell>
          <cell r="J3322" t="str">
            <v>調舒星</v>
          </cell>
          <cell r="K3322" t="str">
            <v>天印星</v>
          </cell>
        </row>
        <row r="3323">
          <cell r="H3323" t="str">
            <v>55+39</v>
          </cell>
          <cell r="I3323" t="str">
            <v>半会</v>
          </cell>
          <cell r="J3323" t="str">
            <v>禄存星</v>
          </cell>
          <cell r="K3323" t="str">
            <v>天貴星</v>
          </cell>
        </row>
        <row r="3324">
          <cell r="H3324" t="str">
            <v>55+40</v>
          </cell>
          <cell r="I3324" t="str">
            <v>破</v>
          </cell>
          <cell r="J3324" t="str">
            <v>司禄星</v>
          </cell>
          <cell r="K3324" t="str">
            <v>天恍星</v>
          </cell>
        </row>
        <row r="3325">
          <cell r="H3325" t="str">
            <v>55+41</v>
          </cell>
          <cell r="I3325" t="str">
            <v>－</v>
          </cell>
          <cell r="J3325" t="str">
            <v>車騎星</v>
          </cell>
          <cell r="K3325" t="str">
            <v>天南星</v>
          </cell>
        </row>
        <row r="3326">
          <cell r="H3326" t="str">
            <v>55+42</v>
          </cell>
          <cell r="I3326" t="str">
            <v>準方位</v>
          </cell>
          <cell r="J3326" t="str">
            <v>牽牛星</v>
          </cell>
          <cell r="K3326" t="str">
            <v>天禄星</v>
          </cell>
        </row>
        <row r="3327">
          <cell r="H3327" t="str">
            <v>55+43</v>
          </cell>
          <cell r="I3327" t="str">
            <v>自刑</v>
          </cell>
          <cell r="J3327" t="str">
            <v>龍高星</v>
          </cell>
          <cell r="K3327" t="str">
            <v>天将星</v>
          </cell>
        </row>
        <row r="3328">
          <cell r="H3328" t="str">
            <v>55+44</v>
          </cell>
          <cell r="I3328" t="str">
            <v>支合</v>
          </cell>
          <cell r="J3328" t="str">
            <v>玉堂星</v>
          </cell>
          <cell r="K3328" t="str">
            <v>天堂星</v>
          </cell>
        </row>
        <row r="3329">
          <cell r="H3329" t="str">
            <v>55+45</v>
          </cell>
          <cell r="I3329" t="str">
            <v>－</v>
          </cell>
          <cell r="J3329" t="str">
            <v>貫索星</v>
          </cell>
          <cell r="K3329" t="str">
            <v>天胡星</v>
          </cell>
        </row>
        <row r="3330">
          <cell r="H3330" t="str">
            <v>55+46</v>
          </cell>
          <cell r="I3330" t="str">
            <v>－</v>
          </cell>
          <cell r="J3330" t="str">
            <v>石門星</v>
          </cell>
          <cell r="K3330" t="str">
            <v>天極星</v>
          </cell>
        </row>
        <row r="3331">
          <cell r="H3331" t="str">
            <v>55+47</v>
          </cell>
          <cell r="I3331" t="str">
            <v>半会</v>
          </cell>
          <cell r="J3331" t="str">
            <v>鳳閣星</v>
          </cell>
          <cell r="K3331" t="str">
            <v>天庫星</v>
          </cell>
        </row>
        <row r="3332">
          <cell r="H3332" t="str">
            <v>55+48</v>
          </cell>
          <cell r="I3332" t="str">
            <v>－</v>
          </cell>
          <cell r="J3332" t="str">
            <v>調舒星</v>
          </cell>
          <cell r="K3332" t="str">
            <v>天馳星</v>
          </cell>
        </row>
        <row r="3333">
          <cell r="H3333" t="str">
            <v>55+49</v>
          </cell>
          <cell r="I3333" t="str">
            <v>天剋地冲</v>
          </cell>
          <cell r="J3333" t="str">
            <v>禄存星</v>
          </cell>
          <cell r="K3333" t="str">
            <v>天報星</v>
          </cell>
        </row>
        <row r="3334">
          <cell r="H3334" t="str">
            <v>55+50</v>
          </cell>
          <cell r="I3334" t="str">
            <v>害</v>
          </cell>
          <cell r="J3334" t="str">
            <v>司禄星</v>
          </cell>
          <cell r="K3334" t="str">
            <v>天印星</v>
          </cell>
        </row>
        <row r="3335">
          <cell r="H3335" t="str">
            <v>55+51</v>
          </cell>
          <cell r="I3335" t="str">
            <v>半会</v>
          </cell>
          <cell r="J3335" t="str">
            <v>車騎星</v>
          </cell>
          <cell r="K3335" t="str">
            <v>天貴星</v>
          </cell>
        </row>
        <row r="3336">
          <cell r="H3336" t="str">
            <v>55+52</v>
          </cell>
          <cell r="I3336" t="str">
            <v>破</v>
          </cell>
          <cell r="J3336" t="str">
            <v>牽牛星</v>
          </cell>
          <cell r="K3336" t="str">
            <v>天恍星</v>
          </cell>
        </row>
        <row r="3337">
          <cell r="H3337" t="str">
            <v>55+53</v>
          </cell>
          <cell r="I3337" t="str">
            <v>－</v>
          </cell>
          <cell r="J3337" t="str">
            <v>龍高星</v>
          </cell>
          <cell r="K3337" t="str">
            <v>天南星</v>
          </cell>
        </row>
        <row r="3338">
          <cell r="H3338" t="str">
            <v>55+54</v>
          </cell>
          <cell r="I3338" t="str">
            <v>準方位</v>
          </cell>
          <cell r="J3338" t="str">
            <v>玉堂星</v>
          </cell>
          <cell r="K3338" t="str">
            <v>天禄星</v>
          </cell>
        </row>
        <row r="3339">
          <cell r="H3339" t="str">
            <v>55+55</v>
          </cell>
          <cell r="I3339" t="str">
            <v>律音</v>
          </cell>
          <cell r="J3339" t="str">
            <v>貫索星</v>
          </cell>
          <cell r="K3339" t="str">
            <v>天将星</v>
          </cell>
        </row>
        <row r="3340">
          <cell r="H3340" t="str">
            <v>55+56</v>
          </cell>
          <cell r="I3340" t="str">
            <v>支合</v>
          </cell>
          <cell r="J3340" t="str">
            <v>石門星</v>
          </cell>
          <cell r="K3340" t="str">
            <v>天堂星</v>
          </cell>
        </row>
        <row r="3341">
          <cell r="H3341" t="str">
            <v>55+57</v>
          </cell>
          <cell r="I3341" t="str">
            <v>－</v>
          </cell>
          <cell r="J3341" t="str">
            <v>鳳閣星</v>
          </cell>
          <cell r="K3341" t="str">
            <v>天胡星</v>
          </cell>
        </row>
        <row r="3342">
          <cell r="H3342" t="str">
            <v>55+58</v>
          </cell>
          <cell r="I3342" t="str">
            <v>－</v>
          </cell>
          <cell r="J3342" t="str">
            <v>調舒星</v>
          </cell>
          <cell r="K3342" t="str">
            <v>天極星</v>
          </cell>
        </row>
        <row r="3343">
          <cell r="H3343" t="str">
            <v>55+59</v>
          </cell>
          <cell r="I3343" t="str">
            <v>半会</v>
          </cell>
          <cell r="J3343" t="str">
            <v>禄存星</v>
          </cell>
          <cell r="K3343" t="str">
            <v>天庫星</v>
          </cell>
        </row>
        <row r="3344">
          <cell r="H3344" t="str">
            <v>55+60</v>
          </cell>
          <cell r="I3344" t="str">
            <v>－</v>
          </cell>
          <cell r="J3344" t="str">
            <v>司禄星</v>
          </cell>
          <cell r="K3344" t="str">
            <v>天馳星</v>
          </cell>
        </row>
        <row r="3345">
          <cell r="H3345" t="str">
            <v>56+1</v>
          </cell>
          <cell r="I3345" t="str">
            <v>害</v>
          </cell>
          <cell r="J3345" t="str">
            <v>牽牛星</v>
          </cell>
          <cell r="K3345" t="str">
            <v>天馳星</v>
          </cell>
        </row>
        <row r="3346">
          <cell r="H3346" t="str">
            <v>56+2</v>
          </cell>
          <cell r="I3346" t="str">
            <v>天剋地冲</v>
          </cell>
          <cell r="J3346" t="str">
            <v>車騎星</v>
          </cell>
          <cell r="K3346" t="str">
            <v>天庫星</v>
          </cell>
        </row>
        <row r="3347">
          <cell r="H3347" t="str">
            <v>56+3</v>
          </cell>
          <cell r="I3347" t="str">
            <v>－</v>
          </cell>
          <cell r="J3347" t="str">
            <v>玉堂星</v>
          </cell>
          <cell r="K3347" t="str">
            <v>天極星</v>
          </cell>
        </row>
        <row r="3348">
          <cell r="H3348" t="str">
            <v>56+4</v>
          </cell>
          <cell r="I3348" t="str">
            <v>半会</v>
          </cell>
          <cell r="J3348" t="str">
            <v>龍高星</v>
          </cell>
          <cell r="K3348" t="str">
            <v>天胡星</v>
          </cell>
        </row>
        <row r="3349">
          <cell r="H3349" t="str">
            <v>56+5</v>
          </cell>
          <cell r="I3349" t="str">
            <v>－</v>
          </cell>
          <cell r="J3349" t="str">
            <v>石門星</v>
          </cell>
          <cell r="K3349" t="str">
            <v>天堂星</v>
          </cell>
        </row>
        <row r="3350">
          <cell r="H3350" t="str">
            <v>56+6</v>
          </cell>
          <cell r="I3350" t="str">
            <v>準方位</v>
          </cell>
          <cell r="J3350" t="str">
            <v>貫索星</v>
          </cell>
          <cell r="K3350" t="str">
            <v>天将星</v>
          </cell>
        </row>
        <row r="3351">
          <cell r="H3351" t="str">
            <v>56+7</v>
          </cell>
          <cell r="I3351" t="str">
            <v>支合</v>
          </cell>
          <cell r="J3351" t="str">
            <v>調舒星</v>
          </cell>
          <cell r="K3351" t="str">
            <v>天禄星</v>
          </cell>
        </row>
        <row r="3352">
          <cell r="H3352" t="str">
            <v>56+8</v>
          </cell>
          <cell r="I3352" t="str">
            <v>同</v>
          </cell>
          <cell r="J3352" t="str">
            <v>鳳閣星</v>
          </cell>
          <cell r="K3352" t="str">
            <v>天南星</v>
          </cell>
        </row>
        <row r="3353">
          <cell r="H3353" t="str">
            <v>56+9</v>
          </cell>
          <cell r="I3353" t="str">
            <v>－</v>
          </cell>
          <cell r="J3353" t="str">
            <v>司禄星</v>
          </cell>
          <cell r="K3353" t="str">
            <v>天恍星</v>
          </cell>
        </row>
        <row r="3354">
          <cell r="H3354" t="str">
            <v>56+10</v>
          </cell>
          <cell r="I3354" t="str">
            <v>－</v>
          </cell>
          <cell r="J3354" t="str">
            <v>禄存星</v>
          </cell>
          <cell r="K3354" t="str">
            <v>天貴星</v>
          </cell>
        </row>
        <row r="3355">
          <cell r="H3355" t="str">
            <v>56+11</v>
          </cell>
          <cell r="I3355" t="str">
            <v>刑</v>
          </cell>
          <cell r="J3355" t="str">
            <v>牽牛星</v>
          </cell>
          <cell r="K3355" t="str">
            <v>天印星</v>
          </cell>
        </row>
        <row r="3356">
          <cell r="H3356" t="str">
            <v>56+12</v>
          </cell>
          <cell r="I3356" t="str">
            <v>半会</v>
          </cell>
          <cell r="J3356" t="str">
            <v>車騎星</v>
          </cell>
          <cell r="K3356" t="str">
            <v>天報星</v>
          </cell>
        </row>
        <row r="3357">
          <cell r="H3357" t="str">
            <v>56+13</v>
          </cell>
          <cell r="I3357" t="str">
            <v>害</v>
          </cell>
          <cell r="J3357" t="str">
            <v>玉堂星</v>
          </cell>
          <cell r="K3357" t="str">
            <v>天馳星</v>
          </cell>
        </row>
        <row r="3358">
          <cell r="H3358" t="str">
            <v>56+14</v>
          </cell>
          <cell r="I3358" t="str">
            <v>対冲</v>
          </cell>
          <cell r="J3358" t="str">
            <v>龍高星</v>
          </cell>
          <cell r="K3358" t="str">
            <v>天庫星</v>
          </cell>
        </row>
        <row r="3359">
          <cell r="H3359" t="str">
            <v>56+15</v>
          </cell>
          <cell r="I3359" t="str">
            <v>－</v>
          </cell>
          <cell r="J3359" t="str">
            <v>石門星</v>
          </cell>
          <cell r="K3359" t="str">
            <v>天極星</v>
          </cell>
        </row>
        <row r="3360">
          <cell r="H3360" t="str">
            <v>56+16</v>
          </cell>
          <cell r="I3360" t="str">
            <v>大半会</v>
          </cell>
          <cell r="J3360" t="str">
            <v>貫索星</v>
          </cell>
          <cell r="K3360" t="str">
            <v>天胡星</v>
          </cell>
        </row>
        <row r="3361">
          <cell r="H3361" t="str">
            <v>56+17</v>
          </cell>
          <cell r="I3361" t="str">
            <v>－</v>
          </cell>
          <cell r="J3361" t="str">
            <v>調舒星</v>
          </cell>
          <cell r="K3361" t="str">
            <v>天堂星</v>
          </cell>
        </row>
        <row r="3362">
          <cell r="H3362" t="str">
            <v>56+18</v>
          </cell>
          <cell r="I3362" t="str">
            <v>準方位</v>
          </cell>
          <cell r="J3362" t="str">
            <v>鳳閣星</v>
          </cell>
          <cell r="K3362" t="str">
            <v>天将星</v>
          </cell>
        </row>
        <row r="3363">
          <cell r="H3363" t="str">
            <v>56+19</v>
          </cell>
          <cell r="I3363" t="str">
            <v>支合</v>
          </cell>
          <cell r="J3363" t="str">
            <v>司禄星</v>
          </cell>
          <cell r="K3363" t="str">
            <v>天禄星</v>
          </cell>
        </row>
        <row r="3364">
          <cell r="H3364" t="str">
            <v>56+20</v>
          </cell>
          <cell r="I3364" t="str">
            <v>同</v>
          </cell>
          <cell r="J3364" t="str">
            <v>禄存星</v>
          </cell>
          <cell r="K3364" t="str">
            <v>天南星</v>
          </cell>
        </row>
        <row r="3365">
          <cell r="H3365" t="str">
            <v>56+21</v>
          </cell>
          <cell r="I3365" t="str">
            <v>－</v>
          </cell>
          <cell r="J3365" t="str">
            <v>牽牛星</v>
          </cell>
          <cell r="K3365" t="str">
            <v>天恍星</v>
          </cell>
        </row>
        <row r="3366">
          <cell r="H3366" t="str">
            <v>56+22</v>
          </cell>
          <cell r="I3366" t="str">
            <v>－</v>
          </cell>
          <cell r="J3366" t="str">
            <v>車騎星</v>
          </cell>
          <cell r="K3366" t="str">
            <v>天貴星</v>
          </cell>
        </row>
        <row r="3367">
          <cell r="H3367" t="str">
            <v>56+23</v>
          </cell>
          <cell r="I3367" t="str">
            <v>刑</v>
          </cell>
          <cell r="J3367" t="str">
            <v>玉堂星</v>
          </cell>
          <cell r="K3367" t="str">
            <v>天印星</v>
          </cell>
        </row>
        <row r="3368">
          <cell r="H3368" t="str">
            <v>56+24</v>
          </cell>
          <cell r="I3368" t="str">
            <v>半会</v>
          </cell>
          <cell r="J3368" t="str">
            <v>龍高星</v>
          </cell>
          <cell r="K3368" t="str">
            <v>天報星</v>
          </cell>
        </row>
        <row r="3369">
          <cell r="H3369" t="str">
            <v>56+25</v>
          </cell>
          <cell r="I3369" t="str">
            <v>害</v>
          </cell>
          <cell r="J3369" t="str">
            <v>石門星</v>
          </cell>
          <cell r="K3369" t="str">
            <v>天馳星</v>
          </cell>
        </row>
        <row r="3370">
          <cell r="H3370" t="str">
            <v>56+26</v>
          </cell>
          <cell r="I3370" t="str">
            <v>納音</v>
          </cell>
          <cell r="J3370" t="str">
            <v>貫索星</v>
          </cell>
          <cell r="K3370" t="str">
            <v>天庫星</v>
          </cell>
        </row>
        <row r="3371">
          <cell r="H3371" t="str">
            <v>56+27</v>
          </cell>
          <cell r="I3371" t="str">
            <v>－</v>
          </cell>
          <cell r="J3371" t="str">
            <v>調舒星</v>
          </cell>
          <cell r="K3371" t="str">
            <v>天極星</v>
          </cell>
        </row>
        <row r="3372">
          <cell r="H3372" t="str">
            <v>56+28</v>
          </cell>
          <cell r="I3372" t="str">
            <v>半会</v>
          </cell>
          <cell r="J3372" t="str">
            <v>鳳閣星</v>
          </cell>
          <cell r="K3372" t="str">
            <v>天胡星</v>
          </cell>
        </row>
        <row r="3373">
          <cell r="H3373" t="str">
            <v>56+29</v>
          </cell>
          <cell r="I3373" t="str">
            <v>－</v>
          </cell>
          <cell r="J3373" t="str">
            <v>司禄星</v>
          </cell>
          <cell r="K3373" t="str">
            <v>天堂星</v>
          </cell>
        </row>
        <row r="3374">
          <cell r="H3374" t="str">
            <v>56+30</v>
          </cell>
          <cell r="I3374" t="str">
            <v>準方位</v>
          </cell>
          <cell r="J3374" t="str">
            <v>禄存星</v>
          </cell>
          <cell r="K3374" t="str">
            <v>天将星</v>
          </cell>
        </row>
        <row r="3375">
          <cell r="H3375" t="str">
            <v>56+31</v>
          </cell>
          <cell r="I3375" t="str">
            <v>支合</v>
          </cell>
          <cell r="J3375" t="str">
            <v>牽牛星</v>
          </cell>
          <cell r="K3375" t="str">
            <v>天禄星</v>
          </cell>
        </row>
        <row r="3376">
          <cell r="H3376" t="str">
            <v>56+32</v>
          </cell>
          <cell r="I3376" t="str">
            <v>同</v>
          </cell>
          <cell r="J3376" t="str">
            <v>車騎星</v>
          </cell>
          <cell r="K3376" t="str">
            <v>天南星</v>
          </cell>
        </row>
        <row r="3377">
          <cell r="H3377" t="str">
            <v>56+33</v>
          </cell>
          <cell r="I3377" t="str">
            <v>－</v>
          </cell>
          <cell r="J3377" t="str">
            <v>玉堂星</v>
          </cell>
          <cell r="K3377" t="str">
            <v>天恍星</v>
          </cell>
        </row>
        <row r="3378">
          <cell r="H3378" t="str">
            <v>56+34</v>
          </cell>
          <cell r="I3378" t="str">
            <v>－</v>
          </cell>
          <cell r="J3378" t="str">
            <v>龍高星</v>
          </cell>
          <cell r="K3378" t="str">
            <v>天貴星</v>
          </cell>
        </row>
        <row r="3379">
          <cell r="H3379" t="str">
            <v>56+35</v>
          </cell>
          <cell r="I3379" t="str">
            <v>刑</v>
          </cell>
          <cell r="J3379" t="str">
            <v>石門星</v>
          </cell>
          <cell r="K3379" t="str">
            <v>天印星</v>
          </cell>
        </row>
        <row r="3380">
          <cell r="H3380" t="str">
            <v>56+36</v>
          </cell>
          <cell r="I3380" t="str">
            <v>大半会</v>
          </cell>
          <cell r="J3380" t="str">
            <v>貫索星</v>
          </cell>
          <cell r="K3380" t="str">
            <v>天報星</v>
          </cell>
        </row>
        <row r="3381">
          <cell r="H3381" t="str">
            <v>56+37</v>
          </cell>
          <cell r="I3381" t="str">
            <v>害</v>
          </cell>
          <cell r="J3381" t="str">
            <v>調舒星</v>
          </cell>
          <cell r="K3381" t="str">
            <v>天馳星</v>
          </cell>
        </row>
        <row r="3382">
          <cell r="H3382" t="str">
            <v>56+38</v>
          </cell>
          <cell r="I3382" t="str">
            <v>対冲</v>
          </cell>
          <cell r="J3382" t="str">
            <v>鳳閣星</v>
          </cell>
          <cell r="K3382" t="str">
            <v>天庫星</v>
          </cell>
        </row>
        <row r="3383">
          <cell r="H3383" t="str">
            <v>56+39</v>
          </cell>
          <cell r="I3383" t="str">
            <v>－</v>
          </cell>
          <cell r="J3383" t="str">
            <v>司禄星</v>
          </cell>
          <cell r="K3383" t="str">
            <v>天極星</v>
          </cell>
        </row>
        <row r="3384">
          <cell r="H3384" t="str">
            <v>56+40</v>
          </cell>
          <cell r="I3384" t="str">
            <v>半会</v>
          </cell>
          <cell r="J3384" t="str">
            <v>禄存星</v>
          </cell>
          <cell r="K3384" t="str">
            <v>天胡星</v>
          </cell>
        </row>
        <row r="3385">
          <cell r="H3385" t="str">
            <v>56+41</v>
          </cell>
          <cell r="I3385" t="str">
            <v>－</v>
          </cell>
          <cell r="J3385" t="str">
            <v>牽牛星</v>
          </cell>
          <cell r="K3385" t="str">
            <v>天堂星</v>
          </cell>
        </row>
        <row r="3386">
          <cell r="H3386" t="str">
            <v>56+42</v>
          </cell>
          <cell r="I3386" t="str">
            <v>準方位</v>
          </cell>
          <cell r="J3386" t="str">
            <v>車騎星</v>
          </cell>
          <cell r="K3386" t="str">
            <v>天将星</v>
          </cell>
        </row>
        <row r="3387">
          <cell r="H3387" t="str">
            <v>56+43</v>
          </cell>
          <cell r="I3387" t="str">
            <v>支合</v>
          </cell>
          <cell r="J3387" t="str">
            <v>玉堂星</v>
          </cell>
          <cell r="K3387" t="str">
            <v>天禄星</v>
          </cell>
        </row>
        <row r="3388">
          <cell r="H3388" t="str">
            <v>56+44</v>
          </cell>
          <cell r="I3388" t="str">
            <v>同</v>
          </cell>
          <cell r="J3388" t="str">
            <v>龍高星</v>
          </cell>
          <cell r="K3388" t="str">
            <v>天南星</v>
          </cell>
        </row>
        <row r="3389">
          <cell r="H3389" t="str">
            <v>56+45</v>
          </cell>
          <cell r="I3389" t="str">
            <v>－</v>
          </cell>
          <cell r="J3389" t="str">
            <v>石門星</v>
          </cell>
          <cell r="K3389" t="str">
            <v>天恍星</v>
          </cell>
        </row>
        <row r="3390">
          <cell r="H3390" t="str">
            <v>56+46</v>
          </cell>
          <cell r="I3390" t="str">
            <v>－</v>
          </cell>
          <cell r="J3390" t="str">
            <v>貫索星</v>
          </cell>
          <cell r="K3390" t="str">
            <v>天貴星</v>
          </cell>
        </row>
        <row r="3391">
          <cell r="H3391" t="str">
            <v>56+47</v>
          </cell>
          <cell r="I3391" t="str">
            <v>刑</v>
          </cell>
          <cell r="J3391" t="str">
            <v>調舒星</v>
          </cell>
          <cell r="K3391" t="str">
            <v>天印星</v>
          </cell>
        </row>
        <row r="3392">
          <cell r="H3392" t="str">
            <v>56+48</v>
          </cell>
          <cell r="I3392" t="str">
            <v>半会</v>
          </cell>
          <cell r="J3392" t="str">
            <v>鳳閣星</v>
          </cell>
          <cell r="K3392" t="str">
            <v>天報星</v>
          </cell>
        </row>
        <row r="3393">
          <cell r="H3393" t="str">
            <v>56+49</v>
          </cell>
          <cell r="I3393" t="str">
            <v>害</v>
          </cell>
          <cell r="J3393" t="str">
            <v>司禄星</v>
          </cell>
          <cell r="K3393" t="str">
            <v>天馳星</v>
          </cell>
        </row>
        <row r="3394">
          <cell r="H3394" t="str">
            <v>56+50</v>
          </cell>
          <cell r="I3394" t="str">
            <v>天剋地冲</v>
          </cell>
          <cell r="J3394" t="str">
            <v>禄存星</v>
          </cell>
          <cell r="K3394" t="str">
            <v>天庫星</v>
          </cell>
        </row>
        <row r="3395">
          <cell r="H3395" t="str">
            <v>56+51</v>
          </cell>
          <cell r="I3395" t="str">
            <v>－</v>
          </cell>
          <cell r="J3395" t="str">
            <v>牽牛星</v>
          </cell>
          <cell r="K3395" t="str">
            <v>天極星</v>
          </cell>
        </row>
        <row r="3396">
          <cell r="H3396" t="str">
            <v>56+52</v>
          </cell>
          <cell r="I3396" t="str">
            <v>半会</v>
          </cell>
          <cell r="J3396" t="str">
            <v>車騎星</v>
          </cell>
          <cell r="K3396" t="str">
            <v>天胡星</v>
          </cell>
        </row>
        <row r="3397">
          <cell r="H3397" t="str">
            <v>56+53</v>
          </cell>
          <cell r="I3397" t="str">
            <v>－</v>
          </cell>
          <cell r="J3397" t="str">
            <v>玉堂星</v>
          </cell>
          <cell r="K3397" t="str">
            <v>天堂星</v>
          </cell>
        </row>
        <row r="3398">
          <cell r="H3398" t="str">
            <v>56+54</v>
          </cell>
          <cell r="I3398" t="str">
            <v>準方位</v>
          </cell>
          <cell r="J3398" t="str">
            <v>龍高星</v>
          </cell>
          <cell r="K3398" t="str">
            <v>天将星</v>
          </cell>
        </row>
        <row r="3399">
          <cell r="H3399" t="str">
            <v>56+55</v>
          </cell>
          <cell r="I3399" t="str">
            <v>支合</v>
          </cell>
          <cell r="J3399" t="str">
            <v>石門星</v>
          </cell>
          <cell r="K3399" t="str">
            <v>天禄星</v>
          </cell>
        </row>
        <row r="3400">
          <cell r="H3400" t="str">
            <v>56+56</v>
          </cell>
          <cell r="I3400" t="str">
            <v>律音</v>
          </cell>
          <cell r="J3400" t="str">
            <v>貫索星</v>
          </cell>
          <cell r="K3400" t="str">
            <v>天南星</v>
          </cell>
        </row>
        <row r="3401">
          <cell r="H3401" t="str">
            <v>56+57</v>
          </cell>
          <cell r="I3401" t="str">
            <v>－</v>
          </cell>
          <cell r="J3401" t="str">
            <v>調舒星</v>
          </cell>
          <cell r="K3401" t="str">
            <v>天恍星</v>
          </cell>
        </row>
        <row r="3402">
          <cell r="H3402" t="str">
            <v>56+58</v>
          </cell>
          <cell r="I3402" t="str">
            <v>－</v>
          </cell>
          <cell r="J3402" t="str">
            <v>鳳閣星</v>
          </cell>
          <cell r="K3402" t="str">
            <v>天貴星</v>
          </cell>
        </row>
        <row r="3403">
          <cell r="H3403" t="str">
            <v>56+59</v>
          </cell>
          <cell r="I3403" t="str">
            <v>刑</v>
          </cell>
          <cell r="J3403" t="str">
            <v>司禄星</v>
          </cell>
          <cell r="K3403" t="str">
            <v>天印星</v>
          </cell>
        </row>
        <row r="3404">
          <cell r="H3404" t="str">
            <v>56+60</v>
          </cell>
          <cell r="I3404" t="str">
            <v>半会</v>
          </cell>
          <cell r="J3404" t="str">
            <v>禄存星</v>
          </cell>
          <cell r="K3404" t="str">
            <v>天報星</v>
          </cell>
        </row>
        <row r="3405">
          <cell r="H3405" t="str">
            <v>57+1</v>
          </cell>
          <cell r="I3405" t="str">
            <v>半会</v>
          </cell>
          <cell r="J3405" t="str">
            <v>禄存星</v>
          </cell>
          <cell r="K3405" t="str">
            <v>天極星</v>
          </cell>
        </row>
        <row r="3406">
          <cell r="H3406" t="str">
            <v>57+2</v>
          </cell>
          <cell r="I3406" t="str">
            <v>－</v>
          </cell>
          <cell r="J3406" t="str">
            <v>司禄星</v>
          </cell>
          <cell r="K3406" t="str">
            <v>天庫星</v>
          </cell>
        </row>
        <row r="3407">
          <cell r="H3407" t="str">
            <v>57+3</v>
          </cell>
          <cell r="I3407" t="str">
            <v>天剋地冲</v>
          </cell>
          <cell r="J3407" t="str">
            <v>車騎星</v>
          </cell>
          <cell r="K3407" t="str">
            <v>天馳星</v>
          </cell>
        </row>
        <row r="3408">
          <cell r="H3408" t="str">
            <v>57+4</v>
          </cell>
          <cell r="I3408" t="str">
            <v>－</v>
          </cell>
          <cell r="J3408" t="str">
            <v>牽牛星</v>
          </cell>
          <cell r="K3408" t="str">
            <v>天報星</v>
          </cell>
        </row>
        <row r="3409">
          <cell r="H3409" t="str">
            <v>57+5</v>
          </cell>
          <cell r="I3409" t="str">
            <v>半会</v>
          </cell>
          <cell r="J3409" t="str">
            <v>龍高星</v>
          </cell>
          <cell r="K3409" t="str">
            <v>天印星</v>
          </cell>
        </row>
        <row r="3410">
          <cell r="H3410" t="str">
            <v>57+6</v>
          </cell>
          <cell r="I3410" t="str">
            <v>支合</v>
          </cell>
          <cell r="J3410" t="str">
            <v>玉堂星</v>
          </cell>
          <cell r="K3410" t="str">
            <v>天貴星</v>
          </cell>
        </row>
        <row r="3411">
          <cell r="H3411" t="str">
            <v>57+7</v>
          </cell>
          <cell r="I3411" t="str">
            <v>－</v>
          </cell>
          <cell r="J3411" t="str">
            <v>貫索星</v>
          </cell>
          <cell r="K3411" t="str">
            <v>天恍星</v>
          </cell>
        </row>
        <row r="3412">
          <cell r="H3412" t="str">
            <v>57+8</v>
          </cell>
          <cell r="I3412" t="str">
            <v>－</v>
          </cell>
          <cell r="J3412" t="str">
            <v>石門星</v>
          </cell>
          <cell r="K3412" t="str">
            <v>天南星</v>
          </cell>
        </row>
        <row r="3413">
          <cell r="H3413" t="str">
            <v>57+9</v>
          </cell>
          <cell r="I3413" t="str">
            <v>同</v>
          </cell>
          <cell r="J3413" t="str">
            <v>鳳閣星</v>
          </cell>
          <cell r="K3413" t="str">
            <v>天禄星</v>
          </cell>
        </row>
        <row r="3414">
          <cell r="H3414" t="str">
            <v>57+10</v>
          </cell>
          <cell r="I3414" t="str">
            <v>準方位</v>
          </cell>
          <cell r="J3414" t="str">
            <v>調舒星</v>
          </cell>
          <cell r="K3414" t="str">
            <v>天将星</v>
          </cell>
        </row>
        <row r="3415">
          <cell r="H3415" t="str">
            <v>57+11</v>
          </cell>
          <cell r="I3415" t="str">
            <v>準方位</v>
          </cell>
          <cell r="J3415" t="str">
            <v>禄存星</v>
          </cell>
          <cell r="K3415" t="str">
            <v>天堂星</v>
          </cell>
        </row>
        <row r="3416">
          <cell r="H3416" t="str">
            <v>57+12</v>
          </cell>
          <cell r="I3416" t="str">
            <v>害</v>
          </cell>
          <cell r="J3416" t="str">
            <v>司禄星</v>
          </cell>
          <cell r="K3416" t="str">
            <v>天胡星</v>
          </cell>
        </row>
        <row r="3417">
          <cell r="H3417" t="str">
            <v>57+13</v>
          </cell>
          <cell r="I3417" t="str">
            <v>半会</v>
          </cell>
          <cell r="J3417" t="str">
            <v>車騎星</v>
          </cell>
          <cell r="K3417" t="str">
            <v>天極星</v>
          </cell>
        </row>
        <row r="3418">
          <cell r="H3418" t="str">
            <v>57+14</v>
          </cell>
          <cell r="I3418" t="str">
            <v>－</v>
          </cell>
          <cell r="J3418" t="str">
            <v>牽牛星</v>
          </cell>
          <cell r="K3418" t="str">
            <v>天庫星</v>
          </cell>
        </row>
        <row r="3419">
          <cell r="H3419" t="str">
            <v>57+15</v>
          </cell>
          <cell r="I3419" t="str">
            <v>対冲</v>
          </cell>
          <cell r="J3419" t="str">
            <v>龍高星</v>
          </cell>
          <cell r="K3419" t="str">
            <v>天馳星</v>
          </cell>
        </row>
        <row r="3420">
          <cell r="H3420" t="str">
            <v>57+16</v>
          </cell>
          <cell r="I3420" t="str">
            <v>－</v>
          </cell>
          <cell r="J3420" t="str">
            <v>玉堂星</v>
          </cell>
          <cell r="K3420" t="str">
            <v>天報星</v>
          </cell>
        </row>
        <row r="3421">
          <cell r="H3421" t="str">
            <v>57+17</v>
          </cell>
          <cell r="I3421" t="str">
            <v>大半会</v>
          </cell>
          <cell r="J3421" t="str">
            <v>貫索星</v>
          </cell>
          <cell r="K3421" t="str">
            <v>天印星</v>
          </cell>
        </row>
        <row r="3422">
          <cell r="H3422" t="str">
            <v>57+18</v>
          </cell>
          <cell r="I3422" t="str">
            <v>支合</v>
          </cell>
          <cell r="J3422" t="str">
            <v>石門星</v>
          </cell>
          <cell r="K3422" t="str">
            <v>天貴星</v>
          </cell>
        </row>
        <row r="3423">
          <cell r="H3423" t="str">
            <v>57+19</v>
          </cell>
          <cell r="I3423" t="str">
            <v>－</v>
          </cell>
          <cell r="J3423" t="str">
            <v>鳳閣星</v>
          </cell>
          <cell r="K3423" t="str">
            <v>天恍星</v>
          </cell>
        </row>
        <row r="3424">
          <cell r="H3424" t="str">
            <v>57+20</v>
          </cell>
          <cell r="I3424" t="str">
            <v>－</v>
          </cell>
          <cell r="J3424" t="str">
            <v>調舒星</v>
          </cell>
          <cell r="K3424" t="str">
            <v>天南星</v>
          </cell>
        </row>
        <row r="3425">
          <cell r="H3425" t="str">
            <v>57+21</v>
          </cell>
          <cell r="I3425" t="str">
            <v>同</v>
          </cell>
          <cell r="J3425" t="str">
            <v>禄存星</v>
          </cell>
          <cell r="K3425" t="str">
            <v>天禄星</v>
          </cell>
        </row>
        <row r="3426">
          <cell r="H3426" t="str">
            <v>57+22</v>
          </cell>
          <cell r="I3426" t="str">
            <v>準方位</v>
          </cell>
          <cell r="J3426" t="str">
            <v>司禄星</v>
          </cell>
          <cell r="K3426" t="str">
            <v>天将星</v>
          </cell>
        </row>
        <row r="3427">
          <cell r="H3427" t="str">
            <v>57+23</v>
          </cell>
          <cell r="I3427" t="str">
            <v>準方位</v>
          </cell>
          <cell r="J3427" t="str">
            <v>車騎星</v>
          </cell>
          <cell r="K3427" t="str">
            <v>天堂星</v>
          </cell>
        </row>
        <row r="3428">
          <cell r="H3428" t="str">
            <v>57+24</v>
          </cell>
          <cell r="I3428" t="str">
            <v>害</v>
          </cell>
          <cell r="J3428" t="str">
            <v>牽牛星</v>
          </cell>
          <cell r="K3428" t="str">
            <v>天胡星</v>
          </cell>
        </row>
        <row r="3429">
          <cell r="H3429" t="str">
            <v>57+25</v>
          </cell>
          <cell r="I3429" t="str">
            <v>半会</v>
          </cell>
          <cell r="J3429" t="str">
            <v>龍高星</v>
          </cell>
          <cell r="K3429" t="str">
            <v>天極星</v>
          </cell>
        </row>
        <row r="3430">
          <cell r="H3430" t="str">
            <v>57+26</v>
          </cell>
          <cell r="I3430" t="str">
            <v>－</v>
          </cell>
          <cell r="J3430" t="str">
            <v>玉堂星</v>
          </cell>
          <cell r="K3430" t="str">
            <v>天庫星</v>
          </cell>
        </row>
        <row r="3431">
          <cell r="H3431" t="str">
            <v>57+27</v>
          </cell>
          <cell r="I3431" t="str">
            <v>納音</v>
          </cell>
          <cell r="J3431" t="str">
            <v>貫索星</v>
          </cell>
          <cell r="K3431" t="str">
            <v>天馳星</v>
          </cell>
        </row>
        <row r="3432">
          <cell r="H3432" t="str">
            <v>57+28</v>
          </cell>
          <cell r="I3432" t="str">
            <v>－</v>
          </cell>
          <cell r="J3432" t="str">
            <v>石門星</v>
          </cell>
          <cell r="K3432" t="str">
            <v>天報星</v>
          </cell>
        </row>
        <row r="3433">
          <cell r="H3433" t="str">
            <v>57+29</v>
          </cell>
          <cell r="I3433" t="str">
            <v>半会</v>
          </cell>
          <cell r="J3433" t="str">
            <v>鳳閣星</v>
          </cell>
          <cell r="K3433" t="str">
            <v>天印星</v>
          </cell>
        </row>
        <row r="3434">
          <cell r="H3434" t="str">
            <v>57+30</v>
          </cell>
          <cell r="I3434" t="str">
            <v>支合</v>
          </cell>
          <cell r="J3434" t="str">
            <v>調舒星</v>
          </cell>
          <cell r="K3434" t="str">
            <v>天貴星</v>
          </cell>
        </row>
        <row r="3435">
          <cell r="H3435" t="str">
            <v>57+31</v>
          </cell>
          <cell r="I3435" t="str">
            <v>－</v>
          </cell>
          <cell r="J3435" t="str">
            <v>禄存星</v>
          </cell>
          <cell r="K3435" t="str">
            <v>天恍星</v>
          </cell>
        </row>
        <row r="3436">
          <cell r="H3436" t="str">
            <v>57+32</v>
          </cell>
          <cell r="I3436" t="str">
            <v>－</v>
          </cell>
          <cell r="J3436" t="str">
            <v>司禄星</v>
          </cell>
          <cell r="K3436" t="str">
            <v>天南星</v>
          </cell>
        </row>
        <row r="3437">
          <cell r="H3437" t="str">
            <v>57+33</v>
          </cell>
          <cell r="I3437" t="str">
            <v>同</v>
          </cell>
          <cell r="J3437" t="str">
            <v>車騎星</v>
          </cell>
          <cell r="K3437" t="str">
            <v>天禄星</v>
          </cell>
        </row>
        <row r="3438">
          <cell r="H3438" t="str">
            <v>57+34</v>
          </cell>
          <cell r="I3438" t="str">
            <v>準方位</v>
          </cell>
          <cell r="J3438" t="str">
            <v>牽牛星</v>
          </cell>
          <cell r="K3438" t="str">
            <v>天将星</v>
          </cell>
        </row>
        <row r="3439">
          <cell r="H3439" t="str">
            <v>57+35</v>
          </cell>
          <cell r="I3439" t="str">
            <v>準方位</v>
          </cell>
          <cell r="J3439" t="str">
            <v>龍高星</v>
          </cell>
          <cell r="K3439" t="str">
            <v>天堂星</v>
          </cell>
        </row>
        <row r="3440">
          <cell r="H3440" t="str">
            <v>57+36</v>
          </cell>
          <cell r="I3440" t="str">
            <v>害</v>
          </cell>
          <cell r="J3440" t="str">
            <v>玉堂星</v>
          </cell>
          <cell r="K3440" t="str">
            <v>天胡星</v>
          </cell>
        </row>
        <row r="3441">
          <cell r="H3441" t="str">
            <v>57+37</v>
          </cell>
          <cell r="I3441" t="str">
            <v>大半会</v>
          </cell>
          <cell r="J3441" t="str">
            <v>貫索星</v>
          </cell>
          <cell r="K3441" t="str">
            <v>天極星</v>
          </cell>
        </row>
        <row r="3442">
          <cell r="H3442" t="str">
            <v>57+38</v>
          </cell>
          <cell r="I3442" t="str">
            <v>－</v>
          </cell>
          <cell r="J3442" t="str">
            <v>石門星</v>
          </cell>
          <cell r="K3442" t="str">
            <v>天庫星</v>
          </cell>
        </row>
        <row r="3443">
          <cell r="H3443" t="str">
            <v>57+39</v>
          </cell>
          <cell r="I3443" t="str">
            <v>対冲</v>
          </cell>
          <cell r="J3443" t="str">
            <v>鳳閣星</v>
          </cell>
          <cell r="K3443" t="str">
            <v>天馳星</v>
          </cell>
        </row>
        <row r="3444">
          <cell r="H3444" t="str">
            <v>57+40</v>
          </cell>
          <cell r="I3444" t="str">
            <v>－</v>
          </cell>
          <cell r="J3444" t="str">
            <v>調舒星</v>
          </cell>
          <cell r="K3444" t="str">
            <v>天報星</v>
          </cell>
        </row>
        <row r="3445">
          <cell r="H3445" t="str">
            <v>57+41</v>
          </cell>
          <cell r="I3445" t="str">
            <v>半会</v>
          </cell>
          <cell r="J3445" t="str">
            <v>禄存星</v>
          </cell>
          <cell r="K3445" t="str">
            <v>天印星</v>
          </cell>
        </row>
        <row r="3446">
          <cell r="H3446" t="str">
            <v>57+42</v>
          </cell>
          <cell r="I3446" t="str">
            <v>支合</v>
          </cell>
          <cell r="J3446" t="str">
            <v>司禄星</v>
          </cell>
          <cell r="K3446" t="str">
            <v>天貴星</v>
          </cell>
        </row>
        <row r="3447">
          <cell r="H3447" t="str">
            <v>57+43</v>
          </cell>
          <cell r="I3447" t="str">
            <v>－</v>
          </cell>
          <cell r="J3447" t="str">
            <v>車騎星</v>
          </cell>
          <cell r="K3447" t="str">
            <v>天恍星</v>
          </cell>
        </row>
        <row r="3448">
          <cell r="H3448" t="str">
            <v>57+44</v>
          </cell>
          <cell r="I3448" t="str">
            <v>－</v>
          </cell>
          <cell r="J3448" t="str">
            <v>牽牛星</v>
          </cell>
          <cell r="K3448" t="str">
            <v>天南星</v>
          </cell>
        </row>
        <row r="3449">
          <cell r="H3449" t="str">
            <v>57+45</v>
          </cell>
          <cell r="I3449" t="str">
            <v>同</v>
          </cell>
          <cell r="J3449" t="str">
            <v>龍高星</v>
          </cell>
          <cell r="K3449" t="str">
            <v>天禄星</v>
          </cell>
        </row>
        <row r="3450">
          <cell r="H3450" t="str">
            <v>57+46</v>
          </cell>
          <cell r="I3450" t="str">
            <v>準方位</v>
          </cell>
          <cell r="J3450" t="str">
            <v>玉堂星</v>
          </cell>
          <cell r="K3450" t="str">
            <v>天将星</v>
          </cell>
        </row>
        <row r="3451">
          <cell r="H3451" t="str">
            <v>57+47</v>
          </cell>
          <cell r="I3451" t="str">
            <v>準方位</v>
          </cell>
          <cell r="J3451" t="str">
            <v>貫索星</v>
          </cell>
          <cell r="K3451" t="str">
            <v>天堂星</v>
          </cell>
        </row>
        <row r="3452">
          <cell r="H3452" t="str">
            <v>57+48</v>
          </cell>
          <cell r="I3452" t="str">
            <v>害</v>
          </cell>
          <cell r="J3452" t="str">
            <v>石門星</v>
          </cell>
          <cell r="K3452" t="str">
            <v>天胡星</v>
          </cell>
        </row>
        <row r="3453">
          <cell r="H3453" t="str">
            <v>57+49</v>
          </cell>
          <cell r="I3453" t="str">
            <v>半会</v>
          </cell>
          <cell r="J3453" t="str">
            <v>鳳閣星</v>
          </cell>
          <cell r="K3453" t="str">
            <v>天極星</v>
          </cell>
        </row>
        <row r="3454">
          <cell r="H3454" t="str">
            <v>57+50</v>
          </cell>
          <cell r="I3454" t="str">
            <v>－</v>
          </cell>
          <cell r="J3454" t="str">
            <v>調舒星</v>
          </cell>
          <cell r="K3454" t="str">
            <v>天庫星</v>
          </cell>
        </row>
        <row r="3455">
          <cell r="H3455" t="str">
            <v>57+51</v>
          </cell>
          <cell r="I3455" t="str">
            <v>天剋地冲</v>
          </cell>
          <cell r="J3455" t="str">
            <v>禄存星</v>
          </cell>
          <cell r="K3455" t="str">
            <v>天馳星</v>
          </cell>
        </row>
        <row r="3456">
          <cell r="H3456" t="str">
            <v>57+52</v>
          </cell>
          <cell r="I3456" t="str">
            <v>－</v>
          </cell>
          <cell r="J3456" t="str">
            <v>司禄星</v>
          </cell>
          <cell r="K3456" t="str">
            <v>天報星</v>
          </cell>
        </row>
        <row r="3457">
          <cell r="H3457" t="str">
            <v>57+53</v>
          </cell>
          <cell r="I3457" t="str">
            <v>半会</v>
          </cell>
          <cell r="J3457" t="str">
            <v>車騎星</v>
          </cell>
          <cell r="K3457" t="str">
            <v>天印星</v>
          </cell>
        </row>
        <row r="3458">
          <cell r="H3458" t="str">
            <v>57+54</v>
          </cell>
          <cell r="I3458" t="str">
            <v>支合</v>
          </cell>
          <cell r="J3458" t="str">
            <v>牽牛星</v>
          </cell>
          <cell r="K3458" t="str">
            <v>天貴星</v>
          </cell>
        </row>
        <row r="3459">
          <cell r="H3459" t="str">
            <v>57+55</v>
          </cell>
          <cell r="I3459" t="str">
            <v>－</v>
          </cell>
          <cell r="J3459" t="str">
            <v>龍高星</v>
          </cell>
          <cell r="K3459" t="str">
            <v>天恍星</v>
          </cell>
        </row>
        <row r="3460">
          <cell r="H3460" t="str">
            <v>57+56</v>
          </cell>
          <cell r="I3460" t="str">
            <v>－</v>
          </cell>
          <cell r="J3460" t="str">
            <v>玉堂星</v>
          </cell>
          <cell r="K3460" t="str">
            <v>天南星</v>
          </cell>
        </row>
        <row r="3461">
          <cell r="H3461" t="str">
            <v>57+57</v>
          </cell>
          <cell r="I3461" t="str">
            <v>律音</v>
          </cell>
          <cell r="J3461" t="str">
            <v>貫索星</v>
          </cell>
          <cell r="K3461" t="str">
            <v>天禄星</v>
          </cell>
        </row>
        <row r="3462">
          <cell r="H3462" t="str">
            <v>57+58</v>
          </cell>
          <cell r="I3462" t="str">
            <v>準方位</v>
          </cell>
          <cell r="J3462" t="str">
            <v>石門星</v>
          </cell>
          <cell r="K3462" t="str">
            <v>天将星</v>
          </cell>
        </row>
        <row r="3463">
          <cell r="H3463" t="str">
            <v>57+59</v>
          </cell>
          <cell r="I3463" t="str">
            <v>準方位</v>
          </cell>
          <cell r="J3463" t="str">
            <v>鳳閣星</v>
          </cell>
          <cell r="K3463" t="str">
            <v>天堂星</v>
          </cell>
        </row>
        <row r="3464">
          <cell r="H3464" t="str">
            <v>57+60</v>
          </cell>
          <cell r="I3464" t="str">
            <v>害</v>
          </cell>
          <cell r="J3464" t="str">
            <v>調舒星</v>
          </cell>
          <cell r="K3464" t="str">
            <v>天胡星</v>
          </cell>
        </row>
        <row r="3465">
          <cell r="H3465" t="str">
            <v>58+1</v>
          </cell>
          <cell r="I3465" t="str">
            <v>破</v>
          </cell>
          <cell r="J3465" t="str">
            <v>司禄星</v>
          </cell>
          <cell r="K3465" t="str">
            <v>天貴星</v>
          </cell>
        </row>
        <row r="3466">
          <cell r="H3466" t="str">
            <v>58+2</v>
          </cell>
          <cell r="I3466" t="str">
            <v>半会</v>
          </cell>
          <cell r="J3466" t="str">
            <v>禄存星</v>
          </cell>
          <cell r="K3466" t="str">
            <v>天印星</v>
          </cell>
        </row>
        <row r="3467">
          <cell r="H3467" t="str">
            <v>58+3</v>
          </cell>
          <cell r="I3467" t="str">
            <v>－</v>
          </cell>
          <cell r="J3467" t="str">
            <v>牽牛星</v>
          </cell>
          <cell r="K3467" t="str">
            <v>天報星</v>
          </cell>
        </row>
        <row r="3468">
          <cell r="H3468" t="str">
            <v>58+4</v>
          </cell>
          <cell r="I3468" t="str">
            <v>天剋地冲</v>
          </cell>
          <cell r="J3468" t="str">
            <v>車騎星</v>
          </cell>
          <cell r="K3468" t="str">
            <v>天馳星</v>
          </cell>
        </row>
        <row r="3469">
          <cell r="H3469" t="str">
            <v>58+5</v>
          </cell>
          <cell r="I3469" t="str">
            <v>支合</v>
          </cell>
          <cell r="J3469" t="str">
            <v>玉堂星</v>
          </cell>
          <cell r="K3469" t="str">
            <v>天庫星</v>
          </cell>
        </row>
        <row r="3470">
          <cell r="H3470" t="str">
            <v>58+6</v>
          </cell>
          <cell r="I3470" t="str">
            <v>半会</v>
          </cell>
          <cell r="J3470" t="str">
            <v>龍高星</v>
          </cell>
          <cell r="K3470" t="str">
            <v>天極星</v>
          </cell>
        </row>
        <row r="3471">
          <cell r="H3471" t="str">
            <v>58+7</v>
          </cell>
          <cell r="I3471" t="str">
            <v>－</v>
          </cell>
          <cell r="J3471" t="str">
            <v>石門星</v>
          </cell>
          <cell r="K3471" t="str">
            <v>天胡星</v>
          </cell>
        </row>
        <row r="3472">
          <cell r="H3472" t="str">
            <v>58+8</v>
          </cell>
          <cell r="I3472" t="str">
            <v>－</v>
          </cell>
          <cell r="J3472" t="str">
            <v>貫索星</v>
          </cell>
          <cell r="K3472" t="str">
            <v>天堂星</v>
          </cell>
        </row>
        <row r="3473">
          <cell r="H3473" t="str">
            <v>58+9</v>
          </cell>
          <cell r="I3473" t="str">
            <v>準方位</v>
          </cell>
          <cell r="J3473" t="str">
            <v>調舒星</v>
          </cell>
          <cell r="K3473" t="str">
            <v>天将星</v>
          </cell>
        </row>
        <row r="3474">
          <cell r="H3474" t="str">
            <v>58+10</v>
          </cell>
          <cell r="I3474" t="str">
            <v>自刑</v>
          </cell>
          <cell r="J3474" t="str">
            <v>鳳閣星</v>
          </cell>
          <cell r="K3474" t="str">
            <v>天禄星</v>
          </cell>
        </row>
        <row r="3475">
          <cell r="H3475" t="str">
            <v>58+11</v>
          </cell>
          <cell r="I3475" t="str">
            <v>害</v>
          </cell>
          <cell r="J3475" t="str">
            <v>司禄星</v>
          </cell>
          <cell r="K3475" t="str">
            <v>天南星</v>
          </cell>
        </row>
        <row r="3476">
          <cell r="H3476" t="str">
            <v>58+12</v>
          </cell>
          <cell r="I3476" t="str">
            <v>－</v>
          </cell>
          <cell r="J3476" t="str">
            <v>禄存星</v>
          </cell>
          <cell r="K3476" t="str">
            <v>天恍星</v>
          </cell>
        </row>
        <row r="3477">
          <cell r="H3477" t="str">
            <v>58+13</v>
          </cell>
          <cell r="I3477" t="str">
            <v>破</v>
          </cell>
          <cell r="J3477" t="str">
            <v>牽牛星</v>
          </cell>
          <cell r="K3477" t="str">
            <v>天貴星</v>
          </cell>
        </row>
        <row r="3478">
          <cell r="H3478" t="str">
            <v>58+14</v>
          </cell>
          <cell r="I3478" t="str">
            <v>半会</v>
          </cell>
          <cell r="J3478" t="str">
            <v>車騎星</v>
          </cell>
          <cell r="K3478" t="str">
            <v>天印星</v>
          </cell>
        </row>
        <row r="3479">
          <cell r="H3479" t="str">
            <v>58+15</v>
          </cell>
          <cell r="I3479" t="str">
            <v>－</v>
          </cell>
          <cell r="J3479" t="str">
            <v>玉堂星</v>
          </cell>
          <cell r="K3479" t="str">
            <v>天報星</v>
          </cell>
        </row>
        <row r="3480">
          <cell r="H3480" t="str">
            <v>58+16</v>
          </cell>
          <cell r="I3480" t="str">
            <v>対冲</v>
          </cell>
          <cell r="J3480" t="str">
            <v>龍高星</v>
          </cell>
          <cell r="K3480" t="str">
            <v>天馳星</v>
          </cell>
        </row>
        <row r="3481">
          <cell r="H3481" t="str">
            <v>58+17</v>
          </cell>
          <cell r="I3481" t="str">
            <v>支合</v>
          </cell>
          <cell r="J3481" t="str">
            <v>石門星</v>
          </cell>
          <cell r="K3481" t="str">
            <v>天庫星</v>
          </cell>
        </row>
        <row r="3482">
          <cell r="H3482" t="str">
            <v>58+18</v>
          </cell>
          <cell r="I3482" t="str">
            <v>大半会</v>
          </cell>
          <cell r="J3482" t="str">
            <v>貫索星</v>
          </cell>
          <cell r="K3482" t="str">
            <v>天極星</v>
          </cell>
        </row>
        <row r="3483">
          <cell r="H3483" t="str">
            <v>58+19</v>
          </cell>
          <cell r="I3483" t="str">
            <v>－</v>
          </cell>
          <cell r="J3483" t="str">
            <v>調舒星</v>
          </cell>
          <cell r="K3483" t="str">
            <v>天胡星</v>
          </cell>
        </row>
        <row r="3484">
          <cell r="H3484" t="str">
            <v>58+20</v>
          </cell>
          <cell r="I3484" t="str">
            <v>－</v>
          </cell>
          <cell r="J3484" t="str">
            <v>鳳閣星</v>
          </cell>
          <cell r="K3484" t="str">
            <v>天堂星</v>
          </cell>
        </row>
        <row r="3485">
          <cell r="H3485" t="str">
            <v>58+21</v>
          </cell>
          <cell r="I3485" t="str">
            <v>準方位</v>
          </cell>
          <cell r="J3485" t="str">
            <v>司禄星</v>
          </cell>
          <cell r="K3485" t="str">
            <v>天将星</v>
          </cell>
        </row>
        <row r="3486">
          <cell r="H3486" t="str">
            <v>58+22</v>
          </cell>
          <cell r="I3486" t="str">
            <v>自刑</v>
          </cell>
          <cell r="J3486" t="str">
            <v>禄存星</v>
          </cell>
          <cell r="K3486" t="str">
            <v>天禄星</v>
          </cell>
        </row>
        <row r="3487">
          <cell r="H3487" t="str">
            <v>58+23</v>
          </cell>
          <cell r="I3487" t="str">
            <v>害</v>
          </cell>
          <cell r="J3487" t="str">
            <v>牽牛星</v>
          </cell>
          <cell r="K3487" t="str">
            <v>天南星</v>
          </cell>
        </row>
        <row r="3488">
          <cell r="H3488" t="str">
            <v>58+24</v>
          </cell>
          <cell r="I3488" t="str">
            <v>－</v>
          </cell>
          <cell r="J3488" t="str">
            <v>車騎星</v>
          </cell>
          <cell r="K3488" t="str">
            <v>天恍星</v>
          </cell>
        </row>
        <row r="3489">
          <cell r="H3489" t="str">
            <v>58+25</v>
          </cell>
          <cell r="I3489" t="str">
            <v>破</v>
          </cell>
          <cell r="J3489" t="str">
            <v>玉堂星</v>
          </cell>
          <cell r="K3489" t="str">
            <v>天貴星</v>
          </cell>
        </row>
        <row r="3490">
          <cell r="H3490" t="str">
            <v>58+26</v>
          </cell>
          <cell r="I3490" t="str">
            <v>半会</v>
          </cell>
          <cell r="J3490" t="str">
            <v>龍高星</v>
          </cell>
          <cell r="K3490" t="str">
            <v>天印星</v>
          </cell>
        </row>
        <row r="3491">
          <cell r="H3491" t="str">
            <v>58+27</v>
          </cell>
          <cell r="I3491" t="str">
            <v>－</v>
          </cell>
          <cell r="J3491" t="str">
            <v>石門星</v>
          </cell>
          <cell r="K3491" t="str">
            <v>天報星</v>
          </cell>
        </row>
        <row r="3492">
          <cell r="H3492" t="str">
            <v>58+28</v>
          </cell>
          <cell r="I3492" t="str">
            <v>納音</v>
          </cell>
          <cell r="J3492" t="str">
            <v>貫索星</v>
          </cell>
          <cell r="K3492" t="str">
            <v>天馳星</v>
          </cell>
        </row>
        <row r="3493">
          <cell r="H3493" t="str">
            <v>58+29</v>
          </cell>
          <cell r="I3493" t="str">
            <v>支合</v>
          </cell>
          <cell r="J3493" t="str">
            <v>調舒星</v>
          </cell>
          <cell r="K3493" t="str">
            <v>天庫星</v>
          </cell>
        </row>
        <row r="3494">
          <cell r="H3494" t="str">
            <v>58+30</v>
          </cell>
          <cell r="I3494" t="str">
            <v>半会</v>
          </cell>
          <cell r="J3494" t="str">
            <v>鳳閣星</v>
          </cell>
          <cell r="K3494" t="str">
            <v>天極星</v>
          </cell>
        </row>
        <row r="3495">
          <cell r="H3495" t="str">
            <v>58+31</v>
          </cell>
          <cell r="I3495" t="str">
            <v>－</v>
          </cell>
          <cell r="J3495" t="str">
            <v>司禄星</v>
          </cell>
          <cell r="K3495" t="str">
            <v>天胡星</v>
          </cell>
        </row>
        <row r="3496">
          <cell r="H3496" t="str">
            <v>58+32</v>
          </cell>
          <cell r="I3496" t="str">
            <v>－</v>
          </cell>
          <cell r="J3496" t="str">
            <v>禄存星</v>
          </cell>
          <cell r="K3496" t="str">
            <v>天堂星</v>
          </cell>
        </row>
        <row r="3497">
          <cell r="H3497" t="str">
            <v>58+33</v>
          </cell>
          <cell r="I3497" t="str">
            <v>準方位</v>
          </cell>
          <cell r="J3497" t="str">
            <v>牽牛星</v>
          </cell>
          <cell r="K3497" t="str">
            <v>天将星</v>
          </cell>
        </row>
        <row r="3498">
          <cell r="H3498" t="str">
            <v>58+34</v>
          </cell>
          <cell r="I3498" t="str">
            <v>自刑</v>
          </cell>
          <cell r="J3498" t="str">
            <v>車騎星</v>
          </cell>
          <cell r="K3498" t="str">
            <v>天禄星</v>
          </cell>
        </row>
        <row r="3499">
          <cell r="H3499" t="str">
            <v>58+35</v>
          </cell>
          <cell r="I3499" t="str">
            <v>害</v>
          </cell>
          <cell r="J3499" t="str">
            <v>玉堂星</v>
          </cell>
          <cell r="K3499" t="str">
            <v>天南星</v>
          </cell>
        </row>
        <row r="3500">
          <cell r="H3500" t="str">
            <v>58+36</v>
          </cell>
          <cell r="I3500" t="str">
            <v>－</v>
          </cell>
          <cell r="J3500" t="str">
            <v>龍高星</v>
          </cell>
          <cell r="K3500" t="str">
            <v>天恍星</v>
          </cell>
        </row>
        <row r="3501">
          <cell r="H3501" t="str">
            <v>58+37</v>
          </cell>
          <cell r="I3501" t="str">
            <v>破</v>
          </cell>
          <cell r="J3501" t="str">
            <v>石門星</v>
          </cell>
          <cell r="K3501" t="str">
            <v>天貴星</v>
          </cell>
        </row>
        <row r="3502">
          <cell r="H3502" t="str">
            <v>58+38</v>
          </cell>
          <cell r="I3502" t="str">
            <v>大半会</v>
          </cell>
          <cell r="J3502" t="str">
            <v>貫索星</v>
          </cell>
          <cell r="K3502" t="str">
            <v>天印星</v>
          </cell>
        </row>
        <row r="3503">
          <cell r="H3503" t="str">
            <v>58+39</v>
          </cell>
          <cell r="I3503" t="str">
            <v>－</v>
          </cell>
          <cell r="J3503" t="str">
            <v>調舒星</v>
          </cell>
          <cell r="K3503" t="str">
            <v>天報星</v>
          </cell>
        </row>
        <row r="3504">
          <cell r="H3504" t="str">
            <v>58+40</v>
          </cell>
          <cell r="I3504" t="str">
            <v>対冲</v>
          </cell>
          <cell r="J3504" t="str">
            <v>鳳閣星</v>
          </cell>
          <cell r="K3504" t="str">
            <v>天馳星</v>
          </cell>
        </row>
        <row r="3505">
          <cell r="H3505" t="str">
            <v>58+41</v>
          </cell>
          <cell r="I3505" t="str">
            <v>支合</v>
          </cell>
          <cell r="J3505" t="str">
            <v>司禄星</v>
          </cell>
          <cell r="K3505" t="str">
            <v>天庫星</v>
          </cell>
        </row>
        <row r="3506">
          <cell r="H3506" t="str">
            <v>58+42</v>
          </cell>
          <cell r="I3506" t="str">
            <v>半会</v>
          </cell>
          <cell r="J3506" t="str">
            <v>禄存星</v>
          </cell>
          <cell r="K3506" t="str">
            <v>天極星</v>
          </cell>
        </row>
        <row r="3507">
          <cell r="H3507" t="str">
            <v>58+43</v>
          </cell>
          <cell r="I3507" t="str">
            <v>－</v>
          </cell>
          <cell r="J3507" t="str">
            <v>牽牛星</v>
          </cell>
          <cell r="K3507" t="str">
            <v>天胡星</v>
          </cell>
        </row>
        <row r="3508">
          <cell r="H3508" t="str">
            <v>58+44</v>
          </cell>
          <cell r="I3508" t="str">
            <v>－</v>
          </cell>
          <cell r="J3508" t="str">
            <v>車騎星</v>
          </cell>
          <cell r="K3508" t="str">
            <v>天堂星</v>
          </cell>
        </row>
        <row r="3509">
          <cell r="H3509" t="str">
            <v>58+45</v>
          </cell>
          <cell r="I3509" t="str">
            <v>準方位</v>
          </cell>
          <cell r="J3509" t="str">
            <v>玉堂星</v>
          </cell>
          <cell r="K3509" t="str">
            <v>天将星</v>
          </cell>
        </row>
        <row r="3510">
          <cell r="H3510" t="str">
            <v>58+46</v>
          </cell>
          <cell r="I3510" t="str">
            <v>自刑</v>
          </cell>
          <cell r="J3510" t="str">
            <v>龍高星</v>
          </cell>
          <cell r="K3510" t="str">
            <v>天禄星</v>
          </cell>
        </row>
        <row r="3511">
          <cell r="H3511" t="str">
            <v>58+47</v>
          </cell>
          <cell r="I3511" t="str">
            <v>害</v>
          </cell>
          <cell r="J3511" t="str">
            <v>石門星</v>
          </cell>
          <cell r="K3511" t="str">
            <v>天南星</v>
          </cell>
        </row>
        <row r="3512">
          <cell r="H3512" t="str">
            <v>58+48</v>
          </cell>
          <cell r="I3512" t="str">
            <v>－</v>
          </cell>
          <cell r="J3512" t="str">
            <v>貫索星</v>
          </cell>
          <cell r="K3512" t="str">
            <v>天恍星</v>
          </cell>
        </row>
        <row r="3513">
          <cell r="H3513" t="str">
            <v>58+49</v>
          </cell>
          <cell r="I3513" t="str">
            <v>破</v>
          </cell>
          <cell r="J3513" t="str">
            <v>調舒星</v>
          </cell>
          <cell r="K3513" t="str">
            <v>天貴星</v>
          </cell>
        </row>
        <row r="3514">
          <cell r="H3514" t="str">
            <v>58+50</v>
          </cell>
          <cell r="I3514" t="str">
            <v>半会</v>
          </cell>
          <cell r="J3514" t="str">
            <v>鳳閣星</v>
          </cell>
          <cell r="K3514" t="str">
            <v>天印星</v>
          </cell>
        </row>
        <row r="3515">
          <cell r="H3515" t="str">
            <v>58+51</v>
          </cell>
          <cell r="I3515" t="str">
            <v>－</v>
          </cell>
          <cell r="J3515" t="str">
            <v>司禄星</v>
          </cell>
          <cell r="K3515" t="str">
            <v>天報星</v>
          </cell>
        </row>
        <row r="3516">
          <cell r="H3516" t="str">
            <v>58+52</v>
          </cell>
          <cell r="I3516" t="str">
            <v>天剋地冲</v>
          </cell>
          <cell r="J3516" t="str">
            <v>禄存星</v>
          </cell>
          <cell r="K3516" t="str">
            <v>天馳星</v>
          </cell>
        </row>
        <row r="3517">
          <cell r="H3517" t="str">
            <v>58+53</v>
          </cell>
          <cell r="I3517" t="str">
            <v>支合</v>
          </cell>
          <cell r="J3517" t="str">
            <v>牽牛星</v>
          </cell>
          <cell r="K3517" t="str">
            <v>天庫星</v>
          </cell>
        </row>
        <row r="3518">
          <cell r="H3518" t="str">
            <v>58+54</v>
          </cell>
          <cell r="I3518" t="str">
            <v>半会</v>
          </cell>
          <cell r="J3518" t="str">
            <v>車騎星</v>
          </cell>
          <cell r="K3518" t="str">
            <v>天極星</v>
          </cell>
        </row>
        <row r="3519">
          <cell r="H3519" t="str">
            <v>58+55</v>
          </cell>
          <cell r="I3519" t="str">
            <v>－</v>
          </cell>
          <cell r="J3519" t="str">
            <v>玉堂星</v>
          </cell>
          <cell r="K3519" t="str">
            <v>天胡星</v>
          </cell>
        </row>
        <row r="3520">
          <cell r="H3520" t="str">
            <v>58+56</v>
          </cell>
          <cell r="I3520" t="str">
            <v>－</v>
          </cell>
          <cell r="J3520" t="str">
            <v>龍高星</v>
          </cell>
          <cell r="K3520" t="str">
            <v>天堂星</v>
          </cell>
        </row>
        <row r="3521">
          <cell r="H3521" t="str">
            <v>58+57</v>
          </cell>
          <cell r="I3521" t="str">
            <v>準方位</v>
          </cell>
          <cell r="J3521" t="str">
            <v>石門星</v>
          </cell>
          <cell r="K3521" t="str">
            <v>天将星</v>
          </cell>
        </row>
        <row r="3522">
          <cell r="H3522" t="str">
            <v>58+58</v>
          </cell>
          <cell r="I3522" t="str">
            <v>律音</v>
          </cell>
          <cell r="J3522" t="str">
            <v>貫索星</v>
          </cell>
          <cell r="K3522" t="str">
            <v>天禄星</v>
          </cell>
        </row>
        <row r="3523">
          <cell r="H3523" t="str">
            <v>58+59</v>
          </cell>
          <cell r="I3523" t="str">
            <v>害</v>
          </cell>
          <cell r="J3523" t="str">
            <v>調舒星</v>
          </cell>
          <cell r="K3523" t="str">
            <v>天南星</v>
          </cell>
        </row>
        <row r="3524">
          <cell r="H3524" t="str">
            <v>58+60</v>
          </cell>
          <cell r="I3524" t="str">
            <v>－</v>
          </cell>
          <cell r="J3524" t="str">
            <v>鳳閣星</v>
          </cell>
          <cell r="K3524" t="str">
            <v>天恍星</v>
          </cell>
        </row>
        <row r="3525">
          <cell r="H3525" t="str">
            <v>59+1</v>
          </cell>
          <cell r="I3525" t="str">
            <v>－</v>
          </cell>
          <cell r="J3525" t="str">
            <v>鳳閣星</v>
          </cell>
          <cell r="K3525" t="str">
            <v>天将星</v>
          </cell>
        </row>
        <row r="3526">
          <cell r="H3526" t="str">
            <v>59+2</v>
          </cell>
          <cell r="I3526" t="str">
            <v>刑</v>
          </cell>
          <cell r="J3526" t="str">
            <v>調舒星</v>
          </cell>
          <cell r="K3526" t="str">
            <v>天堂星</v>
          </cell>
        </row>
        <row r="3527">
          <cell r="H3527" t="str">
            <v>59+3</v>
          </cell>
          <cell r="I3527" t="str">
            <v>半会</v>
          </cell>
          <cell r="J3527" t="str">
            <v>禄存星</v>
          </cell>
          <cell r="K3527" t="str">
            <v>天胡星</v>
          </cell>
        </row>
        <row r="3528">
          <cell r="H3528" t="str">
            <v>59+4</v>
          </cell>
          <cell r="I3528" t="str">
            <v>支合</v>
          </cell>
          <cell r="J3528" t="str">
            <v>司禄星</v>
          </cell>
          <cell r="K3528" t="str">
            <v>天極星</v>
          </cell>
        </row>
        <row r="3529">
          <cell r="H3529" t="str">
            <v>59+5</v>
          </cell>
          <cell r="I3529" t="str">
            <v>天剋地冲</v>
          </cell>
          <cell r="J3529" t="str">
            <v>車騎星</v>
          </cell>
          <cell r="K3529" t="str">
            <v>天庫星</v>
          </cell>
        </row>
        <row r="3530">
          <cell r="H3530" t="str">
            <v>59+6</v>
          </cell>
          <cell r="I3530" t="str">
            <v>－</v>
          </cell>
          <cell r="J3530" t="str">
            <v>牽牛星</v>
          </cell>
          <cell r="K3530" t="str">
            <v>天馳星</v>
          </cell>
        </row>
        <row r="3531">
          <cell r="H3531" t="str">
            <v>59+7</v>
          </cell>
          <cell r="I3531" t="str">
            <v>半会</v>
          </cell>
          <cell r="J3531" t="str">
            <v>龍高星</v>
          </cell>
          <cell r="K3531" t="str">
            <v>天報星</v>
          </cell>
        </row>
        <row r="3532">
          <cell r="H3532" t="str">
            <v>59+8</v>
          </cell>
          <cell r="I3532" t="str">
            <v>刑</v>
          </cell>
          <cell r="J3532" t="str">
            <v>玉堂星</v>
          </cell>
          <cell r="K3532" t="str">
            <v>天印星</v>
          </cell>
        </row>
        <row r="3533">
          <cell r="H3533" t="str">
            <v>59+9</v>
          </cell>
          <cell r="I3533" t="str">
            <v>準方位</v>
          </cell>
          <cell r="J3533" t="str">
            <v>貫索星</v>
          </cell>
          <cell r="K3533" t="str">
            <v>天貴星</v>
          </cell>
        </row>
        <row r="3534">
          <cell r="H3534" t="str">
            <v>59+10</v>
          </cell>
          <cell r="I3534" t="str">
            <v>害</v>
          </cell>
          <cell r="J3534" t="str">
            <v>石門星</v>
          </cell>
          <cell r="K3534" t="str">
            <v>天恍星</v>
          </cell>
        </row>
        <row r="3535">
          <cell r="H3535" t="str">
            <v>59+11</v>
          </cell>
          <cell r="I3535" t="str">
            <v>同</v>
          </cell>
          <cell r="J3535" t="str">
            <v>鳳閣星</v>
          </cell>
          <cell r="K3535" t="str">
            <v>天南星</v>
          </cell>
        </row>
        <row r="3536">
          <cell r="H3536" t="str">
            <v>59+12</v>
          </cell>
          <cell r="I3536" t="str">
            <v>－</v>
          </cell>
          <cell r="J3536" t="str">
            <v>調舒星</v>
          </cell>
          <cell r="K3536" t="str">
            <v>天禄星</v>
          </cell>
        </row>
        <row r="3537">
          <cell r="H3537" t="str">
            <v>59+13</v>
          </cell>
          <cell r="I3537" t="str">
            <v>－</v>
          </cell>
          <cell r="J3537" t="str">
            <v>禄存星</v>
          </cell>
          <cell r="K3537" t="str">
            <v>天将星</v>
          </cell>
        </row>
        <row r="3538">
          <cell r="H3538" t="str">
            <v>59+14</v>
          </cell>
          <cell r="I3538" t="str">
            <v>刑</v>
          </cell>
          <cell r="J3538" t="str">
            <v>司禄星</v>
          </cell>
          <cell r="K3538" t="str">
            <v>天堂星</v>
          </cell>
        </row>
        <row r="3539">
          <cell r="H3539" t="str">
            <v>59+15</v>
          </cell>
          <cell r="I3539" t="str">
            <v>半会</v>
          </cell>
          <cell r="J3539" t="str">
            <v>車騎星</v>
          </cell>
          <cell r="K3539" t="str">
            <v>天胡星</v>
          </cell>
        </row>
        <row r="3540">
          <cell r="H3540" t="str">
            <v>59+16</v>
          </cell>
          <cell r="I3540" t="str">
            <v>支合</v>
          </cell>
          <cell r="J3540" t="str">
            <v>牽牛星</v>
          </cell>
          <cell r="K3540" t="str">
            <v>天極星</v>
          </cell>
        </row>
        <row r="3541">
          <cell r="H3541" t="str">
            <v>59+17</v>
          </cell>
          <cell r="I3541" t="str">
            <v>対冲</v>
          </cell>
          <cell r="J3541" t="str">
            <v>龍高星</v>
          </cell>
          <cell r="K3541" t="str">
            <v>天庫星</v>
          </cell>
        </row>
        <row r="3542">
          <cell r="H3542" t="str">
            <v>59+18</v>
          </cell>
          <cell r="I3542" t="str">
            <v>－</v>
          </cell>
          <cell r="J3542" t="str">
            <v>玉堂星</v>
          </cell>
          <cell r="K3542" t="str">
            <v>天馳星</v>
          </cell>
        </row>
        <row r="3543">
          <cell r="H3543" t="str">
            <v>59+19</v>
          </cell>
          <cell r="I3543" t="str">
            <v>大半会</v>
          </cell>
          <cell r="J3543" t="str">
            <v>貫索星</v>
          </cell>
          <cell r="K3543" t="str">
            <v>天報星</v>
          </cell>
        </row>
        <row r="3544">
          <cell r="H3544" t="str">
            <v>59+20</v>
          </cell>
          <cell r="I3544" t="str">
            <v>刑</v>
          </cell>
          <cell r="J3544" t="str">
            <v>石門星</v>
          </cell>
          <cell r="K3544" t="str">
            <v>天印星</v>
          </cell>
        </row>
        <row r="3545">
          <cell r="H3545" t="str">
            <v>59+21</v>
          </cell>
          <cell r="I3545" t="str">
            <v>準方位</v>
          </cell>
          <cell r="J3545" t="str">
            <v>鳳閣星</v>
          </cell>
          <cell r="K3545" t="str">
            <v>天貴星</v>
          </cell>
        </row>
        <row r="3546">
          <cell r="H3546" t="str">
            <v>59+22</v>
          </cell>
          <cell r="I3546" t="str">
            <v>害</v>
          </cell>
          <cell r="J3546" t="str">
            <v>調舒星</v>
          </cell>
          <cell r="K3546" t="str">
            <v>天恍星</v>
          </cell>
        </row>
        <row r="3547">
          <cell r="H3547" t="str">
            <v>59+23</v>
          </cell>
          <cell r="I3547" t="str">
            <v>同</v>
          </cell>
          <cell r="J3547" t="str">
            <v>禄存星</v>
          </cell>
          <cell r="K3547" t="str">
            <v>天南星</v>
          </cell>
        </row>
        <row r="3548">
          <cell r="H3548" t="str">
            <v>59+24</v>
          </cell>
          <cell r="I3548" t="str">
            <v>－</v>
          </cell>
          <cell r="J3548" t="str">
            <v>司禄星</v>
          </cell>
          <cell r="K3548" t="str">
            <v>天禄星</v>
          </cell>
        </row>
        <row r="3549">
          <cell r="H3549" t="str">
            <v>59+25</v>
          </cell>
          <cell r="I3549" t="str">
            <v>－</v>
          </cell>
          <cell r="J3549" t="str">
            <v>車騎星</v>
          </cell>
          <cell r="K3549" t="str">
            <v>天将星</v>
          </cell>
        </row>
        <row r="3550">
          <cell r="H3550" t="str">
            <v>59+26</v>
          </cell>
          <cell r="I3550" t="str">
            <v>刑</v>
          </cell>
          <cell r="J3550" t="str">
            <v>牽牛星</v>
          </cell>
          <cell r="K3550" t="str">
            <v>天堂星</v>
          </cell>
        </row>
        <row r="3551">
          <cell r="H3551" t="str">
            <v>59+27</v>
          </cell>
          <cell r="I3551" t="str">
            <v>半会</v>
          </cell>
          <cell r="J3551" t="str">
            <v>龍高星</v>
          </cell>
          <cell r="K3551" t="str">
            <v>天胡星</v>
          </cell>
        </row>
        <row r="3552">
          <cell r="H3552" t="str">
            <v>59+28</v>
          </cell>
          <cell r="I3552" t="str">
            <v>支合</v>
          </cell>
          <cell r="J3552" t="str">
            <v>玉堂星</v>
          </cell>
          <cell r="K3552" t="str">
            <v>天極星</v>
          </cell>
        </row>
        <row r="3553">
          <cell r="H3553" t="str">
            <v>59+29</v>
          </cell>
          <cell r="I3553" t="str">
            <v>納音</v>
          </cell>
          <cell r="J3553" t="str">
            <v>貫索星</v>
          </cell>
          <cell r="K3553" t="str">
            <v>天庫星</v>
          </cell>
        </row>
        <row r="3554">
          <cell r="H3554" t="str">
            <v>59+30</v>
          </cell>
          <cell r="I3554" t="str">
            <v>－</v>
          </cell>
          <cell r="J3554" t="str">
            <v>石門星</v>
          </cell>
          <cell r="K3554" t="str">
            <v>天馳星</v>
          </cell>
        </row>
        <row r="3555">
          <cell r="H3555" t="str">
            <v>59+31</v>
          </cell>
          <cell r="I3555" t="str">
            <v>半会</v>
          </cell>
          <cell r="J3555" t="str">
            <v>鳳閣星</v>
          </cell>
          <cell r="K3555" t="str">
            <v>天報星</v>
          </cell>
        </row>
        <row r="3556">
          <cell r="H3556" t="str">
            <v>59+32</v>
          </cell>
          <cell r="I3556" t="str">
            <v>刑</v>
          </cell>
          <cell r="J3556" t="str">
            <v>調舒星</v>
          </cell>
          <cell r="K3556" t="str">
            <v>天印星</v>
          </cell>
        </row>
        <row r="3557">
          <cell r="H3557" t="str">
            <v>59+33</v>
          </cell>
          <cell r="I3557" t="str">
            <v>準方位</v>
          </cell>
          <cell r="J3557" t="str">
            <v>禄存星</v>
          </cell>
          <cell r="K3557" t="str">
            <v>天貴星</v>
          </cell>
        </row>
        <row r="3558">
          <cell r="H3558" t="str">
            <v>59+34</v>
          </cell>
          <cell r="I3558" t="str">
            <v>害</v>
          </cell>
          <cell r="J3558" t="str">
            <v>司禄星</v>
          </cell>
          <cell r="K3558" t="str">
            <v>天恍星</v>
          </cell>
        </row>
        <row r="3559">
          <cell r="H3559" t="str">
            <v>59+35</v>
          </cell>
          <cell r="I3559" t="str">
            <v>同</v>
          </cell>
          <cell r="J3559" t="str">
            <v>車騎星</v>
          </cell>
          <cell r="K3559" t="str">
            <v>天南星</v>
          </cell>
        </row>
        <row r="3560">
          <cell r="H3560" t="str">
            <v>59+36</v>
          </cell>
          <cell r="I3560" t="str">
            <v>－</v>
          </cell>
          <cell r="J3560" t="str">
            <v>牽牛星</v>
          </cell>
          <cell r="K3560" t="str">
            <v>天禄星</v>
          </cell>
        </row>
        <row r="3561">
          <cell r="H3561" t="str">
            <v>59+37</v>
          </cell>
          <cell r="I3561" t="str">
            <v>－</v>
          </cell>
          <cell r="J3561" t="str">
            <v>龍高星</v>
          </cell>
          <cell r="K3561" t="str">
            <v>天将星</v>
          </cell>
        </row>
        <row r="3562">
          <cell r="H3562" t="str">
            <v>59+38</v>
          </cell>
          <cell r="I3562" t="str">
            <v>刑</v>
          </cell>
          <cell r="J3562" t="str">
            <v>玉堂星</v>
          </cell>
          <cell r="K3562" t="str">
            <v>天堂星</v>
          </cell>
        </row>
        <row r="3563">
          <cell r="H3563" t="str">
            <v>59+39</v>
          </cell>
          <cell r="I3563" t="str">
            <v>大半会</v>
          </cell>
          <cell r="J3563" t="str">
            <v>貫索星</v>
          </cell>
          <cell r="K3563" t="str">
            <v>天胡星</v>
          </cell>
        </row>
        <row r="3564">
          <cell r="H3564" t="str">
            <v>59+40</v>
          </cell>
          <cell r="I3564" t="str">
            <v>支合</v>
          </cell>
          <cell r="J3564" t="str">
            <v>石門星</v>
          </cell>
          <cell r="K3564" t="str">
            <v>天極星</v>
          </cell>
        </row>
        <row r="3565">
          <cell r="H3565" t="str">
            <v>59+41</v>
          </cell>
          <cell r="I3565" t="str">
            <v>対冲</v>
          </cell>
          <cell r="J3565" t="str">
            <v>鳳閣星</v>
          </cell>
          <cell r="K3565" t="str">
            <v>天庫星</v>
          </cell>
        </row>
        <row r="3566">
          <cell r="H3566" t="str">
            <v>59+42</v>
          </cell>
          <cell r="I3566" t="str">
            <v>－</v>
          </cell>
          <cell r="J3566" t="str">
            <v>調舒星</v>
          </cell>
          <cell r="K3566" t="str">
            <v>天馳星</v>
          </cell>
        </row>
        <row r="3567">
          <cell r="H3567" t="str">
            <v>59+43</v>
          </cell>
          <cell r="I3567" t="str">
            <v>半会</v>
          </cell>
          <cell r="J3567" t="str">
            <v>禄存星</v>
          </cell>
          <cell r="K3567" t="str">
            <v>天報星</v>
          </cell>
        </row>
        <row r="3568">
          <cell r="H3568" t="str">
            <v>59+44</v>
          </cell>
          <cell r="I3568" t="str">
            <v>刑</v>
          </cell>
          <cell r="J3568" t="str">
            <v>司禄星</v>
          </cell>
          <cell r="K3568" t="str">
            <v>天印星</v>
          </cell>
        </row>
        <row r="3569">
          <cell r="H3569" t="str">
            <v>59+45</v>
          </cell>
          <cell r="I3569" t="str">
            <v>準方位</v>
          </cell>
          <cell r="J3569" t="str">
            <v>車騎星</v>
          </cell>
          <cell r="K3569" t="str">
            <v>天貴星</v>
          </cell>
        </row>
        <row r="3570">
          <cell r="H3570" t="str">
            <v>59+46</v>
          </cell>
          <cell r="I3570" t="str">
            <v>害</v>
          </cell>
          <cell r="J3570" t="str">
            <v>牽牛星</v>
          </cell>
          <cell r="K3570" t="str">
            <v>天恍星</v>
          </cell>
        </row>
        <row r="3571">
          <cell r="H3571" t="str">
            <v>59+47</v>
          </cell>
          <cell r="I3571" t="str">
            <v>同</v>
          </cell>
          <cell r="J3571" t="str">
            <v>龍高星</v>
          </cell>
          <cell r="K3571" t="str">
            <v>天南星</v>
          </cell>
        </row>
        <row r="3572">
          <cell r="H3572" t="str">
            <v>59+48</v>
          </cell>
          <cell r="I3572" t="str">
            <v>－</v>
          </cell>
          <cell r="J3572" t="str">
            <v>玉堂星</v>
          </cell>
          <cell r="K3572" t="str">
            <v>天禄星</v>
          </cell>
        </row>
        <row r="3573">
          <cell r="H3573" t="str">
            <v>59+49</v>
          </cell>
          <cell r="I3573" t="str">
            <v>－</v>
          </cell>
          <cell r="J3573" t="str">
            <v>貫索星</v>
          </cell>
          <cell r="K3573" t="str">
            <v>天将星</v>
          </cell>
        </row>
        <row r="3574">
          <cell r="H3574" t="str">
            <v>59+50</v>
          </cell>
          <cell r="I3574" t="str">
            <v>刑</v>
          </cell>
          <cell r="J3574" t="str">
            <v>石門星</v>
          </cell>
          <cell r="K3574" t="str">
            <v>天堂星</v>
          </cell>
        </row>
        <row r="3575">
          <cell r="H3575" t="str">
            <v>59+51</v>
          </cell>
          <cell r="I3575" t="str">
            <v>半会</v>
          </cell>
          <cell r="J3575" t="str">
            <v>鳳閣星</v>
          </cell>
          <cell r="K3575" t="str">
            <v>天胡星</v>
          </cell>
        </row>
        <row r="3576">
          <cell r="H3576" t="str">
            <v>59+52</v>
          </cell>
          <cell r="I3576" t="str">
            <v>支合</v>
          </cell>
          <cell r="J3576" t="str">
            <v>調舒星</v>
          </cell>
          <cell r="K3576" t="str">
            <v>天極星</v>
          </cell>
        </row>
        <row r="3577">
          <cell r="H3577" t="str">
            <v>59+53</v>
          </cell>
          <cell r="I3577" t="str">
            <v>天剋地冲</v>
          </cell>
          <cell r="J3577" t="str">
            <v>禄存星</v>
          </cell>
          <cell r="K3577" t="str">
            <v>天庫星</v>
          </cell>
        </row>
        <row r="3578">
          <cell r="H3578" t="str">
            <v>59+54</v>
          </cell>
          <cell r="I3578" t="str">
            <v>－</v>
          </cell>
          <cell r="J3578" t="str">
            <v>司禄星</v>
          </cell>
          <cell r="K3578" t="str">
            <v>天馳星</v>
          </cell>
        </row>
        <row r="3579">
          <cell r="H3579" t="str">
            <v>59+55</v>
          </cell>
          <cell r="I3579" t="str">
            <v>半会</v>
          </cell>
          <cell r="J3579" t="str">
            <v>車騎星</v>
          </cell>
          <cell r="K3579" t="str">
            <v>天報星</v>
          </cell>
        </row>
        <row r="3580">
          <cell r="H3580" t="str">
            <v>59+56</v>
          </cell>
          <cell r="I3580" t="str">
            <v>刑</v>
          </cell>
          <cell r="J3580" t="str">
            <v>牽牛星</v>
          </cell>
          <cell r="K3580" t="str">
            <v>天印星</v>
          </cell>
        </row>
        <row r="3581">
          <cell r="H3581" t="str">
            <v>59+57</v>
          </cell>
          <cell r="I3581" t="str">
            <v>準方位</v>
          </cell>
          <cell r="J3581" t="str">
            <v>龍高星</v>
          </cell>
          <cell r="K3581" t="str">
            <v>天貴星</v>
          </cell>
        </row>
        <row r="3582">
          <cell r="H3582" t="str">
            <v>59+58</v>
          </cell>
          <cell r="I3582" t="str">
            <v>害</v>
          </cell>
          <cell r="J3582" t="str">
            <v>玉堂星</v>
          </cell>
          <cell r="K3582" t="str">
            <v>天恍星</v>
          </cell>
        </row>
        <row r="3583">
          <cell r="H3583" t="str">
            <v>59+59</v>
          </cell>
          <cell r="I3583" t="str">
            <v>律音</v>
          </cell>
          <cell r="J3583" t="str">
            <v>貫索星</v>
          </cell>
          <cell r="K3583" t="str">
            <v>天南星</v>
          </cell>
        </row>
        <row r="3584">
          <cell r="H3584" t="str">
            <v>59+60</v>
          </cell>
          <cell r="I3584" t="str">
            <v>－</v>
          </cell>
          <cell r="J3584" t="str">
            <v>石門星</v>
          </cell>
          <cell r="K3584" t="str">
            <v>天禄星</v>
          </cell>
        </row>
        <row r="3585">
          <cell r="H3585" t="str">
            <v>60+1</v>
          </cell>
          <cell r="I3585" t="str">
            <v>準方位</v>
          </cell>
          <cell r="J3585" t="str">
            <v>調舒星</v>
          </cell>
          <cell r="K3585" t="str">
            <v>天禄星</v>
          </cell>
        </row>
        <row r="3586">
          <cell r="H3586" t="str">
            <v>60+2</v>
          </cell>
          <cell r="I3586" t="str">
            <v>準方位</v>
          </cell>
          <cell r="J3586" t="str">
            <v>鳳閣星</v>
          </cell>
          <cell r="K3586" t="str">
            <v>天南星</v>
          </cell>
        </row>
        <row r="3587">
          <cell r="H3587" t="str">
            <v>60+3</v>
          </cell>
          <cell r="I3587" t="str">
            <v>支合</v>
          </cell>
          <cell r="J3587" t="str">
            <v>司禄星</v>
          </cell>
          <cell r="K3587" t="str">
            <v>天恍星</v>
          </cell>
        </row>
        <row r="3588">
          <cell r="H3588" t="str">
            <v>60+4</v>
          </cell>
          <cell r="I3588" t="str">
            <v>半会</v>
          </cell>
          <cell r="J3588" t="str">
            <v>禄存星</v>
          </cell>
          <cell r="K3588" t="str">
            <v>天貴星</v>
          </cell>
        </row>
        <row r="3589">
          <cell r="H3589" t="str">
            <v>60+5</v>
          </cell>
          <cell r="I3589" t="str">
            <v>－</v>
          </cell>
          <cell r="J3589" t="str">
            <v>牽牛星</v>
          </cell>
          <cell r="K3589" t="str">
            <v>天印星</v>
          </cell>
        </row>
        <row r="3590">
          <cell r="H3590" t="str">
            <v>60+6</v>
          </cell>
          <cell r="I3590" t="str">
            <v>天剋地冲</v>
          </cell>
          <cell r="J3590" t="str">
            <v>車騎星</v>
          </cell>
          <cell r="K3590" t="str">
            <v>天報星</v>
          </cell>
        </row>
        <row r="3591">
          <cell r="H3591" t="str">
            <v>60+7</v>
          </cell>
          <cell r="I3591" t="str">
            <v>－</v>
          </cell>
          <cell r="J3591" t="str">
            <v>玉堂星</v>
          </cell>
          <cell r="K3591" t="str">
            <v>天馳星</v>
          </cell>
        </row>
        <row r="3592">
          <cell r="H3592" t="str">
            <v>60+8</v>
          </cell>
          <cell r="I3592" t="str">
            <v>半会</v>
          </cell>
          <cell r="J3592" t="str">
            <v>龍高星</v>
          </cell>
          <cell r="K3592" t="str">
            <v>天庫星</v>
          </cell>
        </row>
        <row r="3593">
          <cell r="H3593" t="str">
            <v>60+9</v>
          </cell>
          <cell r="I3593" t="str">
            <v>害</v>
          </cell>
          <cell r="J3593" t="str">
            <v>石門星</v>
          </cell>
          <cell r="K3593" t="str">
            <v>天極星</v>
          </cell>
        </row>
        <row r="3594">
          <cell r="H3594" t="str">
            <v>60+10</v>
          </cell>
          <cell r="I3594" t="str">
            <v>－</v>
          </cell>
          <cell r="J3594" t="str">
            <v>貫索星</v>
          </cell>
          <cell r="K3594" t="str">
            <v>天胡星</v>
          </cell>
        </row>
        <row r="3595">
          <cell r="H3595" t="str">
            <v>60+11</v>
          </cell>
          <cell r="I3595" t="str">
            <v>－</v>
          </cell>
          <cell r="J3595" t="str">
            <v>調舒星</v>
          </cell>
          <cell r="K3595" t="str">
            <v>天堂星</v>
          </cell>
        </row>
        <row r="3596">
          <cell r="H3596" t="str">
            <v>60+12</v>
          </cell>
          <cell r="I3596" t="str">
            <v>自刑</v>
          </cell>
          <cell r="J3596" t="str">
            <v>鳳閣星</v>
          </cell>
          <cell r="K3596" t="str">
            <v>天将星</v>
          </cell>
        </row>
        <row r="3597">
          <cell r="H3597" t="str">
            <v>60+13</v>
          </cell>
          <cell r="I3597" t="str">
            <v>準方位</v>
          </cell>
          <cell r="J3597" t="str">
            <v>司禄星</v>
          </cell>
          <cell r="K3597" t="str">
            <v>天禄星</v>
          </cell>
        </row>
        <row r="3598">
          <cell r="H3598" t="str">
            <v>60+14</v>
          </cell>
          <cell r="I3598" t="str">
            <v>準方位</v>
          </cell>
          <cell r="J3598" t="str">
            <v>禄存星</v>
          </cell>
          <cell r="K3598" t="str">
            <v>天南星</v>
          </cell>
        </row>
        <row r="3599">
          <cell r="H3599" t="str">
            <v>60+15</v>
          </cell>
          <cell r="I3599" t="str">
            <v>支合</v>
          </cell>
          <cell r="J3599" t="str">
            <v>牽牛星</v>
          </cell>
          <cell r="K3599" t="str">
            <v>天恍星</v>
          </cell>
        </row>
        <row r="3600">
          <cell r="H3600" t="str">
            <v>60+16</v>
          </cell>
          <cell r="I3600" t="str">
            <v>半会</v>
          </cell>
          <cell r="J3600" t="str">
            <v>車騎星</v>
          </cell>
          <cell r="K3600" t="str">
            <v>天貴星</v>
          </cell>
        </row>
        <row r="3601">
          <cell r="H3601" t="str">
            <v>60+17</v>
          </cell>
          <cell r="I3601" t="str">
            <v>－</v>
          </cell>
          <cell r="J3601" t="str">
            <v>玉堂星</v>
          </cell>
          <cell r="K3601" t="str">
            <v>天印星</v>
          </cell>
        </row>
        <row r="3602">
          <cell r="H3602" t="str">
            <v>60+18</v>
          </cell>
          <cell r="I3602" t="str">
            <v>対冲</v>
          </cell>
          <cell r="J3602" t="str">
            <v>龍高星</v>
          </cell>
          <cell r="K3602" t="str">
            <v>天報星</v>
          </cell>
        </row>
        <row r="3603">
          <cell r="H3603" t="str">
            <v>60+19</v>
          </cell>
          <cell r="I3603" t="str">
            <v>－</v>
          </cell>
          <cell r="J3603" t="str">
            <v>石門星</v>
          </cell>
          <cell r="K3603" t="str">
            <v>天馳星</v>
          </cell>
        </row>
        <row r="3604">
          <cell r="H3604" t="str">
            <v>60+20</v>
          </cell>
          <cell r="I3604" t="str">
            <v>大半会</v>
          </cell>
          <cell r="J3604" t="str">
            <v>貫索星</v>
          </cell>
          <cell r="K3604" t="str">
            <v>天庫星</v>
          </cell>
        </row>
        <row r="3605">
          <cell r="H3605" t="str">
            <v>60+21</v>
          </cell>
          <cell r="I3605" t="str">
            <v>害</v>
          </cell>
          <cell r="J3605" t="str">
            <v>調舒星</v>
          </cell>
          <cell r="K3605" t="str">
            <v>天極星</v>
          </cell>
        </row>
        <row r="3606">
          <cell r="H3606" t="str">
            <v>60+22</v>
          </cell>
          <cell r="I3606" t="str">
            <v>－</v>
          </cell>
          <cell r="J3606" t="str">
            <v>鳳閣星</v>
          </cell>
          <cell r="K3606" t="str">
            <v>天胡星</v>
          </cell>
        </row>
        <row r="3607">
          <cell r="H3607" t="str">
            <v>60+23</v>
          </cell>
          <cell r="I3607" t="str">
            <v>－</v>
          </cell>
          <cell r="J3607" t="str">
            <v>司禄星</v>
          </cell>
          <cell r="K3607" t="str">
            <v>天堂星</v>
          </cell>
        </row>
        <row r="3608">
          <cell r="H3608" t="str">
            <v>60+24</v>
          </cell>
          <cell r="I3608" t="str">
            <v>自刑</v>
          </cell>
          <cell r="J3608" t="str">
            <v>禄存星</v>
          </cell>
          <cell r="K3608" t="str">
            <v>天将星</v>
          </cell>
        </row>
        <row r="3609">
          <cell r="H3609" t="str">
            <v>60+25</v>
          </cell>
          <cell r="I3609" t="str">
            <v>準方位</v>
          </cell>
          <cell r="J3609" t="str">
            <v>牽牛星</v>
          </cell>
          <cell r="K3609" t="str">
            <v>天禄星</v>
          </cell>
        </row>
        <row r="3610">
          <cell r="H3610" t="str">
            <v>60+26</v>
          </cell>
          <cell r="I3610" t="str">
            <v>準方位</v>
          </cell>
          <cell r="J3610" t="str">
            <v>車騎星</v>
          </cell>
          <cell r="K3610" t="str">
            <v>天南星</v>
          </cell>
        </row>
        <row r="3611">
          <cell r="H3611" t="str">
            <v>60+27</v>
          </cell>
          <cell r="I3611" t="str">
            <v>支合</v>
          </cell>
          <cell r="J3611" t="str">
            <v>玉堂星</v>
          </cell>
          <cell r="K3611" t="str">
            <v>天恍星</v>
          </cell>
        </row>
        <row r="3612">
          <cell r="H3612" t="str">
            <v>60+28</v>
          </cell>
          <cell r="I3612" t="str">
            <v>半会</v>
          </cell>
          <cell r="J3612" t="str">
            <v>龍高星</v>
          </cell>
          <cell r="K3612" t="str">
            <v>天貴星</v>
          </cell>
        </row>
        <row r="3613">
          <cell r="H3613" t="str">
            <v>60+29</v>
          </cell>
          <cell r="I3613" t="str">
            <v>－</v>
          </cell>
          <cell r="J3613" t="str">
            <v>石門星</v>
          </cell>
          <cell r="K3613" t="str">
            <v>天印星</v>
          </cell>
        </row>
        <row r="3614">
          <cell r="H3614" t="str">
            <v>60+30</v>
          </cell>
          <cell r="I3614" t="str">
            <v>納音</v>
          </cell>
          <cell r="J3614" t="str">
            <v>貫索星</v>
          </cell>
          <cell r="K3614" t="str">
            <v>天報星</v>
          </cell>
        </row>
        <row r="3615">
          <cell r="H3615" t="str">
            <v>60+31</v>
          </cell>
          <cell r="I3615" t="str">
            <v>－</v>
          </cell>
          <cell r="J3615" t="str">
            <v>調舒星</v>
          </cell>
          <cell r="K3615" t="str">
            <v>天馳星</v>
          </cell>
        </row>
        <row r="3616">
          <cell r="H3616" t="str">
            <v>60+32</v>
          </cell>
          <cell r="I3616" t="str">
            <v>半会</v>
          </cell>
          <cell r="J3616" t="str">
            <v>鳳閣星</v>
          </cell>
          <cell r="K3616" t="str">
            <v>天庫星</v>
          </cell>
        </row>
        <row r="3617">
          <cell r="H3617" t="str">
            <v>60+33</v>
          </cell>
          <cell r="I3617" t="str">
            <v>害</v>
          </cell>
          <cell r="J3617" t="str">
            <v>司禄星</v>
          </cell>
          <cell r="K3617" t="str">
            <v>天極星</v>
          </cell>
        </row>
        <row r="3618">
          <cell r="H3618" t="str">
            <v>60+34</v>
          </cell>
          <cell r="I3618" t="str">
            <v>－</v>
          </cell>
          <cell r="J3618" t="str">
            <v>禄存星</v>
          </cell>
          <cell r="K3618" t="str">
            <v>天胡星</v>
          </cell>
        </row>
        <row r="3619">
          <cell r="H3619" t="str">
            <v>60+35</v>
          </cell>
          <cell r="I3619" t="str">
            <v>－</v>
          </cell>
          <cell r="J3619" t="str">
            <v>牽牛星</v>
          </cell>
          <cell r="K3619" t="str">
            <v>天堂星</v>
          </cell>
        </row>
        <row r="3620">
          <cell r="H3620" t="str">
            <v>60+36</v>
          </cell>
          <cell r="I3620" t="str">
            <v>自刑</v>
          </cell>
          <cell r="J3620" t="str">
            <v>車騎星</v>
          </cell>
          <cell r="K3620" t="str">
            <v>天将星</v>
          </cell>
        </row>
        <row r="3621">
          <cell r="H3621" t="str">
            <v>60+37</v>
          </cell>
          <cell r="I3621" t="str">
            <v>準方位</v>
          </cell>
          <cell r="J3621" t="str">
            <v>玉堂星</v>
          </cell>
          <cell r="K3621" t="str">
            <v>天禄星</v>
          </cell>
        </row>
        <row r="3622">
          <cell r="H3622" t="str">
            <v>60+38</v>
          </cell>
          <cell r="I3622" t="str">
            <v>準方位</v>
          </cell>
          <cell r="J3622" t="str">
            <v>龍高星</v>
          </cell>
          <cell r="K3622" t="str">
            <v>天南星</v>
          </cell>
        </row>
        <row r="3623">
          <cell r="H3623" t="str">
            <v>60+39</v>
          </cell>
          <cell r="I3623" t="str">
            <v>支合</v>
          </cell>
          <cell r="J3623" t="str">
            <v>石門星</v>
          </cell>
          <cell r="K3623" t="str">
            <v>天恍星</v>
          </cell>
        </row>
        <row r="3624">
          <cell r="H3624" t="str">
            <v>60+40</v>
          </cell>
          <cell r="I3624" t="str">
            <v>大半会</v>
          </cell>
          <cell r="J3624" t="str">
            <v>貫索星</v>
          </cell>
          <cell r="K3624" t="str">
            <v>天貴星</v>
          </cell>
        </row>
        <row r="3625">
          <cell r="H3625" t="str">
            <v>60+41</v>
          </cell>
          <cell r="I3625" t="str">
            <v>－</v>
          </cell>
          <cell r="J3625" t="str">
            <v>調舒星</v>
          </cell>
          <cell r="K3625" t="str">
            <v>天印星</v>
          </cell>
        </row>
        <row r="3626">
          <cell r="H3626" t="str">
            <v>60+42</v>
          </cell>
          <cell r="I3626" t="str">
            <v>対冲</v>
          </cell>
          <cell r="J3626" t="str">
            <v>鳳閣星</v>
          </cell>
          <cell r="K3626" t="str">
            <v>天報星</v>
          </cell>
        </row>
        <row r="3627">
          <cell r="H3627" t="str">
            <v>60+43</v>
          </cell>
          <cell r="I3627" t="str">
            <v>－</v>
          </cell>
          <cell r="J3627" t="str">
            <v>司禄星</v>
          </cell>
          <cell r="K3627" t="str">
            <v>天馳星</v>
          </cell>
        </row>
        <row r="3628">
          <cell r="H3628" t="str">
            <v>60+44</v>
          </cell>
          <cell r="I3628" t="str">
            <v>半会</v>
          </cell>
          <cell r="J3628" t="str">
            <v>禄存星</v>
          </cell>
          <cell r="K3628" t="str">
            <v>天庫星</v>
          </cell>
        </row>
        <row r="3629">
          <cell r="H3629" t="str">
            <v>60+45</v>
          </cell>
          <cell r="I3629" t="str">
            <v>害</v>
          </cell>
          <cell r="J3629" t="str">
            <v>牽牛星</v>
          </cell>
          <cell r="K3629" t="str">
            <v>天極星</v>
          </cell>
        </row>
        <row r="3630">
          <cell r="H3630" t="str">
            <v>60+46</v>
          </cell>
          <cell r="I3630" t="str">
            <v>－</v>
          </cell>
          <cell r="J3630" t="str">
            <v>車騎星</v>
          </cell>
          <cell r="K3630" t="str">
            <v>天胡星</v>
          </cell>
        </row>
        <row r="3631">
          <cell r="H3631" t="str">
            <v>60+47</v>
          </cell>
          <cell r="I3631" t="str">
            <v>－</v>
          </cell>
          <cell r="J3631" t="str">
            <v>玉堂星</v>
          </cell>
          <cell r="K3631" t="str">
            <v>天堂星</v>
          </cell>
        </row>
        <row r="3632">
          <cell r="H3632" t="str">
            <v>60+48</v>
          </cell>
          <cell r="I3632" t="str">
            <v>自刑</v>
          </cell>
          <cell r="J3632" t="str">
            <v>龍高星</v>
          </cell>
          <cell r="K3632" t="str">
            <v>天将星</v>
          </cell>
        </row>
        <row r="3633">
          <cell r="H3633" t="str">
            <v>60+49</v>
          </cell>
          <cell r="I3633" t="str">
            <v>準方位</v>
          </cell>
          <cell r="J3633" t="str">
            <v>石門星</v>
          </cell>
          <cell r="K3633" t="str">
            <v>天禄星</v>
          </cell>
        </row>
        <row r="3634">
          <cell r="H3634" t="str">
            <v>60+50</v>
          </cell>
          <cell r="I3634" t="str">
            <v>準方位</v>
          </cell>
          <cell r="J3634" t="str">
            <v>貫索星</v>
          </cell>
          <cell r="K3634" t="str">
            <v>天南星</v>
          </cell>
        </row>
        <row r="3635">
          <cell r="H3635" t="str">
            <v>60+51</v>
          </cell>
          <cell r="I3635" t="str">
            <v>支合</v>
          </cell>
          <cell r="J3635" t="str">
            <v>調舒星</v>
          </cell>
          <cell r="K3635" t="str">
            <v>天恍星</v>
          </cell>
        </row>
        <row r="3636">
          <cell r="H3636" t="str">
            <v>60+52</v>
          </cell>
          <cell r="I3636" t="str">
            <v>半会</v>
          </cell>
          <cell r="J3636" t="str">
            <v>鳳閣星</v>
          </cell>
          <cell r="K3636" t="str">
            <v>天貴星</v>
          </cell>
        </row>
        <row r="3637">
          <cell r="H3637" t="str">
            <v>60+53</v>
          </cell>
          <cell r="I3637" t="str">
            <v>－</v>
          </cell>
          <cell r="J3637" t="str">
            <v>司禄星</v>
          </cell>
          <cell r="K3637" t="str">
            <v>天印星</v>
          </cell>
        </row>
        <row r="3638">
          <cell r="H3638" t="str">
            <v>60+54</v>
          </cell>
          <cell r="I3638" t="str">
            <v>天剋地冲</v>
          </cell>
          <cell r="J3638" t="str">
            <v>禄存星</v>
          </cell>
          <cell r="K3638" t="str">
            <v>天報星</v>
          </cell>
        </row>
        <row r="3639">
          <cell r="H3639" t="str">
            <v>60+55</v>
          </cell>
          <cell r="I3639" t="str">
            <v>－</v>
          </cell>
          <cell r="J3639" t="str">
            <v>牽牛星</v>
          </cell>
          <cell r="K3639" t="str">
            <v>天馳星</v>
          </cell>
        </row>
        <row r="3640">
          <cell r="H3640" t="str">
            <v>60+56</v>
          </cell>
          <cell r="I3640" t="str">
            <v>半会</v>
          </cell>
          <cell r="J3640" t="str">
            <v>車騎星</v>
          </cell>
          <cell r="K3640" t="str">
            <v>天庫星</v>
          </cell>
        </row>
        <row r="3641">
          <cell r="H3641" t="str">
            <v>60+57</v>
          </cell>
          <cell r="I3641" t="str">
            <v>害</v>
          </cell>
          <cell r="J3641" t="str">
            <v>玉堂星</v>
          </cell>
          <cell r="K3641" t="str">
            <v>天極星</v>
          </cell>
        </row>
        <row r="3642">
          <cell r="H3642" t="str">
            <v>60+58</v>
          </cell>
          <cell r="I3642" t="str">
            <v>－</v>
          </cell>
          <cell r="J3642" t="str">
            <v>龍高星</v>
          </cell>
          <cell r="K3642" t="str">
            <v>天胡星</v>
          </cell>
        </row>
        <row r="3643">
          <cell r="H3643" t="str">
            <v>60+59</v>
          </cell>
          <cell r="I3643" t="str">
            <v>－</v>
          </cell>
          <cell r="J3643" t="str">
            <v>石門星</v>
          </cell>
          <cell r="K3643" t="str">
            <v>天堂星</v>
          </cell>
        </row>
        <row r="3644">
          <cell r="H3644" t="str">
            <v>60+60</v>
          </cell>
          <cell r="I3644" t="str">
            <v>律音</v>
          </cell>
          <cell r="J3644" t="str">
            <v>貫索星</v>
          </cell>
          <cell r="K3644" t="str">
            <v>天将星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4">
          <cell r="G4">
            <v>0</v>
          </cell>
        </row>
        <row r="5">
          <cell r="G5">
            <v>0</v>
          </cell>
        </row>
        <row r="6">
          <cell r="G6">
            <v>5</v>
          </cell>
        </row>
        <row r="7">
          <cell r="G7">
            <v>0</v>
          </cell>
        </row>
        <row r="8">
          <cell r="G8">
            <v>2</v>
          </cell>
        </row>
        <row r="9">
          <cell r="G9">
            <v>0</v>
          </cell>
        </row>
        <row r="10">
          <cell r="G10">
            <v>1</v>
          </cell>
        </row>
        <row r="11">
          <cell r="G11">
            <v>1</v>
          </cell>
        </row>
        <row r="12">
          <cell r="G12">
            <v>3</v>
          </cell>
        </row>
        <row r="13">
          <cell r="G13">
            <v>3</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2">
          <cell r="D2">
            <v>29836</v>
          </cell>
          <cell r="E2" t="str">
            <v>男</v>
          </cell>
        </row>
      </sheetData>
      <sheetData sheetId="44"/>
      <sheetData sheetId="45"/>
      <sheetData sheetId="4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43"/>
  <sheetViews>
    <sheetView tabSelected="1" topLeftCell="H83" zoomScale="70" zoomScaleNormal="70" workbookViewId="0">
      <selection activeCell="Q1" sqref="Q1:S1048576"/>
    </sheetView>
  </sheetViews>
  <sheetFormatPr defaultRowHeight="13.5"/>
  <cols>
    <col min="1" max="1" width="23.75" style="2" customWidth="1"/>
    <col min="2" max="2" width="11.75" style="2" customWidth="1"/>
    <col min="3" max="10" width="11.875" style="2" customWidth="1"/>
    <col min="11" max="11" width="11.875" style="2" hidden="1" customWidth="1"/>
    <col min="12" max="12" width="8" style="2" hidden="1" customWidth="1"/>
    <col min="13" max="13" width="18.5" style="2" hidden="1" customWidth="1"/>
    <col min="14" max="14" width="11.25" style="2" customWidth="1"/>
    <col min="15" max="15" width="10.625" style="2" customWidth="1"/>
    <col min="16" max="16" width="12.5" style="3" customWidth="1"/>
    <col min="17" max="17" width="13.375" style="3" hidden="1" customWidth="1"/>
    <col min="18" max="18" width="12.875" style="2" hidden="1" customWidth="1"/>
    <col min="19" max="19" width="13.5" style="2" hidden="1" customWidth="1"/>
    <col min="20" max="22" width="12.625" style="2" customWidth="1"/>
    <col min="23" max="16384" width="9" style="2"/>
  </cols>
  <sheetData>
    <row r="1" spans="1:21" ht="41.25" customHeight="1">
      <c r="A1" s="1" t="s">
        <v>0</v>
      </c>
    </row>
    <row r="2" spans="1:21">
      <c r="A2" s="4" t="s">
        <v>1</v>
      </c>
      <c r="B2" s="5" t="s">
        <v>2</v>
      </c>
      <c r="C2" s="5" t="s">
        <v>3</v>
      </c>
      <c r="D2" s="5" t="s">
        <v>4</v>
      </c>
    </row>
    <row r="3" spans="1:21" ht="24">
      <c r="A3" s="6"/>
      <c r="B3" s="7">
        <f>リバース占い!I3</f>
        <v>1981</v>
      </c>
      <c r="C3" s="7">
        <f>リバース占い!K3</f>
        <v>9</v>
      </c>
      <c r="D3" s="7">
        <f>リバース占い!L3</f>
        <v>7</v>
      </c>
    </row>
    <row r="5" spans="1:21" ht="17.25">
      <c r="A5" s="8" t="s">
        <v>5</v>
      </c>
      <c r="B5" s="9" t="s">
        <v>6</v>
      </c>
      <c r="P5" s="5" t="s">
        <v>7</v>
      </c>
      <c r="Q5" s="5" t="s">
        <v>8</v>
      </c>
      <c r="S5" s="5" t="s">
        <v>9</v>
      </c>
      <c r="T5" s="5" t="s">
        <v>10</v>
      </c>
      <c r="U5" s="5" t="s">
        <v>11</v>
      </c>
    </row>
    <row r="6" spans="1:21" ht="36.75" customHeight="1">
      <c r="A6" s="10" t="str">
        <f>リバース占い!V43</f>
        <v>おとめ座</v>
      </c>
      <c r="L6" s="11" t="s">
        <v>12</v>
      </c>
      <c r="M6" s="11" t="s">
        <v>13</v>
      </c>
      <c r="N6" s="12" t="s">
        <v>14</v>
      </c>
      <c r="O6" s="13"/>
      <c r="P6" s="14" t="s">
        <v>13</v>
      </c>
      <c r="Q6" s="14" t="s">
        <v>15</v>
      </c>
      <c r="S6" s="15" t="s">
        <v>16</v>
      </c>
      <c r="T6" s="15" t="s">
        <v>17</v>
      </c>
      <c r="U6" s="15" t="s">
        <v>18</v>
      </c>
    </row>
    <row r="7" spans="1:21" ht="72.75" customHeight="1">
      <c r="A7" s="16" t="s">
        <v>19</v>
      </c>
      <c r="B7" s="17" t="str">
        <f>VLOOKUP($A$6, 表裏星座一覧!A:F, 2, FALSE)</f>
        <v>完璧を求める鋭い分析力と、他者のために献身的に尽くす卓越した実務能力に秀でています。ルーペで物事を見るように細部まで目が行き届き、誰も気づかないような小さなミスや改善点を瞬時に見抜く才能があります。秩序と清潔を愛し、カオスな状況を美しく整理整頓していくことに喜びを感じます。自分にも他人にも厳しい傾向があるため、時には「まぁいいか」と許す大らかさを持つことで生きやすくなります。</v>
      </c>
      <c r="C7" s="18"/>
      <c r="D7" s="18"/>
      <c r="E7" s="18"/>
      <c r="F7" s="18"/>
      <c r="G7" s="18"/>
      <c r="H7" s="18"/>
      <c r="I7" s="18"/>
      <c r="J7" s="19"/>
      <c r="K7" s="20"/>
      <c r="L7" s="11" t="s">
        <v>20</v>
      </c>
      <c r="M7" s="11" t="s">
        <v>21</v>
      </c>
      <c r="N7" s="12" t="s">
        <v>22</v>
      </c>
      <c r="O7" s="13"/>
      <c r="P7" s="14" t="s">
        <v>21</v>
      </c>
      <c r="Q7" s="14" t="s">
        <v>22</v>
      </c>
      <c r="S7" s="15" t="s">
        <v>23</v>
      </c>
      <c r="T7" s="15" t="s">
        <v>24</v>
      </c>
      <c r="U7" s="21" t="s">
        <v>25</v>
      </c>
    </row>
    <row r="8" spans="1:21" ht="72.75" customHeight="1">
      <c r="A8" s="22" t="s">
        <v>26</v>
      </c>
      <c r="B8" s="17" t="str">
        <f>VLOOKUP($A$6, 表裏星座一覧!A:F, 3, FALSE)</f>
        <v>医療、データ分析、秘書、経理、プログラミングなど、正確性と緻密なスケジュール管理が求められる分野で右に出る者はいません。組織の中でトップに立つよりも、優秀なナンバーツーや参謀役として、リーダーの弱点を完璧にフォローするポジションで絶対的な評価を得ます。あなたの整然とした仕事ぶりと有能さは、どんな職場でも「絶対に手放せない人材」として重宝されます。</v>
      </c>
      <c r="C8" s="18"/>
      <c r="D8" s="18"/>
      <c r="E8" s="18"/>
      <c r="F8" s="18"/>
      <c r="G8" s="18"/>
      <c r="H8" s="18"/>
      <c r="I8" s="18"/>
      <c r="J8" s="19"/>
      <c r="K8" s="20"/>
      <c r="L8" s="11" t="s">
        <v>27</v>
      </c>
      <c r="M8" s="11" t="s">
        <v>28</v>
      </c>
      <c r="N8" s="12" t="s">
        <v>29</v>
      </c>
      <c r="O8" s="13"/>
      <c r="P8" s="14" t="s">
        <v>28</v>
      </c>
      <c r="Q8" s="14" t="s">
        <v>29</v>
      </c>
      <c r="S8" s="15" t="s">
        <v>30</v>
      </c>
      <c r="T8" s="15" t="s">
        <v>31</v>
      </c>
      <c r="U8" s="15" t="s">
        <v>32</v>
      </c>
    </row>
    <row r="9" spans="1:21" ht="72.75" customHeight="1">
      <c r="A9" s="22" t="s">
        <v>33</v>
      </c>
      <c r="B9" s="17" t="str">
        <f>VLOOKUP($A$6, 表裏星座一覧!A:F, 4, FALSE)</f>
        <v>純粋で潔癖なロマンチストであり、恋愛に対しても「完璧さ」を求めるため、非常に理想が高く、相手選びに慎重です。情熱だけで突っ走ることはなく、相手の生活態度や経済観念をしっかりと観察します。一度交際が始まると、相手の世話を焼き、献身的に尽くすことに深い愛情を感じます。結婚後は家計の管理や家事を完璧にこなし、清潔で規則正しい、非常に安定した模範的な家庭を築きます。</v>
      </c>
      <c r="C9" s="18"/>
      <c r="D9" s="18"/>
      <c r="E9" s="18"/>
      <c r="F9" s="18"/>
      <c r="G9" s="18"/>
      <c r="H9" s="18"/>
      <c r="I9" s="18"/>
      <c r="J9" s="19"/>
      <c r="K9" s="20"/>
      <c r="L9" s="11" t="s">
        <v>34</v>
      </c>
      <c r="M9" s="11" t="s">
        <v>35</v>
      </c>
      <c r="N9" s="12" t="s">
        <v>36</v>
      </c>
      <c r="O9" s="13"/>
      <c r="P9" s="14" t="s">
        <v>35</v>
      </c>
      <c r="Q9" s="14" t="s">
        <v>36</v>
      </c>
      <c r="S9" s="15" t="s">
        <v>37</v>
      </c>
      <c r="T9" s="15" t="s">
        <v>38</v>
      </c>
      <c r="U9" s="15" t="s">
        <v>39</v>
      </c>
    </row>
    <row r="10" spans="1:21" ht="72.75" customHeight="1">
      <c r="A10" s="22" t="s">
        <v>40</v>
      </c>
      <c r="B10" s="17" t="str">
        <f>VLOOKUP($A$6, 表裏星座一覧!A:F, 5, FALSE)</f>
        <v>無駄な支出を極端に嫌い、1円単位までしっかりと家計を管理できる非常に優秀で堅実な金運の持ち主です。衝動買いはほとんどせず、コストパフォーマンスや実用性を徹底的にリサーチしてから買い物をします。リスクの高いギャンブルや投資には手を出さず、安全確実な預貯金や定額積立などで、気づけば大きな財産を形成しているという手堅さが最大の強みです。</v>
      </c>
      <c r="C10" s="18"/>
      <c r="D10" s="18"/>
      <c r="E10" s="18"/>
      <c r="F10" s="18"/>
      <c r="G10" s="18"/>
      <c r="H10" s="18"/>
      <c r="I10" s="18"/>
      <c r="J10" s="19"/>
      <c r="K10" s="20"/>
      <c r="L10" s="11" t="s">
        <v>41</v>
      </c>
      <c r="M10" s="11" t="s">
        <v>42</v>
      </c>
      <c r="N10" s="12" t="s">
        <v>43</v>
      </c>
      <c r="O10" s="13"/>
      <c r="P10" s="14" t="s">
        <v>42</v>
      </c>
      <c r="Q10" s="14" t="s">
        <v>43</v>
      </c>
      <c r="S10" s="15" t="s">
        <v>44</v>
      </c>
      <c r="T10" s="15" t="s">
        <v>45</v>
      </c>
      <c r="U10" s="15" t="s">
        <v>46</v>
      </c>
    </row>
    <row r="11" spans="1:21" ht="72.75" customHeight="1">
      <c r="A11" s="22" t="s">
        <v>47</v>
      </c>
      <c r="B11" s="17" t="str">
        <f>VLOOKUP($A$6, 表裏星座一覧!A:F, 6, FALSE)</f>
        <v>大腸や小腸などの消化器官が弱点で、精神的なストレスや心配事がダイレクトにお腹の調子に影響します。完璧主義ゆえに神経をすり減らしやすいため、規則正しい生活リズムと、無農薬野菜やオーガニック食品など身体に優しい食事を摂ることが健康の基本です。休日は部屋の掃除や整理整頓をすることで心がスッキリと浄化され、自律神経のバランスを取り戻すことができます。</v>
      </c>
      <c r="C11" s="18"/>
      <c r="D11" s="18"/>
      <c r="E11" s="18"/>
      <c r="F11" s="18"/>
      <c r="G11" s="18"/>
      <c r="H11" s="18"/>
      <c r="I11" s="18"/>
      <c r="J11" s="19"/>
      <c r="K11" s="23"/>
      <c r="L11" s="11" t="s">
        <v>48</v>
      </c>
      <c r="M11" s="11" t="s">
        <v>49</v>
      </c>
      <c r="N11" s="12" t="s">
        <v>50</v>
      </c>
      <c r="O11" s="13"/>
      <c r="P11" s="14" t="s">
        <v>49</v>
      </c>
      <c r="Q11" s="14" t="s">
        <v>50</v>
      </c>
    </row>
    <row r="12" spans="1:21" ht="27">
      <c r="L12" s="11" t="s">
        <v>51</v>
      </c>
      <c r="M12" s="11" t="s">
        <v>52</v>
      </c>
      <c r="N12" s="12" t="s">
        <v>53</v>
      </c>
      <c r="O12" s="13"/>
      <c r="P12" s="14" t="s">
        <v>52</v>
      </c>
      <c r="Q12" s="14" t="s">
        <v>53</v>
      </c>
    </row>
    <row r="13" spans="1:21" ht="23.25" customHeight="1">
      <c r="A13" s="24" t="s">
        <v>54</v>
      </c>
      <c r="B13" s="25" t="s">
        <v>55</v>
      </c>
      <c r="L13" s="11" t="s">
        <v>56</v>
      </c>
      <c r="M13" s="11" t="s">
        <v>57</v>
      </c>
      <c r="N13" s="12" t="s">
        <v>58</v>
      </c>
      <c r="O13" s="13"/>
      <c r="P13" s="14" t="s">
        <v>57</v>
      </c>
      <c r="Q13" s="14" t="s">
        <v>58</v>
      </c>
    </row>
    <row r="14" spans="1:21" ht="29.25" customHeight="1">
      <c r="A14" s="26" t="str">
        <f>リバース占い!V42</f>
        <v>裏かに座</v>
      </c>
      <c r="L14" s="11" t="s">
        <v>59</v>
      </c>
      <c r="M14" s="11" t="s">
        <v>60</v>
      </c>
      <c r="N14" s="12" t="s">
        <v>61</v>
      </c>
      <c r="O14" s="13"/>
      <c r="P14" s="14" t="s">
        <v>60</v>
      </c>
      <c r="Q14" s="14" t="s">
        <v>61</v>
      </c>
    </row>
    <row r="15" spans="1:21" ht="102.75" customHeight="1">
      <c r="A15" s="16" t="s">
        <v>19</v>
      </c>
      <c r="B15" s="17" t="str">
        <f>VLOOKUP($A$14, 表裏星座一覧!A:F, 2, FALSE)</f>
        <v>他人に決して無断で踏み込まれない、強固で神聖な「聖域」を心の奥底に持つ孤高の存在です。表面上は穏やかで周囲に合わせているように見えても、内面にはいかなる逆境にも屈しない底知れぬ忍耐力と、世間の理不尽に対する強い反骨精神を秘めています。自分のテリトリーや愛する人々を脅かすものに対しては、徹底的に戦い抜く防衛本能の強さを持っています。容易には人に本性を見せず、真の理解者を得るまでには時間がかかりますが、自らの聖域の中でじっくりと魂を磨き上げ、最終的には誰にも到達できないような深い精神性と実力を身につける大器晩成型の重厚な人生を歩みます。</v>
      </c>
      <c r="C15" s="18"/>
      <c r="D15" s="18"/>
      <c r="E15" s="18"/>
      <c r="F15" s="18"/>
      <c r="G15" s="18"/>
      <c r="H15" s="18"/>
      <c r="I15" s="18"/>
      <c r="J15" s="19"/>
      <c r="K15" s="23"/>
      <c r="L15" s="11" t="s">
        <v>62</v>
      </c>
      <c r="M15" s="11" t="s">
        <v>63</v>
      </c>
      <c r="N15" s="12" t="s">
        <v>64</v>
      </c>
      <c r="O15" s="13"/>
      <c r="P15" s="14" t="s">
        <v>63</v>
      </c>
      <c r="Q15" s="14" t="s">
        <v>64</v>
      </c>
    </row>
    <row r="16" spans="1:21" ht="103.5" customHeight="1">
      <c r="A16" s="22" t="s">
        <v>26</v>
      </c>
      <c r="B16" s="17" t="str">
        <f>VLOOKUP($A$14, 表裏星座一覧!A:F, 3, FALSE)</f>
        <v>他人のペースや職場のノイズに巻き込まれることを嫌い、自分のペースで深く没頭できる専門分野や職人肌の仕事において、他の追随を許さない絶大な信頼を得ます。底知れぬ忍耐力と反骨精神を活かし、人が投げ出すような困難な課題や、緻密な集中力が求められる業務に黙々と取り組み、完璧な結果を出して見せます。表立って目立つポジションよりも、「この人に任せておけば絶対に間違いない」と言われるような、組織の裏大黒柱や専門家としての地位を確立することで、生涯にわたって揺るぎないキャリアと名誉を築き上げる仕事運です。</v>
      </c>
      <c r="C16" s="18"/>
      <c r="D16" s="18"/>
      <c r="E16" s="18"/>
      <c r="F16" s="18"/>
      <c r="G16" s="18"/>
      <c r="H16" s="18"/>
      <c r="I16" s="18"/>
      <c r="J16" s="19"/>
      <c r="K16" s="23"/>
      <c r="L16" s="11" t="s">
        <v>65</v>
      </c>
      <c r="M16" s="11" t="s">
        <v>66</v>
      </c>
      <c r="N16" s="12" t="s">
        <v>67</v>
      </c>
      <c r="O16" s="13"/>
      <c r="P16" s="14" t="s">
        <v>66</v>
      </c>
      <c r="Q16" s="14" t="s">
        <v>67</v>
      </c>
    </row>
    <row r="17" spans="1:22" ht="103.5" customHeight="1">
      <c r="A17" s="22" t="s">
        <v>33</v>
      </c>
      <c r="B17" s="17" t="str">
        <f>VLOOKUP($A$14, 表裏星座一覧!A:F, 4, FALSE)</f>
        <v>警戒心が強く、自らの聖域を守ろうとするため、他者に心を開くのには非常に長い時間を必要とします。しかし、厳しい審査を経て一度この人と決めて愛せば、見返りを一切求めない底知れぬ深い愛情を永遠に注ぎ続けるという、究極の愛情深さを持っています。恋愛の延長線上には常に「家族」や「絶対的な味方」としての絆を求めており、遊びの恋には見向きもしません。結婚後はパートナーや子供を自分の神聖なテリトリー内に迎え入れ、どんな自己犠牲を払ってでも家族を守り抜く、非常に強固で温かい愛情に満ちた家庭を築き上げます。</v>
      </c>
      <c r="C17" s="18"/>
      <c r="D17" s="18"/>
      <c r="E17" s="18"/>
      <c r="F17" s="18"/>
      <c r="G17" s="18"/>
      <c r="H17" s="18"/>
      <c r="I17" s="18"/>
      <c r="J17" s="19"/>
      <c r="K17" s="23"/>
      <c r="L17" s="11" t="s">
        <v>68</v>
      </c>
      <c r="M17" s="11" t="s">
        <v>69</v>
      </c>
      <c r="N17" s="12" t="s">
        <v>70</v>
      </c>
      <c r="O17" s="13"/>
      <c r="P17" s="14" t="s">
        <v>69</v>
      </c>
      <c r="Q17" s="14" t="s">
        <v>70</v>
      </c>
    </row>
    <row r="18" spans="1:22" ht="101.25" customHeight="1">
      <c r="A18" s="22" t="s">
        <v>40</v>
      </c>
      <c r="B18" s="17" t="str">
        <f>VLOOKUP($A$14, 表裏星座一覧!A:F, 5, FALSE)</f>
        <v>他人に踏み込まれない聖域を持つ孤高の性質は、金銭感覚においても非常に保守的で防衛本能の強い形となって表れます。ギャンブルや不確実な投資には一切手を出さず、自分のペースで没頭できる専門分野で確実に稼いだお金を、将来の安心のためにコツコツと蓄積していく能力に並外れたものがあります。底知れぬ忍耐力を持って無駄遣いを徹底的に排除し、家族や自分の城（マイホームなど）を守るための強固な経済的基盤を長年かけて築き上げます。決して派手さはありませんが、晩年になるほど圧倒的な安心感を手にする手堅い金運です。</v>
      </c>
      <c r="C18" s="18"/>
      <c r="D18" s="18"/>
      <c r="E18" s="18"/>
      <c r="F18" s="18"/>
      <c r="G18" s="18"/>
      <c r="H18" s="18"/>
      <c r="I18" s="18"/>
      <c r="J18" s="19"/>
      <c r="K18" s="23"/>
      <c r="L18" s="11" t="s">
        <v>71</v>
      </c>
      <c r="M18" s="11" t="s">
        <v>72</v>
      </c>
      <c r="N18" s="12" t="s">
        <v>73</v>
      </c>
      <c r="O18" s="13"/>
      <c r="P18" s="14" t="s">
        <v>72</v>
      </c>
      <c r="Q18" s="14" t="s">
        <v>73</v>
      </c>
    </row>
    <row r="19" spans="1:22" ht="107.25" customHeight="1">
      <c r="A19" s="16" t="s">
        <v>74</v>
      </c>
      <c r="B19" s="17" t="str">
        <f>VLOOKUP($A$14, 表裏星座一覧!A:F, 6, FALSE)</f>
        <v>底知れぬ忍耐力を持つがゆえに、ストレスや疲労を限界の限界まで一人で耐え忍んでしまう傾向があり、それが健康面での最大の懸念事項です。他人に踏み込まれない聖域を侵されたり、人間関係で強いストレスを感じると、胃腸などの消化器官にダイレクトに不調が現れやすい体質を持っています。健康を維持するためには、絶対に誰にも邪魔されない自分だけのリラックス空間（自室や趣味の場所）を整え、そこに引きこもって感情を完全にリセットする時間を定期的に確保することが、心身のバランスを保つための最重要課題となります。</v>
      </c>
      <c r="C19" s="18"/>
      <c r="D19" s="18"/>
      <c r="E19" s="18"/>
      <c r="F19" s="18"/>
      <c r="G19" s="18"/>
      <c r="H19" s="18"/>
      <c r="I19" s="18"/>
      <c r="J19" s="19"/>
      <c r="K19" s="23"/>
      <c r="L19" s="11" t="s">
        <v>75</v>
      </c>
      <c r="M19" s="11" t="s">
        <v>76</v>
      </c>
      <c r="N19" s="12" t="s">
        <v>77</v>
      </c>
      <c r="O19" s="13"/>
      <c r="P19" s="14" t="s">
        <v>76</v>
      </c>
      <c r="Q19" s="14" t="s">
        <v>77</v>
      </c>
    </row>
    <row r="20" spans="1:22" ht="27">
      <c r="L20" s="11" t="s">
        <v>78</v>
      </c>
      <c r="M20" s="11" t="s">
        <v>79</v>
      </c>
      <c r="N20" s="12" t="s">
        <v>80</v>
      </c>
      <c r="O20" s="13"/>
      <c r="P20" s="14" t="s">
        <v>79</v>
      </c>
      <c r="Q20" s="14" t="s">
        <v>80</v>
      </c>
    </row>
    <row r="21" spans="1:22" ht="23.25" customHeight="1">
      <c r="A21" s="27" t="s">
        <v>81</v>
      </c>
      <c r="L21" s="11" t="s">
        <v>82</v>
      </c>
      <c r="M21" s="11" t="s">
        <v>83</v>
      </c>
      <c r="N21" s="12" t="s">
        <v>84</v>
      </c>
      <c r="O21" s="13"/>
      <c r="P21" s="14" t="s">
        <v>83</v>
      </c>
      <c r="Q21" s="14" t="s">
        <v>84</v>
      </c>
    </row>
    <row r="22" spans="1:22" ht="69" customHeight="1">
      <c r="A22" s="28" t="s">
        <v>85</v>
      </c>
      <c r="B22" s="28"/>
      <c r="C22" s="28"/>
      <c r="D22" s="28"/>
      <c r="E22" s="28"/>
      <c r="F22" s="28"/>
      <c r="G22" s="28"/>
      <c r="H22" s="28"/>
      <c r="I22" s="28"/>
      <c r="J22" s="28"/>
      <c r="K22" s="28"/>
      <c r="L22" s="11" t="s">
        <v>86</v>
      </c>
      <c r="M22" s="11" t="s">
        <v>87</v>
      </c>
      <c r="N22" s="12" t="s">
        <v>88</v>
      </c>
      <c r="O22" s="13"/>
      <c r="P22" s="14" t="s">
        <v>87</v>
      </c>
      <c r="Q22" s="14" t="s">
        <v>88</v>
      </c>
    </row>
    <row r="23" spans="1:22" ht="50.25" customHeight="1">
      <c r="A23" s="29" t="s">
        <v>89</v>
      </c>
      <c r="B23" s="30" t="str">
        <f>リバース占い!W43</f>
        <v>60°・120°（セクスタイル・トライン）</v>
      </c>
      <c r="C23" s="30"/>
      <c r="D23" s="30"/>
      <c r="E23" s="30"/>
      <c r="F23" s="31" t="str">
        <f>リバース占い!X43</f>
        <v>【ナチュラル・ハーモニー型】</v>
      </c>
      <c r="G23" s="31"/>
      <c r="H23" s="31"/>
      <c r="L23" s="11" t="s">
        <v>90</v>
      </c>
      <c r="M23" s="11" t="s">
        <v>91</v>
      </c>
      <c r="N23" s="12" t="s">
        <v>92</v>
      </c>
      <c r="O23" s="13"/>
      <c r="P23" s="14" t="s">
        <v>91</v>
      </c>
      <c r="Q23" s="14" t="s">
        <v>92</v>
      </c>
    </row>
    <row r="24" spans="1:22" ht="45" customHeight="1">
      <c r="A24" s="32" t="s">
        <v>93</v>
      </c>
      <c r="B24" s="32"/>
      <c r="C24" s="17" t="str">
        <f>VLOOKUP($B$23, 表裏星座一覧!A:F, 3, FALSE)</f>
        <v>表と裏が同じ、または相性の良い価値観（エレメント）で結ばれた調和の配置です。</v>
      </c>
      <c r="D24" s="18"/>
      <c r="E24" s="18"/>
      <c r="F24" s="18"/>
      <c r="G24" s="18"/>
      <c r="H24" s="18"/>
      <c r="I24" s="18"/>
      <c r="J24" s="19"/>
      <c r="K24" s="23"/>
      <c r="L24" s="11" t="s">
        <v>94</v>
      </c>
      <c r="M24" s="11" t="s">
        <v>95</v>
      </c>
      <c r="N24" s="12" t="s">
        <v>96</v>
      </c>
      <c r="O24" s="13"/>
      <c r="P24" s="14" t="s">
        <v>95</v>
      </c>
      <c r="Q24" s="14" t="s">
        <v>96</v>
      </c>
    </row>
    <row r="25" spans="1:22" ht="122.25" customHeight="1">
      <c r="A25" s="32" t="s">
        <v>97</v>
      </c>
      <c r="B25" s="33"/>
      <c r="C25" s="17" t="str">
        <f>VLOOKUP($B$23, 表裏星座一覧!A:F, 4, FALSE)</f>
        <v>社会的な「表の顔」と深層の「裏の顔」が、お互いに協力し合い、自然にエネルギーを循環させる最もストレスの少ない配置です。アウターキャラのスキルを使って、インナーキャラの欲求をスムーズに満たすことができるため、人生において「無理をしている」という感覚が非常に薄いのが特徴です。生まれながらにして物事の要領を掴むのが上手く、周囲からは「天才肌」「いつも自然体で恵まれている人」として愛されます。人間関係の構築や才能の発揮において、摩擦ゼロで波に乗ることができる天性の才能と幸運の持ち主です。</v>
      </c>
      <c r="D25" s="18"/>
      <c r="E25" s="18"/>
      <c r="F25" s="18"/>
      <c r="G25" s="18"/>
      <c r="H25" s="18"/>
      <c r="I25" s="18"/>
      <c r="J25" s="19"/>
      <c r="K25" s="23"/>
      <c r="L25" s="11" t="s">
        <v>98</v>
      </c>
      <c r="M25" s="11" t="s">
        <v>99</v>
      </c>
      <c r="N25" s="34" t="s">
        <v>100</v>
      </c>
      <c r="O25" s="35"/>
      <c r="P25" s="14" t="s">
        <v>99</v>
      </c>
      <c r="Q25" s="14" t="s">
        <v>100</v>
      </c>
    </row>
    <row r="26" spans="1:22" ht="122.25" customHeight="1">
      <c r="A26" s="32" t="s">
        <v>101</v>
      </c>
      <c r="B26" s="33"/>
      <c r="C26" s="17" t="str">
        <f>VLOOKUP($B$23, 表裏星座一覧!A:F, 5, FALSE)</f>
        <v>物事が比較的スムーズに運びやすいため、極限状態での「泥臭いハングリー精神」や「何がなんでも這い上がる執念」が育ちにくいのが最大の弱点です。想定外の巨大な壁や、理不尽な逆境に直面した時、戦う前に「まあ、別の楽な道に行けばいいか」と簡単に見切りをつけてしまう傾向があります。自分の中での摩擦や葛藤がない分、現状維持の「ぬるま湯（コンフォートゾーン）」に浸かりやすく、本来持っている莫大なポテンシャルの半分も発揮せずに人生を終えてしまうという、もったいないパターンの陥りやすさを持っています。</v>
      </c>
      <c r="D26" s="18"/>
      <c r="E26" s="18"/>
      <c r="F26" s="18"/>
      <c r="G26" s="18"/>
      <c r="H26" s="18"/>
      <c r="I26" s="18"/>
      <c r="J26" s="19"/>
      <c r="K26" s="23"/>
      <c r="L26" s="11" t="s">
        <v>102</v>
      </c>
      <c r="M26" s="11" t="s">
        <v>103</v>
      </c>
      <c r="N26" s="35" t="s">
        <v>104</v>
      </c>
      <c r="O26" s="35"/>
      <c r="P26" s="36" t="s">
        <v>103</v>
      </c>
      <c r="Q26" s="14" t="s">
        <v>105</v>
      </c>
    </row>
    <row r="27" spans="1:22" ht="122.25" customHeight="1">
      <c r="A27" s="32" t="s">
        <v>106</v>
      </c>
      <c r="B27" s="33"/>
      <c r="C27" s="17" t="str">
        <f>VLOOKUP($B$23, 表裏星座一覧!A:F, 6, FALSE)</f>
        <v>あなたに必要なのは、意図的に「コンフォートゾーン（安全地帯）から抜け出す」という意識です。生まれ持った才能と運の流れがすでに完璧に整っているため、あえて少しハードルの高い目標を設定し、汗をかいて努力した時の成功率は144パターンの中でトップクラスです。自分を甘やかさないために、少し厳しめの指導者や、あなたとは全く違う価値観で刺激を与えてくれるライバルを意図的に持ちましょう。恵まれた環境に甘んじず、自ら「挑戦の負荷」をかけることで、あなたの運命は一気にスケールアップします。</v>
      </c>
      <c r="D27" s="18"/>
      <c r="E27" s="18"/>
      <c r="F27" s="18"/>
      <c r="G27" s="18"/>
      <c r="H27" s="18"/>
      <c r="I27" s="18"/>
      <c r="J27" s="19"/>
      <c r="K27" s="23"/>
      <c r="L27" s="2" t="s">
        <v>107</v>
      </c>
      <c r="M27" s="2" t="s">
        <v>107</v>
      </c>
      <c r="N27" s="35" t="s">
        <v>107</v>
      </c>
      <c r="O27" s="35"/>
    </row>
    <row r="28" spans="1:22">
      <c r="C28" s="37"/>
      <c r="D28" s="37"/>
      <c r="E28" s="37"/>
      <c r="F28" s="37"/>
      <c r="G28" s="37"/>
      <c r="H28" s="37"/>
      <c r="I28" s="37"/>
      <c r="J28" s="37"/>
      <c r="K28" s="37"/>
    </row>
    <row r="29" spans="1:22" ht="25.5" customHeight="1"/>
    <row r="30" spans="1:22" ht="25.5" customHeight="1">
      <c r="A30" s="9" t="s">
        <v>108</v>
      </c>
      <c r="N30" s="5" t="s">
        <v>109</v>
      </c>
      <c r="O30" s="5" t="s">
        <v>110</v>
      </c>
      <c r="P30" s="5" t="s">
        <v>111</v>
      </c>
      <c r="Q30" s="38" t="s">
        <v>112</v>
      </c>
      <c r="R30" s="38" t="s">
        <v>113</v>
      </c>
      <c r="S30" s="38" t="s">
        <v>111</v>
      </c>
      <c r="T30" s="38" t="s">
        <v>112</v>
      </c>
      <c r="U30" s="38" t="s">
        <v>114</v>
      </c>
      <c r="V30" s="38" t="s">
        <v>111</v>
      </c>
    </row>
    <row r="31" spans="1:22" ht="25.5" customHeight="1">
      <c r="A31" s="39">
        <f ca="1">YEAR(TODAY())-3</f>
        <v>2023</v>
      </c>
      <c r="B31" s="40" t="str">
        <f ca="1">INDEX(リバース占い!AV:AV, MATCH(A31, INDEX(VALUE(TRIM(リバース占い!AG:AG)), 0), 0))</f>
        <v>有頂天</v>
      </c>
      <c r="C31" s="41" t="str">
        <f ca="1">INDEX(リバース占い!AW:AW, MATCH(A31, INDEX(VALUE(TRIM(リバース占い!AG:AG)), 0), 0))</f>
        <v>第2の絶頂期。過去の縁が繋がり、周囲を巻き込み大きな成果を出す。</v>
      </c>
      <c r="D31" s="41"/>
      <c r="E31" s="41"/>
      <c r="F31" s="41"/>
      <c r="G31" s="41"/>
      <c r="H31" s="41"/>
      <c r="I31" s="41"/>
      <c r="J31" s="41"/>
      <c r="K31" s="42" t="str">
        <f ca="1">INDEX(リバース占い!AN:AN, MATCH($A31, INDEX(VALUE(TRIM(リバース占い!$AG:$AG)), 0), 0))</f>
        <v>刑</v>
      </c>
      <c r="L31" s="42" t="str">
        <f ca="1">INDEX(リバース占い!AO:AO, MATCH($A31, INDEX(VALUE(TRIM(リバース占い!$AG:$AG)), 0), 0))</f>
        <v>－</v>
      </c>
      <c r="M31" s="42" t="str">
        <f ca="1">INDEX(リバース占い!AP:AP, MATCH($A31, INDEX(VALUE(TRIM(リバース占い!$AG:$AG)), 0), 0))</f>
        <v>対冲</v>
      </c>
      <c r="N31" s="36" t="str">
        <f ca="1">VLOOKUP(K31,$L$6:$P$27,2,FALSE)</f>
        <v>バトル</v>
      </c>
      <c r="O31" s="36" t="str">
        <f t="shared" ref="O31:P42" ca="1" si="0">VLOOKUP(L31,$L$6:$P$27,2,FALSE)</f>
        <v>－</v>
      </c>
      <c r="P31" s="36" t="str">
        <f t="shared" ca="1" si="0"/>
        <v>クラッシュ</v>
      </c>
      <c r="Q31" s="3" t="str">
        <f ca="1">INDEX(リバース占い!AR:AR, MATCH($A31, INDEX(VALUE(TRIM(リバース占い!$AG:$AG)), 0), 0))</f>
        <v>戊癸干合</v>
      </c>
      <c r="R31" s="3" t="str">
        <f ca="1">INDEX(リバース占い!AS:AS, MATCH($A31, INDEX(VALUE(TRIM(リバース占い!$AG:$AG)), 0), 0))</f>
        <v/>
      </c>
      <c r="S31" s="3" t="str">
        <f ca="1">INDEX(リバース占い!AT:AT, MATCH($A31, INDEX(VALUE(TRIM(リバース占い!$AG:$AG)), 0), 0))</f>
        <v/>
      </c>
      <c r="T31" s="2" t="str">
        <f ca="1">VLOOKUP(Q31,$S$5:$U$10,3,FALSE)</f>
        <v>オトメ化</v>
      </c>
      <c r="U31" s="2" t="e">
        <f t="shared" ref="U31:V42" ca="1" si="1">VLOOKUP(R31,$S$5:$U$10,3,FALSE)</f>
        <v>#N/A</v>
      </c>
      <c r="V31" s="2" t="e">
        <f t="shared" ca="1" si="1"/>
        <v>#N/A</v>
      </c>
    </row>
    <row r="32" spans="1:22" ht="25.5" customHeight="1">
      <c r="A32" s="39">
        <f ca="1">YEAR(TODAY())-2</f>
        <v>2024</v>
      </c>
      <c r="B32" s="40" t="str">
        <f ca="1">INDEX(リバース占い!AV:AV, MATCH(A32, INDEX(VALUE(TRIM(リバース占い!AG:AG)), 0), 0))</f>
        <v>満天</v>
      </c>
      <c r="C32" s="41" t="str">
        <f ca="1">INDEX(リバース占い!AW:AW, MATCH(A32, INDEX(VALUE(TRIM(リバース占い!AG:AG)), 0), 0))</f>
        <v>収穫の喜び。物質や人脈などあらゆる財を蓄積し、強固な基盤を作る。</v>
      </c>
      <c r="D32" s="41"/>
      <c r="E32" s="41"/>
      <c r="F32" s="41"/>
      <c r="G32" s="41"/>
      <c r="H32" s="41"/>
      <c r="I32" s="41"/>
      <c r="J32" s="41"/>
      <c r="K32" s="42" t="str">
        <f ca="1">INDEX(リバース占い!AN:AN, MATCH($A32, INDEX(VALUE(TRIM(リバース占い!$AG:$AG)), 0), 0))</f>
        <v>半会</v>
      </c>
      <c r="L32" s="42" t="str">
        <f ca="1">INDEX(リバース占い!AO:AO, MATCH($A32, INDEX(VALUE(TRIM(リバース占い!$AG:$AG)), 0), 0))</f>
        <v>半会</v>
      </c>
      <c r="M32" s="42" t="str">
        <f ca="1">INDEX(リバース占い!AP:AP, MATCH($A32, INDEX(VALUE(TRIM(リバース占い!$AG:$AG)), 0), 0))</f>
        <v>支合</v>
      </c>
      <c r="N32" s="36" t="str">
        <f t="shared" ref="N32:N42" ca="1" si="2">VLOOKUP(K32,$L$6:$P$27,2,FALSE)</f>
        <v>シナジー</v>
      </c>
      <c r="O32" s="36" t="str">
        <f t="shared" ca="1" si="0"/>
        <v>シナジー</v>
      </c>
      <c r="P32" s="36" t="str">
        <f t="shared" ca="1" si="0"/>
        <v>バランス</v>
      </c>
      <c r="Q32" s="3" t="str">
        <f ca="1">INDEX(リバース占い!AR:AR, MATCH($A32, INDEX(VALUE(TRIM(リバース占い!$AG:$AG)), 0), 0))</f>
        <v/>
      </c>
      <c r="R32" s="3" t="str">
        <f ca="1">INDEX(リバース占い!AS:AS, MATCH($A32, INDEX(VALUE(TRIM(リバース占い!$AG:$AG)), 0), 0))</f>
        <v/>
      </c>
      <c r="S32" s="3" t="str">
        <f ca="1">INDEX(リバース占い!AT:AT, MATCH($A32, INDEX(VALUE(TRIM(リバース占い!$AG:$AG)), 0), 0))</f>
        <v/>
      </c>
      <c r="T32" s="2" t="e">
        <f t="shared" ref="T32:T42" ca="1" si="3">VLOOKUP(Q32,$S$5:$U$10,3,FALSE)</f>
        <v>#N/A</v>
      </c>
      <c r="U32" s="2" t="e">
        <f t="shared" ca="1" si="1"/>
        <v>#N/A</v>
      </c>
      <c r="V32" s="2" t="e">
        <f t="shared" ca="1" si="1"/>
        <v>#N/A</v>
      </c>
    </row>
    <row r="33" spans="1:22" ht="25.5" customHeight="1">
      <c r="A33" s="39">
        <f ca="1">YEAR(TODAY())-1</f>
        <v>2025</v>
      </c>
      <c r="B33" s="40" t="str">
        <f ca="1">INDEX(リバース占い!AV:AV, MATCH(A33, INDEX(VALUE(TRIM(リバース占い!AG:AG)), 0), 0))</f>
        <v>静天</v>
      </c>
      <c r="C33" s="41" t="str">
        <f ca="1">INDEX(リバース占い!AW:AW, MATCH(A33, INDEX(VALUE(TRIM(リバース占い!AG:AG)), 0), 0))</f>
        <v>成果が出揃う。精神的な安定と充実の中で平和に人生を俯瞰する時期。</v>
      </c>
      <c r="D33" s="41"/>
      <c r="E33" s="41"/>
      <c r="F33" s="41"/>
      <c r="G33" s="41"/>
      <c r="H33" s="41"/>
      <c r="I33" s="41"/>
      <c r="J33" s="41"/>
      <c r="K33" s="42" t="str">
        <f ca="1">INDEX(リバース占い!AN:AN, MATCH($A33, INDEX(VALUE(TRIM(リバース占い!$AG:$AG)), 0), 0))</f>
        <v>－</v>
      </c>
      <c r="L33" s="42" t="str">
        <f ca="1">INDEX(リバース占い!AO:AO, MATCH($A33, INDEX(VALUE(TRIM(リバース占い!$AG:$AG)), 0), 0))</f>
        <v>支合</v>
      </c>
      <c r="M33" s="42" t="str">
        <f ca="1">INDEX(リバース占い!AP:AP, MATCH($A33, INDEX(VALUE(TRIM(リバース占い!$AG:$AG)), 0), 0))</f>
        <v>半会</v>
      </c>
      <c r="N33" s="36" t="str">
        <f t="shared" ca="1" si="2"/>
        <v>－</v>
      </c>
      <c r="O33" s="36" t="str">
        <f t="shared" ca="1" si="0"/>
        <v>バランス</v>
      </c>
      <c r="P33" s="36" t="str">
        <f t="shared" ca="1" si="0"/>
        <v>シナジー</v>
      </c>
      <c r="Q33" s="3" t="str">
        <f ca="1">INDEX(リバース占い!AR:AR, MATCH($A33, INDEX(VALUE(TRIM(リバース占い!$AG:$AG)), 0), 0))</f>
        <v/>
      </c>
      <c r="R33" s="3" t="str">
        <f ca="1">INDEX(リバース占い!AS:AS, MATCH($A33, INDEX(VALUE(TRIM(リバース占い!$AG:$AG)), 0), 0))</f>
        <v/>
      </c>
      <c r="S33" s="3" t="str">
        <f ca="1">INDEX(リバース占い!AT:AT, MATCH($A33, INDEX(VALUE(TRIM(リバース占い!$AG:$AG)), 0), 0))</f>
        <v/>
      </c>
      <c r="T33" s="2" t="e">
        <f ca="1">VLOOKUP(Q33,$S$5:$U$10,3,FALSE)</f>
        <v>#N/A</v>
      </c>
      <c r="U33" s="2" t="e">
        <f ca="1">VLOOKUP(R33,$S$5:$U$10,3,FALSE)</f>
        <v>#N/A</v>
      </c>
      <c r="V33" s="2" t="e">
        <f ca="1">VLOOKUP(S33,$S$5:$U$10,3,FALSE)</f>
        <v>#N/A</v>
      </c>
    </row>
    <row r="34" spans="1:22" ht="25.5" customHeight="1">
      <c r="A34" s="39">
        <f ca="1">YEAR(TODAY())</f>
        <v>2026</v>
      </c>
      <c r="B34" s="40" t="str">
        <f ca="1">INDEX(リバース占い!AV:AV, MATCH(A34, INDEX(VALUE(TRIM(リバース占い!AG:AG)), 0), 0))</f>
        <v>暗天</v>
      </c>
      <c r="C34" s="41" t="str">
        <f ca="1">INDEX(リバース占い!AW:AW, MATCH(A34, INDEX(VALUE(TRIM(リバース占い!AG:AG)), 0), 0))</f>
        <v>運気下降（運の冬入り）。孤独を感じやすいが水面下の自己鍛錬が必要。</v>
      </c>
      <c r="D34" s="41"/>
      <c r="E34" s="41"/>
      <c r="F34" s="41"/>
      <c r="G34" s="41"/>
      <c r="H34" s="41"/>
      <c r="I34" s="41"/>
      <c r="J34" s="41"/>
      <c r="K34" s="42" t="str">
        <f ca="1">INDEX(リバース占い!AN:AN, MATCH($A34, INDEX(VALUE(TRIM(リバース占い!$AG:$AG)), 0), 0))</f>
        <v>対冲</v>
      </c>
      <c r="L34" s="42" t="str">
        <f ca="1">INDEX(リバース占い!AO:AO, MATCH($A34, INDEX(VALUE(TRIM(リバース占い!$AG:$AG)), 0), 0))</f>
        <v>－</v>
      </c>
      <c r="M34" s="42" t="str">
        <f ca="1">INDEX(リバース占い!AP:AP, MATCH($A34, INDEX(VALUE(TRIM(リバース占い!$AG:$AG)), 0), 0))</f>
        <v>－</v>
      </c>
      <c r="N34" s="36" t="str">
        <f t="shared" ca="1" si="2"/>
        <v>クラッシュ</v>
      </c>
      <c r="O34" s="36" t="str">
        <f t="shared" ca="1" si="0"/>
        <v>－</v>
      </c>
      <c r="P34" s="36" t="str">
        <f t="shared" ca="1" si="0"/>
        <v>－</v>
      </c>
      <c r="Q34" s="3" t="str">
        <f ca="1">INDEX(リバース占い!AR:AR, MATCH($A34, INDEX(VALUE(TRIM(リバース占い!$AG:$AG)), 0), 0))</f>
        <v/>
      </c>
      <c r="R34" s="3" t="str">
        <f ca="1">INDEX(リバース占い!AS:AS, MATCH($A34, INDEX(VALUE(TRIM(リバース占い!$AG:$AG)), 0), 0))</f>
        <v/>
      </c>
      <c r="S34" s="3" t="str">
        <f ca="1">INDEX(リバース占い!AT:AT, MATCH($A34, INDEX(VALUE(TRIM(リバース占い!$AG:$AG)), 0), 0))</f>
        <v>丙辛干合</v>
      </c>
      <c r="T34" s="2" t="e">
        <f t="shared" ca="1" si="3"/>
        <v>#N/A</v>
      </c>
      <c r="U34" s="2" t="e">
        <f t="shared" ca="1" si="1"/>
        <v>#N/A</v>
      </c>
      <c r="V34" s="2" t="str">
        <f t="shared" ca="1" si="1"/>
        <v>デレ化</v>
      </c>
    </row>
    <row r="35" spans="1:22" ht="25.5" customHeight="1">
      <c r="A35" s="39">
        <f ca="1">YEAR(TODAY())+1</f>
        <v>2027</v>
      </c>
      <c r="B35" s="40" t="str">
        <f ca="1">INDEX(リバース占い!AV:AV, MATCH(A35, INDEX(VALUE(TRIM(リバース占い!AG:AG)), 0), 0))</f>
        <v>大曇天</v>
      </c>
      <c r="C35" s="41" t="str">
        <f ca="1">INDEX(リバース占い!AW:AW, MATCH(A35, INDEX(VALUE(TRIM(リバース占い!AG:AG)), 0), 0))</f>
        <v>運命の停止（運の真冬時期）。古い価値観を手放す究極の浄化期間。</v>
      </c>
      <c r="D35" s="41"/>
      <c r="E35" s="41"/>
      <c r="F35" s="41"/>
      <c r="G35" s="41"/>
      <c r="H35" s="41"/>
      <c r="I35" s="41"/>
      <c r="J35" s="41"/>
      <c r="K35" s="42" t="str">
        <f ca="1">INDEX(リバース占い!AN:AN, MATCH($A35, INDEX(VALUE(TRIM(リバース占い!$AG:$AG)), 0), 0))</f>
        <v>害</v>
      </c>
      <c r="L35" s="42" t="str">
        <f ca="1">INDEX(リバース占い!AO:AO, MATCH($A35, INDEX(VALUE(TRIM(リバース占い!$AG:$AG)), 0), 0))</f>
        <v>－</v>
      </c>
      <c r="M35" s="42" t="str">
        <f ca="1">INDEX(リバース占い!AP:AP, MATCH($A35, INDEX(VALUE(TRIM(リバース占い!$AG:$AG)), 0), 0))</f>
        <v>－</v>
      </c>
      <c r="N35" s="36" t="str">
        <f t="shared" ca="1" si="2"/>
        <v>ストレス</v>
      </c>
      <c r="O35" s="36" t="str">
        <f t="shared" ca="1" si="0"/>
        <v>－</v>
      </c>
      <c r="P35" s="36" t="str">
        <f t="shared" ca="1" si="0"/>
        <v>－</v>
      </c>
      <c r="Q35" s="3" t="str">
        <f ca="1">INDEX(リバース占い!AR:AR, MATCH($A35, INDEX(VALUE(TRIM(リバース占い!$AG:$AG)), 0), 0))</f>
        <v/>
      </c>
      <c r="R35" s="3" t="str">
        <f ca="1">INDEX(リバース占い!AS:AS, MATCH($A35, INDEX(VALUE(TRIM(リバース占い!$AG:$AG)), 0), 0))</f>
        <v/>
      </c>
      <c r="S35" s="3" t="str">
        <f ca="1">INDEX(リバース占い!AT:AT, MATCH($A35, INDEX(VALUE(TRIM(リバース占い!$AG:$AG)), 0), 0))</f>
        <v/>
      </c>
      <c r="T35" s="2" t="e">
        <f t="shared" ca="1" si="3"/>
        <v>#N/A</v>
      </c>
      <c r="U35" s="2" t="e">
        <f t="shared" ca="1" si="1"/>
        <v>#N/A</v>
      </c>
      <c r="V35" s="2" t="e">
        <f t="shared" ca="1" si="1"/>
        <v>#N/A</v>
      </c>
    </row>
    <row r="36" spans="1:22" ht="25.5" customHeight="1">
      <c r="A36" s="39">
        <f ca="1">YEAR(TODAY())+2</f>
        <v>2028</v>
      </c>
      <c r="B36" s="40" t="str">
        <f ca="1">INDEX(リバース占い!AV:AV, MATCH(A36, INDEX(VALUE(TRIM(リバース占い!AG:AG)), 0), 0))</f>
        <v>雨天</v>
      </c>
      <c r="C36" s="41" t="str">
        <f ca="1">INDEX(リバース占い!AW:AW, MATCH(A36, INDEX(VALUE(TRIM(リバース占い!AG:AG)), 0), 0))</f>
        <v>カルマの精算。過去の執着をすべて洗い流し、次の春への準備を整える。</v>
      </c>
      <c r="D36" s="41"/>
      <c r="E36" s="41"/>
      <c r="F36" s="41"/>
      <c r="G36" s="41"/>
      <c r="H36" s="41"/>
      <c r="I36" s="41"/>
      <c r="J36" s="41"/>
      <c r="K36" s="42" t="str">
        <f ca="1">INDEX(リバース占い!AN:AN, MATCH($A36, INDEX(VALUE(TRIM(リバース占い!$AG:$AG)), 0), 0))</f>
        <v>大半会</v>
      </c>
      <c r="L36" s="42" t="str">
        <f ca="1">INDEX(リバース占い!AO:AO, MATCH($A36, INDEX(VALUE(TRIM(リバース占い!$AG:$AG)), 0), 0))</f>
        <v>同</v>
      </c>
      <c r="M36" s="42" t="str">
        <f ca="1">INDEX(リバース占い!AP:AP, MATCH($A36, INDEX(VALUE(TRIM(リバース占い!$AG:$AG)), 0), 0))</f>
        <v>準方位</v>
      </c>
      <c r="N36" s="36" t="str">
        <f t="shared" ca="1" si="2"/>
        <v>フィーバー</v>
      </c>
      <c r="O36" s="36" t="str">
        <f t="shared" ca="1" si="0"/>
        <v>ブースト</v>
      </c>
      <c r="P36" s="36" t="str">
        <f t="shared" ca="1" si="0"/>
        <v>スクラム</v>
      </c>
      <c r="Q36" s="3" t="str">
        <f ca="1">INDEX(リバース占い!AR:AR, MATCH($A36, INDEX(VALUE(TRIM(リバース占い!$AG:$AG)), 0), 0))</f>
        <v/>
      </c>
      <c r="R36" s="3" t="str">
        <f ca="1">INDEX(リバース占い!AS:AS, MATCH($A36, INDEX(VALUE(TRIM(リバース占い!$AG:$AG)), 0), 0))</f>
        <v/>
      </c>
      <c r="S36" s="3" t="str">
        <f ca="1">INDEX(リバース占い!AT:AT, MATCH($A36, INDEX(VALUE(TRIM(リバース占い!$AG:$AG)), 0), 0))</f>
        <v/>
      </c>
      <c r="T36" s="2" t="e">
        <f t="shared" ca="1" si="3"/>
        <v>#N/A</v>
      </c>
      <c r="U36" s="2" t="e">
        <f t="shared" ca="1" si="1"/>
        <v>#N/A</v>
      </c>
      <c r="V36" s="2" t="e">
        <f t="shared" ca="1" si="1"/>
        <v>#N/A</v>
      </c>
    </row>
    <row r="37" spans="1:22" ht="25.5" customHeight="1">
      <c r="A37" s="39">
        <f ca="1">YEAR(TODAY())+3</f>
        <v>2029</v>
      </c>
      <c r="B37" s="40" t="str">
        <f ca="1">INDEX(リバース占い!AV:AV, MATCH(A37, INDEX(VALUE(TRIM(リバース占い!AG:AG)), 0), 0))</f>
        <v>起天</v>
      </c>
      <c r="C37" s="41" t="str">
        <f ca="1">INDEX(リバース占い!AW:AW, MATCH(A37, INDEX(VALUE(TRIM(リバース占い!AG:AG)), 0), 0))</f>
        <v>運命の幕開け。過去を断ち切り新しい種をまく開拓期。</v>
      </c>
      <c r="D37" s="41"/>
      <c r="E37" s="41"/>
      <c r="F37" s="41"/>
      <c r="G37" s="41"/>
      <c r="H37" s="41"/>
      <c r="I37" s="41"/>
      <c r="J37" s="41"/>
      <c r="K37" s="42" t="str">
        <f ca="1">INDEX(リバース占い!AN:AN, MATCH($A37, INDEX(VALUE(TRIM(リバース占い!$AG:$AG)), 0), 0))</f>
        <v>破</v>
      </c>
      <c r="L37" s="42" t="str">
        <f ca="1">INDEX(リバース占い!AO:AO, MATCH($A37, INDEX(VALUE(TRIM(リバース占い!$AG:$AG)), 0), 0))</f>
        <v>準方位</v>
      </c>
      <c r="M37" s="42" t="str">
        <f ca="1">INDEX(リバース占い!AP:AP, MATCH($A37, INDEX(VALUE(TRIM(リバース占い!$AG:$AG)), 0), 0))</f>
        <v>自刑</v>
      </c>
      <c r="N37" s="36" t="str">
        <f t="shared" ca="1" si="2"/>
        <v>フリーズ</v>
      </c>
      <c r="O37" s="36" t="str">
        <f t="shared" ca="1" si="0"/>
        <v>スクラム</v>
      </c>
      <c r="P37" s="36" t="str">
        <f t="shared" ca="1" si="0"/>
        <v>セルフバトル</v>
      </c>
      <c r="Q37" s="3" t="str">
        <f ca="1">INDEX(リバース占い!AR:AR, MATCH($A37, INDEX(VALUE(TRIM(リバース占い!$AG:$AG)), 0), 0))</f>
        <v/>
      </c>
      <c r="R37" s="3" t="str">
        <f ca="1">INDEX(リバース占い!AS:AS, MATCH($A37, INDEX(VALUE(TRIM(リバース占い!$AG:$AG)), 0), 0))</f>
        <v/>
      </c>
      <c r="S37" s="3" t="str">
        <f ca="1">INDEX(リバース占い!AT:AT, MATCH($A37, INDEX(VALUE(TRIM(リバース占い!$AG:$AG)), 0), 0))</f>
        <v/>
      </c>
      <c r="T37" s="2" t="e">
        <f t="shared" ca="1" si="3"/>
        <v>#N/A</v>
      </c>
      <c r="U37" s="2" t="e">
        <f t="shared" ca="1" si="1"/>
        <v>#N/A</v>
      </c>
      <c r="V37" s="2" t="e">
        <f t="shared" ca="1" si="1"/>
        <v>#N/A</v>
      </c>
    </row>
    <row r="38" spans="1:22" ht="25.5" customHeight="1">
      <c r="A38" s="39">
        <f ca="1">YEAR(TODAY())+4</f>
        <v>2030</v>
      </c>
      <c r="B38" s="40" t="str">
        <f ca="1">INDEX(リバース占い!AV:AV, MATCH(A38, INDEX(VALUE(TRIM(リバース占い!AG:AG)), 0), 0))</f>
        <v>吉祥天</v>
      </c>
      <c r="C38" s="41" t="str">
        <f ca="1">INDEX(リバース占い!AW:AW, MATCH(A38, INDEX(VALUE(TRIM(リバース占い!AG:AG)), 0), 0))</f>
        <v>まいた種が芽吹き、周囲の支援を受けて着実に育つ時期。</v>
      </c>
      <c r="D38" s="41"/>
      <c r="E38" s="41"/>
      <c r="F38" s="41"/>
      <c r="G38" s="41"/>
      <c r="H38" s="41"/>
      <c r="I38" s="41"/>
      <c r="J38" s="41"/>
      <c r="K38" s="42" t="str">
        <f ca="1">INDEX(リバース占い!AN:AN, MATCH($A38, INDEX(VALUE(TRIM(リバース占い!$AG:$AG)), 0), 0))</f>
        <v>－</v>
      </c>
      <c r="L38" s="42" t="str">
        <f ca="1">INDEX(リバース占い!AO:AO, MATCH($A38, INDEX(VALUE(TRIM(リバース占い!$AG:$AG)), 0), 0))</f>
        <v>準方位</v>
      </c>
      <c r="M38" s="42" t="str">
        <f ca="1">INDEX(リバース占い!AP:AP, MATCH($A38, INDEX(VALUE(TRIM(リバース占い!$AG:$AG)), 0), 0))</f>
        <v>害</v>
      </c>
      <c r="N38" s="36" t="str">
        <f t="shared" ca="1" si="2"/>
        <v>－</v>
      </c>
      <c r="O38" s="36" t="str">
        <f t="shared" ca="1" si="0"/>
        <v>スクラム</v>
      </c>
      <c r="P38" s="36" t="str">
        <f t="shared" ca="1" si="0"/>
        <v>ストレス</v>
      </c>
      <c r="Q38" s="3" t="str">
        <f ca="1">INDEX(リバース占い!AR:AR, MATCH($A38, INDEX(VALUE(TRIM(リバース占い!$AG:$AG)), 0), 0))</f>
        <v/>
      </c>
      <c r="R38" s="3" t="str">
        <f ca="1">INDEX(リバース占い!AS:AS, MATCH($A38, INDEX(VALUE(TRIM(リバース占い!$AG:$AG)), 0), 0))</f>
        <v/>
      </c>
      <c r="S38" s="3" t="str">
        <f ca="1">INDEX(リバース占い!AT:AT, MATCH($A38, INDEX(VALUE(TRIM(リバース占い!$AG:$AG)), 0), 0))</f>
        <v/>
      </c>
      <c r="T38" s="2" t="e">
        <f t="shared" ca="1" si="3"/>
        <v>#N/A</v>
      </c>
      <c r="U38" s="2" t="e">
        <f t="shared" ca="1" si="1"/>
        <v>#N/A</v>
      </c>
      <c r="V38" s="2" t="e">
        <f t="shared" ca="1" si="1"/>
        <v>#N/A</v>
      </c>
    </row>
    <row r="39" spans="1:22" ht="25.5" customHeight="1">
      <c r="A39" s="39">
        <f ca="1">YEAR(TODAY())+5</f>
        <v>2031</v>
      </c>
      <c r="B39" s="40" t="str">
        <f ca="1">INDEX(リバース占い!AV:AV, MATCH(A39, INDEX(VALUE(TRIM(リバース占い!AG:AG)), 0), 0))</f>
        <v>弁財天</v>
      </c>
      <c r="C39" s="41" t="str">
        <f ca="1">INDEX(リバース占い!AW:AW, MATCH(A39, INDEX(VALUE(TRIM(リバース占い!AG:AG)), 0), 0))</f>
        <v>才能がパッと花開き、今後の人生を左右する重要な決定を下す発展期。</v>
      </c>
      <c r="D39" s="41"/>
      <c r="E39" s="41"/>
      <c r="F39" s="41"/>
      <c r="G39" s="41"/>
      <c r="H39" s="41"/>
      <c r="I39" s="41"/>
      <c r="J39" s="41"/>
      <c r="K39" s="42" t="str">
        <f ca="1">INDEX(リバース占い!AN:AN, MATCH($A39, INDEX(VALUE(TRIM(リバース占い!$AG:$AG)), 0), 0))</f>
        <v>準方位</v>
      </c>
      <c r="L39" s="42" t="str">
        <f ca="1">INDEX(リバース占い!AO:AO, MATCH($A39, INDEX(VALUE(TRIM(リバース占い!$AG:$AG)), 0), 0))</f>
        <v>害</v>
      </c>
      <c r="M39" s="42" t="str">
        <f ca="1">INDEX(リバース占い!AP:AP, MATCH($A39, INDEX(VALUE(TRIM(リバース占い!$AG:$AG)), 0), 0))</f>
        <v>－</v>
      </c>
      <c r="N39" s="36" t="str">
        <f t="shared" ca="1" si="2"/>
        <v>スクラム</v>
      </c>
      <c r="O39" s="36" t="str">
        <f t="shared" ca="1" si="0"/>
        <v>ストレス</v>
      </c>
      <c r="P39" s="36" t="str">
        <f t="shared" ca="1" si="0"/>
        <v>－</v>
      </c>
      <c r="Q39" s="3" t="str">
        <f ca="1">INDEX(リバース占い!AR:AR, MATCH($A39, INDEX(VALUE(TRIM(リバース占い!$AG:$AG)), 0), 0))</f>
        <v/>
      </c>
      <c r="R39" s="3" t="str">
        <f ca="1">INDEX(リバース占い!AS:AS, MATCH($A39, INDEX(VALUE(TRIM(リバース占い!$AG:$AG)), 0), 0))</f>
        <v>丙辛干合</v>
      </c>
      <c r="S39" s="3" t="str">
        <f ca="1">INDEX(リバース占い!AT:AT, MATCH($A39, INDEX(VALUE(TRIM(リバース占い!$AG:$AG)), 0), 0))</f>
        <v/>
      </c>
      <c r="T39" s="2" t="e">
        <f t="shared" ca="1" si="3"/>
        <v>#N/A</v>
      </c>
      <c r="U39" s="2" t="str">
        <f t="shared" ca="1" si="1"/>
        <v>デレ化</v>
      </c>
      <c r="V39" s="2" t="e">
        <f t="shared" ca="1" si="1"/>
        <v>#N/A</v>
      </c>
    </row>
    <row r="40" spans="1:22" ht="25.5" customHeight="1">
      <c r="A40" s="39">
        <f ca="1">YEAR(TODAY())+6</f>
        <v>2032</v>
      </c>
      <c r="B40" s="40" t="str">
        <f ca="1">INDEX(リバース占い!AV:AV, MATCH(A40, INDEX(VALUE(TRIM(リバース占い!AG:AG)), 0), 0))</f>
        <v>曇天</v>
      </c>
      <c r="C40" s="41" t="str">
        <f ca="1">INDEX(リバース占い!AW:AW, MATCH(A40, INDEX(VALUE(TRIM(リバース占い!AG:AG)), 0), 0))</f>
        <v>運気の勢いに心身が追いつかない小休止。自己治癒の時期。</v>
      </c>
      <c r="D40" s="41"/>
      <c r="E40" s="41"/>
      <c r="F40" s="41"/>
      <c r="G40" s="41"/>
      <c r="H40" s="41"/>
      <c r="I40" s="41"/>
      <c r="J40" s="41"/>
      <c r="K40" s="42" t="str">
        <f ca="1">INDEX(リバース占い!AN:AN, MATCH($A40, INDEX(VALUE(TRIM(リバース占い!$AG:$AG)), 0), 0))</f>
        <v>同</v>
      </c>
      <c r="L40" s="42" t="str">
        <f ca="1">INDEX(リバース占い!AO:AO, MATCH($A40, INDEX(VALUE(TRIM(リバース占い!$AG:$AG)), 0), 0))</f>
        <v>半会</v>
      </c>
      <c r="M40" s="42" t="str">
        <f ca="1">INDEX(リバース占い!AP:AP, MATCH($A40, INDEX(VALUE(TRIM(リバース占い!$AG:$AG)), 0), 0))</f>
        <v>破</v>
      </c>
      <c r="N40" s="36" t="str">
        <f t="shared" ca="1" si="2"/>
        <v>ブースト</v>
      </c>
      <c r="O40" s="36" t="str">
        <f t="shared" ca="1" si="0"/>
        <v>シナジー</v>
      </c>
      <c r="P40" s="36" t="str">
        <f t="shared" ca="1" si="0"/>
        <v>フリーズ</v>
      </c>
      <c r="Q40" s="3" t="str">
        <f ca="1">INDEX(リバース占い!AR:AR, MATCH($A40, INDEX(VALUE(TRIM(リバース占い!$AG:$AG)), 0), 0))</f>
        <v/>
      </c>
      <c r="R40" s="3" t="str">
        <f ca="1">INDEX(リバース占い!AS:AS, MATCH($A40, INDEX(VALUE(TRIM(リバース占い!$AG:$AG)), 0), 0))</f>
        <v/>
      </c>
      <c r="S40" s="3" t="str">
        <f ca="1">INDEX(リバース占い!AT:AT, MATCH($A40, INDEX(VALUE(TRIM(リバース占い!$AG:$AG)), 0), 0))</f>
        <v/>
      </c>
      <c r="T40" s="2" t="e">
        <f t="shared" ca="1" si="3"/>
        <v>#N/A</v>
      </c>
      <c r="U40" s="2" t="e">
        <f t="shared" ca="1" si="1"/>
        <v>#N/A</v>
      </c>
      <c r="V40" s="2" t="e">
        <f t="shared" ca="1" si="1"/>
        <v>#N/A</v>
      </c>
    </row>
    <row r="41" spans="1:22" ht="25.5" customHeight="1">
      <c r="A41" s="39">
        <f ca="1">YEAR(TODAY())+7</f>
        <v>2033</v>
      </c>
      <c r="B41" s="40" t="str">
        <f ca="1">INDEX(リバース占い!AV:AV, MATCH(A41, INDEX(VALUE(TRIM(リバース占い!AG:AG)), 0), 0))</f>
        <v>韋駄天</v>
      </c>
      <c r="C41" s="41" t="str">
        <f ca="1">INDEX(リバース占い!AW:AW, MATCH(A41, INDEX(VALUE(TRIM(リバース占い!AG:AG)), 0), 0))</f>
        <v>運気絶頂。これまでの努力が実を結び、最高のスポットライトを浴びる。</v>
      </c>
      <c r="D41" s="41"/>
      <c r="E41" s="41"/>
      <c r="F41" s="41"/>
      <c r="G41" s="41"/>
      <c r="H41" s="41"/>
      <c r="I41" s="41"/>
      <c r="J41" s="41"/>
      <c r="K41" s="42" t="str">
        <f ca="1">INDEX(リバース占い!AN:AN, MATCH($A41, INDEX(VALUE(TRIM(リバース占い!$AG:$AG)), 0), 0))</f>
        <v>支合</v>
      </c>
      <c r="L41" s="42" t="str">
        <f ca="1">INDEX(リバース占い!AO:AO, MATCH($A41, INDEX(VALUE(TRIM(リバース占い!$AG:$AG)), 0), 0))</f>
        <v>－</v>
      </c>
      <c r="M41" s="42" t="str">
        <f ca="1">INDEX(リバース占い!AP:AP, MATCH($A41, INDEX(VALUE(TRIM(リバース占い!$AG:$AG)), 0), 0))</f>
        <v>半会</v>
      </c>
      <c r="N41" s="36" t="str">
        <f t="shared" ca="1" si="2"/>
        <v>バランス</v>
      </c>
      <c r="O41" s="36" t="str">
        <f t="shared" ca="1" si="0"/>
        <v>－</v>
      </c>
      <c r="P41" s="36" t="str">
        <f t="shared" ca="1" si="0"/>
        <v>シナジー</v>
      </c>
      <c r="Q41" s="3" t="str">
        <f ca="1">INDEX(リバース占い!AR:AR, MATCH($A41, INDEX(VALUE(TRIM(リバース占い!$AG:$AG)), 0), 0))</f>
        <v>戊癸干合</v>
      </c>
      <c r="R41" s="3" t="str">
        <f ca="1">INDEX(リバース占い!AS:AS, MATCH($A41, INDEX(VALUE(TRIM(リバース占い!$AG:$AG)), 0), 0))</f>
        <v/>
      </c>
      <c r="S41" s="3" t="str">
        <f ca="1">INDEX(リバース占い!AT:AT, MATCH($A41, INDEX(VALUE(TRIM(リバース占い!$AG:$AG)), 0), 0))</f>
        <v/>
      </c>
      <c r="T41" s="2" t="str">
        <f t="shared" ca="1" si="3"/>
        <v>オトメ化</v>
      </c>
      <c r="U41" s="2" t="e">
        <f t="shared" ca="1" si="1"/>
        <v>#N/A</v>
      </c>
      <c r="V41" s="2" t="e">
        <f t="shared" ca="1" si="1"/>
        <v>#N/A</v>
      </c>
    </row>
    <row r="42" spans="1:22" ht="25.5" customHeight="1">
      <c r="A42" s="39">
        <f ca="1">YEAR(TODAY())+8</f>
        <v>2034</v>
      </c>
      <c r="B42" s="40" t="str">
        <f ca="1">INDEX(リバース占い!AV:AV, MATCH(A42, INDEX(VALUE(TRIM(リバース占い!AG:AG)), 0), 0))</f>
        <v>伏魔天</v>
      </c>
      <c r="C42" s="41" t="str">
        <f ca="1">INDEX(リバース占い!AW:AW, MATCH(A42, INDEX(VALUE(TRIM(リバース占い!AG:AG)), 0), 0))</f>
        <v>強すぎる運気の反動で迷いや摩擦が生じる。理性と現状維持が必要な嵐。</v>
      </c>
      <c r="D42" s="41"/>
      <c r="E42" s="41"/>
      <c r="F42" s="41"/>
      <c r="G42" s="41"/>
      <c r="H42" s="41"/>
      <c r="I42" s="41"/>
      <c r="J42" s="41"/>
      <c r="K42" s="42" t="str">
        <f ca="1">INDEX(リバース占い!AN:AN, MATCH($A42, INDEX(VALUE(TRIM(リバース占い!$AG:$AG)), 0), 0))</f>
        <v>－</v>
      </c>
      <c r="L42" s="42" t="str">
        <f ca="1">INDEX(リバース占い!AO:AO, MATCH($A42, INDEX(VALUE(TRIM(リバース占い!$AG:$AG)), 0), 0))</f>
        <v>対冲</v>
      </c>
      <c r="M42" s="42" t="str">
        <f ca="1">INDEX(リバース占い!AP:AP, MATCH($A42, INDEX(VALUE(TRIM(リバース占い!$AG:$AG)), 0), 0))</f>
        <v>－</v>
      </c>
      <c r="N42" s="36" t="str">
        <f t="shared" ca="1" si="2"/>
        <v>－</v>
      </c>
      <c r="O42" s="36" t="str">
        <f t="shared" ca="1" si="0"/>
        <v>クラッシュ</v>
      </c>
      <c r="P42" s="36" t="str">
        <f t="shared" ca="1" si="0"/>
        <v>－</v>
      </c>
      <c r="Q42" s="3" t="str">
        <f ca="1">INDEX(リバース占い!AR:AR, MATCH($A42, INDEX(VALUE(TRIM(リバース占い!$AG:$AG)), 0), 0))</f>
        <v/>
      </c>
      <c r="R42" s="3" t="str">
        <f ca="1">INDEX(リバース占い!AS:AS, MATCH($A42, INDEX(VALUE(TRIM(リバース占い!$AG:$AG)), 0), 0))</f>
        <v/>
      </c>
      <c r="S42" s="3" t="str">
        <f ca="1">INDEX(リバース占い!AT:AT, MATCH($A42, INDEX(VALUE(TRIM(リバース占い!$AG:$AG)), 0), 0))</f>
        <v/>
      </c>
      <c r="T42" s="2" t="e">
        <f t="shared" ca="1" si="3"/>
        <v>#N/A</v>
      </c>
      <c r="U42" s="2" t="e">
        <f t="shared" ca="1" si="1"/>
        <v>#N/A</v>
      </c>
      <c r="V42" s="2" t="e">
        <f t="shared" ca="1" si="1"/>
        <v>#N/A</v>
      </c>
    </row>
    <row r="43" spans="1:22" ht="25.5" customHeight="1"/>
    <row r="44" spans="1:22" ht="25.5" customHeight="1">
      <c r="A44" s="9" t="s">
        <v>115</v>
      </c>
      <c r="N44" s="5" t="s">
        <v>116</v>
      </c>
      <c r="O44" s="5" t="s">
        <v>117</v>
      </c>
      <c r="P44" s="5" t="s">
        <v>118</v>
      </c>
      <c r="Q44" s="38" t="s">
        <v>116</v>
      </c>
      <c r="R44" s="38" t="s">
        <v>117</v>
      </c>
      <c r="S44" s="38" t="s">
        <v>111</v>
      </c>
      <c r="T44" s="38" t="s">
        <v>116</v>
      </c>
      <c r="U44" s="38" t="s">
        <v>110</v>
      </c>
      <c r="V44" s="38" t="s">
        <v>119</v>
      </c>
    </row>
    <row r="45" spans="1:22" ht="25.5" customHeight="1">
      <c r="A45" s="43" t="s">
        <v>120</v>
      </c>
      <c r="B45" s="40" t="str">
        <f ca="1">INDEX(リバース占い!U:U, MATCH(TEXT(A45, "yyyy/m"), INDEX(TRIM(リバース占い!F:F), 0), 0))</f>
        <v>満天</v>
      </c>
      <c r="C45" s="41" t="str">
        <f ca="1">INDEX(リバース占い!V:V, MATCH(TEXT(A45, "yyyy/m"), INDEX(TRIM(リバース占い!F:F), 0), 0))</f>
        <v>収穫の喜び。物質や人脈などあらゆる財を蓄積し、強固な基盤を作る。</v>
      </c>
      <c r="D45" s="41"/>
      <c r="E45" s="41"/>
      <c r="F45" s="41"/>
      <c r="G45" s="41"/>
      <c r="H45" s="41"/>
      <c r="I45" s="41"/>
      <c r="J45" s="41"/>
      <c r="K45" s="2" t="str">
        <f ca="1">INDEX(リバース占い!M:M, MATCH(TEXT($A45, "yyyy/m"), INDEX(TRIM(リバース占い!$F:$F), 0), 0))</f>
        <v>半会</v>
      </c>
      <c r="L45" s="2" t="str">
        <f ca="1">INDEX(リバース占い!N:N, MATCH(TEXT($A45, "yyyy/m"), INDEX(TRIM(リバース占い!$F:$F), 0), 0))</f>
        <v>半会</v>
      </c>
      <c r="M45" s="2" t="str">
        <f ca="1">INDEX(リバース占い!O:O, MATCH(TEXT($A45, "yyyy/m"), INDEX(TRIM(リバース占い!$F:$F), 0), 0))</f>
        <v>支合</v>
      </c>
      <c r="N45" s="36" t="str">
        <f ca="1">VLOOKUP(K45,$L$6:$P$27,2,FALSE)</f>
        <v>シナジー</v>
      </c>
      <c r="O45" s="36" t="str">
        <f t="shared" ref="O45:P57" ca="1" si="4">VLOOKUP(L45,$L$6:$P$27,2,FALSE)</f>
        <v>シナジー</v>
      </c>
      <c r="P45" s="36" t="str">
        <f t="shared" ca="1" si="4"/>
        <v>バランス</v>
      </c>
      <c r="Q45" s="3" t="str">
        <f ca="1">INDEX(リバース占い!Q:Q, MATCH(TEXT($A45, "yyyy/m"), INDEX(TRIM(リバース占い!$F:$F), 0), 0))</f>
        <v/>
      </c>
      <c r="R45" s="3" t="str">
        <f ca="1">INDEX(リバース占い!R:R, MATCH(TEXT($A45, "yyyy/m"), INDEX(TRIM(リバース占い!$F:$F), 0), 0))</f>
        <v/>
      </c>
      <c r="S45" s="3" t="str">
        <f ca="1">INDEX(リバース占い!S:S, MATCH(TEXT($A45, "yyyy/m"), INDEX(TRIM(リバース占い!$F:$F), 0), 0))</f>
        <v/>
      </c>
      <c r="T45" s="2" t="e">
        <f ca="1">VLOOKUP(Q45,$S$5:$U$10,3,FALSE)</f>
        <v>#N/A</v>
      </c>
      <c r="U45" s="2" t="e">
        <f t="shared" ref="U45:V57" ca="1" si="5">VLOOKUP(R45,$S$5:$U$10,3,FALSE)</f>
        <v>#N/A</v>
      </c>
      <c r="V45" s="2" t="e">
        <f t="shared" ca="1" si="5"/>
        <v>#N/A</v>
      </c>
    </row>
    <row r="46" spans="1:22" ht="25.5" customHeight="1">
      <c r="A46" s="44" t="str">
        <f t="shared" ref="A46:A57" ca="1" si="6">TEXT(EDATE(TODAY(), ROW(A2) - 3), "yyyy/m")</f>
        <v>2026/5</v>
      </c>
      <c r="B46" s="40" t="str">
        <f ca="1">INDEX(リバース占い!U:U, MATCH(TEXT(A46, "yyyy/m"), INDEX(TRIM(リバース占い!F:F), 0), 0))</f>
        <v>静天</v>
      </c>
      <c r="C46" s="41" t="str">
        <f ca="1">INDEX(リバース占い!V:V, MATCH(TEXT(A46, "yyyy/m"), INDEX(TRIM(リバース占い!F:F), 0), 0))</f>
        <v>成果が出揃う。精神的な安定と充実の中で平和に人生を俯瞰する時期。</v>
      </c>
      <c r="D46" s="41"/>
      <c r="E46" s="41"/>
      <c r="F46" s="41"/>
      <c r="G46" s="41"/>
      <c r="H46" s="41"/>
      <c r="I46" s="41"/>
      <c r="J46" s="41"/>
      <c r="K46" s="2" t="str">
        <f ca="1">INDEX(リバース占い!M:M, MATCH(TEXT($A46, "yyyy/m"), INDEX(TRIM(リバース占い!$F:$F), 0), 0))</f>
        <v>－</v>
      </c>
      <c r="L46" s="2" t="str">
        <f ca="1">INDEX(リバース占い!N:N, MATCH(TEXT($A46, "yyyy/m"), INDEX(TRIM(リバース占い!$F:$F), 0), 0))</f>
        <v>支合</v>
      </c>
      <c r="M46" s="2" t="str">
        <f ca="1">INDEX(リバース占い!O:O, MATCH(TEXT($A46, "yyyy/m"), INDEX(TRIM(リバース占い!$F:$F), 0), 0))</f>
        <v>半会</v>
      </c>
      <c r="N46" s="36" t="str">
        <f t="shared" ref="N46:N57" ca="1" si="7">VLOOKUP(K46,$L$6:$P$27,2,FALSE)</f>
        <v>－</v>
      </c>
      <c r="O46" s="36" t="str">
        <f t="shared" ca="1" si="4"/>
        <v>バランス</v>
      </c>
      <c r="P46" s="36" t="str">
        <f t="shared" ca="1" si="4"/>
        <v>シナジー</v>
      </c>
      <c r="Q46" s="3" t="str">
        <f ca="1">INDEX(リバース占い!Q:Q, MATCH(TEXT($A46, "yyyy/m"), INDEX(TRIM(リバース占い!$F:$F), 0), 0))</f>
        <v>戊癸干合</v>
      </c>
      <c r="R46" s="3" t="str">
        <f ca="1">INDEX(リバース占い!R:R, MATCH(TEXT($A46, "yyyy/m"), INDEX(TRIM(リバース占い!$F:$F), 0), 0))</f>
        <v/>
      </c>
      <c r="S46" s="3" t="str">
        <f ca="1">INDEX(リバース占い!S:S, MATCH(TEXT($A46, "yyyy/m"), INDEX(TRIM(リバース占い!$F:$F), 0), 0))</f>
        <v/>
      </c>
      <c r="T46" s="2" t="str">
        <f t="shared" ref="T46:T57" ca="1" si="8">VLOOKUP(Q46,$S$5:$U$10,3,FALSE)</f>
        <v>オトメ化</v>
      </c>
      <c r="U46" s="2" t="e">
        <f t="shared" ca="1" si="5"/>
        <v>#N/A</v>
      </c>
      <c r="V46" s="2" t="e">
        <f t="shared" ca="1" si="5"/>
        <v>#N/A</v>
      </c>
    </row>
    <row r="47" spans="1:22" ht="25.5" customHeight="1">
      <c r="A47" s="44" t="str">
        <f t="shared" ca="1" si="6"/>
        <v>2026/6</v>
      </c>
      <c r="B47" s="40" t="str">
        <f ca="1">INDEX(リバース占い!U:U, MATCH(TEXT(A47, "yyyy/m"), INDEX(TRIM(リバース占い!F:F), 0), 0))</f>
        <v>暗天</v>
      </c>
      <c r="C47" s="41" t="str">
        <f ca="1">INDEX(リバース占い!V:V, MATCH(TEXT(A47, "yyyy/m"), INDEX(TRIM(リバース占い!F:F), 0), 0))</f>
        <v>運気下降（運の冬入り）。孤独を感じやすいが水面下の自己鍛錬が必要。</v>
      </c>
      <c r="D47" s="41"/>
      <c r="E47" s="41"/>
      <c r="F47" s="41"/>
      <c r="G47" s="41"/>
      <c r="H47" s="41"/>
      <c r="I47" s="41"/>
      <c r="J47" s="41"/>
      <c r="K47" s="2" t="str">
        <f ca="1">INDEX(リバース占い!M:M, MATCH(TEXT($A47, "yyyy/m"), INDEX(TRIM(リバース占い!$F:$F), 0), 0))</f>
        <v>天剋地冲</v>
      </c>
      <c r="L47" s="2" t="str">
        <f ca="1">INDEX(リバース占い!N:N, MATCH(TEXT($A47, "yyyy/m"), INDEX(TRIM(リバース占い!$F:$F), 0), 0))</f>
        <v>－</v>
      </c>
      <c r="M47" s="2" t="str">
        <f ca="1">INDEX(リバース占い!O:O, MATCH(TEXT($A47, "yyyy/m"), INDEX(TRIM(リバース占い!$F:$F), 0), 0))</f>
        <v>－</v>
      </c>
      <c r="N47" s="36" t="str">
        <f t="shared" ca="1" si="7"/>
        <v>ビックバン</v>
      </c>
      <c r="O47" s="36" t="str">
        <f t="shared" ca="1" si="4"/>
        <v>－</v>
      </c>
      <c r="P47" s="36" t="str">
        <f t="shared" ca="1" si="4"/>
        <v>－</v>
      </c>
      <c r="Q47" s="3" t="str">
        <f ca="1">INDEX(リバース占い!Q:Q, MATCH(TEXT($A47, "yyyy/m"), INDEX(TRIM(リバース占い!$F:$F), 0), 0))</f>
        <v/>
      </c>
      <c r="R47" s="3" t="str">
        <f ca="1">INDEX(リバース占い!R:R, MATCH(TEXT($A47, "yyyy/m"), INDEX(TRIM(リバース占い!$F:$F), 0), 0))</f>
        <v/>
      </c>
      <c r="S47" s="3" t="str">
        <f ca="1">INDEX(リバース占い!S:S, MATCH(TEXT($A47, "yyyy/m"), INDEX(TRIM(リバース占い!$F:$F), 0), 0))</f>
        <v/>
      </c>
      <c r="T47" s="2" t="e">
        <f t="shared" ca="1" si="8"/>
        <v>#N/A</v>
      </c>
      <c r="U47" s="2" t="e">
        <f t="shared" ca="1" si="5"/>
        <v>#N/A</v>
      </c>
      <c r="V47" s="2" t="e">
        <f t="shared" ca="1" si="5"/>
        <v>#N/A</v>
      </c>
    </row>
    <row r="48" spans="1:22" ht="25.5" customHeight="1">
      <c r="A48" s="44" t="str">
        <f t="shared" ca="1" si="6"/>
        <v>2026/7</v>
      </c>
      <c r="B48" s="40" t="str">
        <f ca="1">INDEX(リバース占い!U:U, MATCH(TEXT(A48, "yyyy/m"), INDEX(TRIM(リバース占い!F:F), 0), 0))</f>
        <v>大曇天</v>
      </c>
      <c r="C48" s="41" t="str">
        <f ca="1">INDEX(リバース占い!V:V, MATCH(TEXT(A48, "yyyy/m"), INDEX(TRIM(リバース占い!F:F), 0), 0))</f>
        <v>運命の停止（運の真冬時期）。古い価値観を手放す究極の浄化期間。</v>
      </c>
      <c r="D48" s="41"/>
      <c r="E48" s="41"/>
      <c r="F48" s="41"/>
      <c r="G48" s="41"/>
      <c r="H48" s="41"/>
      <c r="I48" s="41"/>
      <c r="J48" s="41"/>
      <c r="K48" s="2" t="str">
        <f ca="1">INDEX(リバース占い!M:M, MATCH(TEXT($A48, "yyyy/m"), INDEX(TRIM(リバース占い!$F:$F), 0), 0))</f>
        <v>害</v>
      </c>
      <c r="L48" s="2" t="str">
        <f ca="1">INDEX(リバース占い!N:N, MATCH(TEXT($A48, "yyyy/m"), INDEX(TRIM(リバース占い!$F:$F), 0), 0))</f>
        <v>－</v>
      </c>
      <c r="M48" s="2" t="str">
        <f ca="1">INDEX(リバース占い!O:O, MATCH(TEXT($A48, "yyyy/m"), INDEX(TRIM(リバース占い!$F:$F), 0), 0))</f>
        <v>－</v>
      </c>
      <c r="N48" s="36" t="str">
        <f t="shared" ca="1" si="7"/>
        <v>ストレス</v>
      </c>
      <c r="O48" s="36" t="str">
        <f t="shared" ca="1" si="4"/>
        <v>－</v>
      </c>
      <c r="P48" s="36" t="str">
        <f t="shared" ca="1" si="4"/>
        <v>－</v>
      </c>
      <c r="Q48" s="3" t="str">
        <f ca="1">INDEX(リバース占い!Q:Q, MATCH(TEXT($A48, "yyyy/m"), INDEX(TRIM(リバース占い!$F:$F), 0), 0))</f>
        <v/>
      </c>
      <c r="R48" s="3" t="str">
        <f ca="1">INDEX(リバース占い!R:R, MATCH(TEXT($A48, "yyyy/m"), INDEX(TRIM(リバース占い!$F:$F), 0), 0))</f>
        <v/>
      </c>
      <c r="S48" s="3" t="str">
        <f ca="1">INDEX(リバース占い!S:S, MATCH(TEXT($A48, "yyyy/m"), INDEX(TRIM(リバース占い!$F:$F), 0), 0))</f>
        <v/>
      </c>
      <c r="T48" s="2" t="e">
        <f t="shared" ca="1" si="8"/>
        <v>#N/A</v>
      </c>
      <c r="U48" s="2" t="e">
        <f t="shared" ca="1" si="5"/>
        <v>#N/A</v>
      </c>
      <c r="V48" s="2" t="e">
        <f t="shared" ca="1" si="5"/>
        <v>#N/A</v>
      </c>
    </row>
    <row r="49" spans="1:22" ht="25.5" customHeight="1">
      <c r="A49" s="44" t="str">
        <f t="shared" ca="1" si="6"/>
        <v>2026/8</v>
      </c>
      <c r="B49" s="40" t="str">
        <f ca="1">INDEX(リバース占い!U:U, MATCH(TEXT(A49, "yyyy/m"), INDEX(TRIM(リバース占い!F:F), 0), 0))</f>
        <v>雨天</v>
      </c>
      <c r="C49" s="41" t="str">
        <f ca="1">INDEX(リバース占い!V:V, MATCH(TEXT(A49, "yyyy/m"), INDEX(TRIM(リバース占い!F:F), 0), 0))</f>
        <v>カルマの精算。過去の執着をすべて洗い流し、次の春への準備を整える。</v>
      </c>
      <c r="D49" s="41"/>
      <c r="E49" s="41"/>
      <c r="F49" s="41"/>
      <c r="G49" s="41"/>
      <c r="H49" s="41"/>
      <c r="I49" s="41"/>
      <c r="J49" s="41"/>
      <c r="K49" s="2" t="str">
        <f ca="1">INDEX(リバース占い!M:M, MATCH(TEXT($A49, "yyyy/m"), INDEX(TRIM(リバース占い!$F:$F), 0), 0))</f>
        <v>半会</v>
      </c>
      <c r="L49" s="2" t="str">
        <f ca="1">INDEX(リバース占い!N:N, MATCH(TEXT($A49, "yyyy/m"), INDEX(TRIM(リバース占い!$F:$F), 0), 0))</f>
        <v>律音</v>
      </c>
      <c r="M49" s="2" t="str">
        <f ca="1">INDEX(リバース占い!O:O, MATCH(TEXT($A49, "yyyy/m"), INDEX(TRIM(リバース占い!$F:$F), 0), 0))</f>
        <v>準方位</v>
      </c>
      <c r="N49" s="36" t="str">
        <f t="shared" ca="1" si="7"/>
        <v>シナジー</v>
      </c>
      <c r="O49" s="36" t="str">
        <f t="shared" ca="1" si="4"/>
        <v>リスタート</v>
      </c>
      <c r="P49" s="36" t="str">
        <f t="shared" ca="1" si="4"/>
        <v>スクラム</v>
      </c>
      <c r="Q49" s="3" t="str">
        <f ca="1">INDEX(リバース占い!Q:Q, MATCH(TEXT($A49, "yyyy/m"), INDEX(TRIM(リバース占い!$F:$F), 0), 0))</f>
        <v/>
      </c>
      <c r="R49" s="3" t="str">
        <f ca="1">INDEX(リバース占い!R:R, MATCH(TEXT($A49, "yyyy/m"), INDEX(TRIM(リバース占い!$F:$F), 0), 0))</f>
        <v/>
      </c>
      <c r="S49" s="3" t="str">
        <f ca="1">INDEX(リバース占い!S:S, MATCH(TEXT($A49, "yyyy/m"), INDEX(TRIM(リバース占い!$F:$F), 0), 0))</f>
        <v>丙辛干合</v>
      </c>
      <c r="T49" s="2" t="e">
        <f t="shared" ca="1" si="8"/>
        <v>#N/A</v>
      </c>
      <c r="U49" s="2" t="e">
        <f t="shared" ca="1" si="5"/>
        <v>#N/A</v>
      </c>
      <c r="V49" s="2" t="str">
        <f t="shared" ca="1" si="5"/>
        <v>デレ化</v>
      </c>
    </row>
    <row r="50" spans="1:22" ht="25.5" customHeight="1">
      <c r="A50" s="44" t="str">
        <f t="shared" ca="1" si="6"/>
        <v>2026/9</v>
      </c>
      <c r="B50" s="40" t="str">
        <f ca="1">INDEX(リバース占い!U:U, MATCH(TEXT(A50, "yyyy/m"), INDEX(TRIM(リバース占い!F:F), 0), 0))</f>
        <v>起天</v>
      </c>
      <c r="C50" s="41" t="str">
        <f ca="1">INDEX(リバース占い!V:V, MATCH(TEXT(A50, "yyyy/m"), INDEX(TRIM(リバース占い!F:F), 0), 0))</f>
        <v>運命の幕開け。過去を断ち切り新しい種をまく開拓期。</v>
      </c>
      <c r="D50" s="41"/>
      <c r="E50" s="41"/>
      <c r="F50" s="41"/>
      <c r="G50" s="41"/>
      <c r="H50" s="41"/>
      <c r="I50" s="41"/>
      <c r="J50" s="41"/>
      <c r="K50" s="2" t="str">
        <f ca="1">INDEX(リバース占い!M:M, MATCH(TEXT($A50, "yyyy/m"), INDEX(TRIM(リバース占い!$F:$F), 0), 0))</f>
        <v>破</v>
      </c>
      <c r="L50" s="2" t="str">
        <f ca="1">INDEX(リバース占い!N:N, MATCH(TEXT($A50, "yyyy/m"), INDEX(TRIM(リバース占い!$F:$F), 0), 0))</f>
        <v>準方位</v>
      </c>
      <c r="M50" s="2" t="str">
        <f ca="1">INDEX(リバース占い!O:O, MATCH(TEXT($A50, "yyyy/m"), INDEX(TRIM(リバース占い!$F:$F), 0), 0))</f>
        <v>自刑</v>
      </c>
      <c r="N50" s="36" t="str">
        <f t="shared" ca="1" si="7"/>
        <v>フリーズ</v>
      </c>
      <c r="O50" s="36" t="str">
        <f t="shared" ca="1" si="4"/>
        <v>スクラム</v>
      </c>
      <c r="P50" s="36" t="str">
        <f t="shared" ca="1" si="4"/>
        <v>セルフバトル</v>
      </c>
      <c r="Q50" s="3" t="str">
        <f ca="1">INDEX(リバース占い!Q:Q, MATCH(TEXT($A50, "yyyy/m"), INDEX(TRIM(リバース占い!$F:$F), 0), 0))</f>
        <v/>
      </c>
      <c r="R50" s="3" t="str">
        <f ca="1">INDEX(リバース占い!R:R, MATCH(TEXT($A50, "yyyy/m"), INDEX(TRIM(リバース占い!$F:$F), 0), 0))</f>
        <v/>
      </c>
      <c r="S50" s="3" t="str">
        <f ca="1">INDEX(リバース占い!S:S, MATCH(TEXT($A50, "yyyy/m"), INDEX(TRIM(リバース占い!$F:$F), 0), 0))</f>
        <v/>
      </c>
      <c r="T50" s="2" t="e">
        <f t="shared" ca="1" si="8"/>
        <v>#N/A</v>
      </c>
      <c r="U50" s="2" t="e">
        <f t="shared" ca="1" si="5"/>
        <v>#N/A</v>
      </c>
      <c r="V50" s="2" t="e">
        <f t="shared" ca="1" si="5"/>
        <v>#N/A</v>
      </c>
    </row>
    <row r="51" spans="1:22" ht="25.5" customHeight="1">
      <c r="A51" s="44" t="str">
        <f t="shared" ca="1" si="6"/>
        <v>2026/10</v>
      </c>
      <c r="B51" s="40" t="str">
        <f ca="1">INDEX(リバース占い!U:U, MATCH(TEXT(A51, "yyyy/m"), INDEX(TRIM(リバース占い!F:F), 0), 0))</f>
        <v>吉祥天</v>
      </c>
      <c r="C51" s="41" t="str">
        <f ca="1">INDEX(リバース占い!V:V, MATCH(TEXT(A51, "yyyy/m"), INDEX(TRIM(リバース占い!F:F), 0), 0))</f>
        <v>まいた種が芽吹き、周囲の支援を受けて着実に育つ時期。</v>
      </c>
      <c r="D51" s="41"/>
      <c r="E51" s="41"/>
      <c r="F51" s="41"/>
      <c r="G51" s="41"/>
      <c r="H51" s="41"/>
      <c r="I51" s="41"/>
      <c r="J51" s="41"/>
      <c r="K51" s="2" t="str">
        <f ca="1">INDEX(リバース占い!M:M, MATCH(TEXT($A51, "yyyy/m"), INDEX(TRIM(リバース占い!$F:$F), 0), 0))</f>
        <v>－</v>
      </c>
      <c r="L51" s="2" t="str">
        <f ca="1">INDEX(リバース占い!N:N, MATCH(TEXT($A51, "yyyy/m"), INDEX(TRIM(リバース占い!$F:$F), 0), 0))</f>
        <v>準方位</v>
      </c>
      <c r="M51" s="2" t="str">
        <f ca="1">INDEX(リバース占い!O:O, MATCH(TEXT($A51, "yyyy/m"), INDEX(TRIM(リバース占い!$F:$F), 0), 0))</f>
        <v>害</v>
      </c>
      <c r="N51" s="36" t="str">
        <f t="shared" ca="1" si="7"/>
        <v>－</v>
      </c>
      <c r="O51" s="36" t="str">
        <f t="shared" ca="1" si="4"/>
        <v>スクラム</v>
      </c>
      <c r="P51" s="36" t="str">
        <f t="shared" ca="1" si="4"/>
        <v>ストレス</v>
      </c>
      <c r="Q51" s="3" t="str">
        <f ca="1">INDEX(リバース占い!Q:Q, MATCH(TEXT($A51, "yyyy/m"), INDEX(TRIM(リバース占い!$F:$F), 0), 0))</f>
        <v/>
      </c>
      <c r="R51" s="3" t="str">
        <f ca="1">INDEX(リバース占い!R:R, MATCH(TEXT($A51, "yyyy/m"), INDEX(TRIM(リバース占い!$F:$F), 0), 0))</f>
        <v/>
      </c>
      <c r="S51" s="3" t="str">
        <f ca="1">INDEX(リバース占い!S:S, MATCH(TEXT($A51, "yyyy/m"), INDEX(TRIM(リバース占い!$F:$F), 0), 0))</f>
        <v/>
      </c>
      <c r="T51" s="2" t="e">
        <f t="shared" ca="1" si="8"/>
        <v>#N/A</v>
      </c>
      <c r="U51" s="2" t="e">
        <f t="shared" ca="1" si="5"/>
        <v>#N/A</v>
      </c>
      <c r="V51" s="2" t="e">
        <f t="shared" ca="1" si="5"/>
        <v>#N/A</v>
      </c>
    </row>
    <row r="52" spans="1:22" ht="25.5" customHeight="1">
      <c r="A52" s="44" t="str">
        <f t="shared" ca="1" si="6"/>
        <v>2026/11</v>
      </c>
      <c r="B52" s="40" t="str">
        <f ca="1">INDEX(リバース占い!U:U, MATCH(TEXT(A52, "yyyy/m"), INDEX(TRIM(リバース占い!F:F), 0), 0))</f>
        <v>弁財天</v>
      </c>
      <c r="C52" s="41" t="str">
        <f ca="1">INDEX(リバース占い!V:V, MATCH(TEXT(A52, "yyyy/m"), INDEX(TRIM(リバース占い!F:F), 0), 0))</f>
        <v>才能がパッと花開き、今後の人生を左右する重要な決定を下す発展期。</v>
      </c>
      <c r="D52" s="41"/>
      <c r="E52" s="41"/>
      <c r="F52" s="41"/>
      <c r="G52" s="41"/>
      <c r="H52" s="41"/>
      <c r="I52" s="41"/>
      <c r="J52" s="41"/>
      <c r="K52" s="2" t="str">
        <f ca="1">INDEX(リバース占い!M:M, MATCH(TEXT($A52, "yyyy/m"), INDEX(TRIM(リバース占い!$F:$F), 0), 0))</f>
        <v>準方位</v>
      </c>
      <c r="L52" s="2" t="str">
        <f ca="1">INDEX(リバース占い!N:N, MATCH(TEXT($A52, "yyyy/m"), INDEX(TRIM(リバース占い!$F:$F), 0), 0))</f>
        <v>害</v>
      </c>
      <c r="M52" s="2" t="str">
        <f ca="1">INDEX(リバース占い!O:O, MATCH(TEXT($A52, "yyyy/m"), INDEX(TRIM(リバース占い!$F:$F), 0), 0))</f>
        <v>－</v>
      </c>
      <c r="N52" s="36" t="str">
        <f t="shared" ca="1" si="7"/>
        <v>スクラム</v>
      </c>
      <c r="O52" s="36" t="str">
        <f t="shared" ca="1" si="4"/>
        <v>ストレス</v>
      </c>
      <c r="P52" s="36" t="str">
        <f t="shared" ca="1" si="4"/>
        <v>－</v>
      </c>
      <c r="Q52" s="3" t="str">
        <f ca="1">INDEX(リバース占い!Q:Q, MATCH(TEXT($A52, "yyyy/m"), INDEX(TRIM(リバース占い!$F:$F), 0), 0))</f>
        <v/>
      </c>
      <c r="R52" s="3" t="str">
        <f ca="1">INDEX(リバース占い!R:R, MATCH(TEXT($A52, "yyyy/m"), INDEX(TRIM(リバース占い!$F:$F), 0), 0))</f>
        <v/>
      </c>
      <c r="S52" s="3" t="str">
        <f ca="1">INDEX(リバース占い!S:S, MATCH(TEXT($A52, "yyyy/m"), INDEX(TRIM(リバース占い!$F:$F), 0), 0))</f>
        <v/>
      </c>
      <c r="T52" s="2" t="e">
        <f t="shared" ca="1" si="8"/>
        <v>#N/A</v>
      </c>
      <c r="U52" s="2" t="e">
        <f t="shared" ca="1" si="5"/>
        <v>#N/A</v>
      </c>
      <c r="V52" s="2" t="e">
        <f t="shared" ca="1" si="5"/>
        <v>#N/A</v>
      </c>
    </row>
    <row r="53" spans="1:22" ht="25.5" customHeight="1">
      <c r="A53" s="44" t="str">
        <f t="shared" ca="1" si="6"/>
        <v>2026/12</v>
      </c>
      <c r="B53" s="40" t="str">
        <f ca="1">INDEX(リバース占い!U:U, MATCH(TEXT(A53, "yyyy/m"), INDEX(TRIM(リバース占い!F:F), 0), 0))</f>
        <v>曇天</v>
      </c>
      <c r="C53" s="41" t="str">
        <f ca="1">INDEX(リバース占い!V:V, MATCH(TEXT(A53, "yyyy/m"), INDEX(TRIM(リバース占い!F:F), 0), 0))</f>
        <v>運気の勢いに心身が追いつかない小休止。自己治癒の時期。</v>
      </c>
      <c r="D53" s="41"/>
      <c r="E53" s="41"/>
      <c r="F53" s="41"/>
      <c r="G53" s="41"/>
      <c r="H53" s="41"/>
      <c r="I53" s="41"/>
      <c r="J53" s="41"/>
      <c r="K53" s="2" t="str">
        <f ca="1">INDEX(リバース占い!M:M, MATCH(TEXT($A53, "yyyy/m"), INDEX(TRIM(リバース占い!$F:$F), 0), 0))</f>
        <v>同</v>
      </c>
      <c r="L53" s="2" t="str">
        <f ca="1">INDEX(リバース占い!N:N, MATCH(TEXT($A53, "yyyy/m"), INDEX(TRIM(リバース占い!$F:$F), 0), 0))</f>
        <v>半会</v>
      </c>
      <c r="M53" s="2" t="str">
        <f ca="1">INDEX(リバース占い!O:O, MATCH(TEXT($A53, "yyyy/m"), INDEX(TRIM(リバース占い!$F:$F), 0), 0))</f>
        <v>破</v>
      </c>
      <c r="N53" s="36" t="str">
        <f t="shared" ca="1" si="7"/>
        <v>ブースト</v>
      </c>
      <c r="O53" s="36" t="str">
        <f t="shared" ca="1" si="4"/>
        <v>シナジー</v>
      </c>
      <c r="P53" s="36" t="str">
        <f t="shared" ca="1" si="4"/>
        <v>フリーズ</v>
      </c>
      <c r="Q53" s="3" t="str">
        <f ca="1">INDEX(リバース占い!Q:Q, MATCH(TEXT($A53, "yyyy/m"), INDEX(TRIM(リバース占い!$F:$F), 0), 0))</f>
        <v/>
      </c>
      <c r="R53" s="3" t="str">
        <f ca="1">INDEX(リバース占い!R:R, MATCH(TEXT($A53, "yyyy/m"), INDEX(TRIM(リバース占い!$F:$F), 0), 0))</f>
        <v/>
      </c>
      <c r="S53" s="3" t="str">
        <f ca="1">INDEX(リバース占い!S:S, MATCH(TEXT($A53, "yyyy/m"), INDEX(TRIM(リバース占い!$F:$F), 0), 0))</f>
        <v/>
      </c>
      <c r="T53" s="2" t="e">
        <f t="shared" ca="1" si="8"/>
        <v>#N/A</v>
      </c>
      <c r="U53" s="2" t="e">
        <f t="shared" ca="1" si="5"/>
        <v>#N/A</v>
      </c>
      <c r="V53" s="2" t="e">
        <f t="shared" ca="1" si="5"/>
        <v>#N/A</v>
      </c>
    </row>
    <row r="54" spans="1:22" ht="25.5" customHeight="1">
      <c r="A54" s="44" t="str">
        <f t="shared" ca="1" si="6"/>
        <v>2027/1</v>
      </c>
      <c r="B54" s="40" t="str">
        <f ca="1">INDEX(リバース占い!U:U, MATCH(TEXT(A54, "yyyy/m"), INDEX(TRIM(リバース占い!F:F), 0), 0))</f>
        <v>韋駄天</v>
      </c>
      <c r="C54" s="41" t="str">
        <f ca="1">INDEX(リバース占い!V:V, MATCH(TEXT(A54, "yyyy/m"), INDEX(TRIM(リバース占い!F:F), 0), 0))</f>
        <v>運気絶頂。これまでの努力が実を結び、最高のスポットライトを浴びる。</v>
      </c>
      <c r="D54" s="41"/>
      <c r="E54" s="41"/>
      <c r="F54" s="41"/>
      <c r="G54" s="41"/>
      <c r="H54" s="41"/>
      <c r="I54" s="41"/>
      <c r="J54" s="41"/>
      <c r="K54" s="2" t="str">
        <f ca="1">INDEX(リバース占い!M:M, MATCH(TEXT($A54, "yyyy/m"), INDEX(TRIM(リバース占い!$F:$F), 0), 0))</f>
        <v>支合</v>
      </c>
      <c r="L54" s="2" t="str">
        <f ca="1">INDEX(リバース占い!N:N, MATCH(TEXT($A54, "yyyy/m"), INDEX(TRIM(リバース占い!$F:$F), 0), 0))</f>
        <v>－</v>
      </c>
      <c r="M54" s="2" t="str">
        <f ca="1">INDEX(リバース占い!O:O, MATCH(TEXT($A54, "yyyy/m"), INDEX(TRIM(リバース占い!$F:$F), 0), 0))</f>
        <v>大半会</v>
      </c>
      <c r="N54" s="36" t="str">
        <f t="shared" ca="1" si="7"/>
        <v>バランス</v>
      </c>
      <c r="O54" s="36" t="str">
        <f t="shared" ca="1" si="4"/>
        <v>－</v>
      </c>
      <c r="P54" s="36" t="str">
        <f t="shared" ca="1" si="4"/>
        <v>フィーバー</v>
      </c>
      <c r="Q54" s="3" t="str">
        <f ca="1">INDEX(リバース占い!Q:Q, MATCH(TEXT($A54, "yyyy/m"), INDEX(TRIM(リバース占い!$F:$F), 0), 0))</f>
        <v/>
      </c>
      <c r="R54" s="3" t="str">
        <f ca="1">INDEX(リバース占い!R:R, MATCH(TEXT($A54, "yyyy/m"), INDEX(TRIM(リバース占い!$F:$F), 0), 0))</f>
        <v>丙辛干合</v>
      </c>
      <c r="S54" s="3" t="str">
        <f ca="1">INDEX(リバース占い!S:S, MATCH(TEXT($A54, "yyyy/m"), INDEX(TRIM(リバース占い!$F:$F), 0), 0))</f>
        <v/>
      </c>
      <c r="T54" s="2" t="e">
        <f t="shared" ca="1" si="8"/>
        <v>#N/A</v>
      </c>
      <c r="U54" s="2" t="str">
        <f t="shared" ca="1" si="5"/>
        <v>デレ化</v>
      </c>
      <c r="V54" s="2" t="e">
        <f t="shared" ca="1" si="5"/>
        <v>#N/A</v>
      </c>
    </row>
    <row r="55" spans="1:22" ht="25.5" customHeight="1">
      <c r="A55" s="44" t="str">
        <f t="shared" ca="1" si="6"/>
        <v>2027/2</v>
      </c>
      <c r="B55" s="40" t="str">
        <f ca="1">INDEX(リバース占い!U:U, MATCH(TEXT(A55, "yyyy/m"), INDEX(TRIM(リバース占い!F:F), 0), 0))</f>
        <v>伏魔天</v>
      </c>
      <c r="C55" s="41" t="str">
        <f ca="1">INDEX(リバース占い!V:V, MATCH(TEXT(A55, "yyyy/m"), INDEX(TRIM(リバース占い!F:F), 0), 0))</f>
        <v>強すぎる運気の反動で迷いや摩擦が生じる。理性と現状維持が必要な嵐。</v>
      </c>
      <c r="D55" s="41"/>
      <c r="E55" s="41"/>
      <c r="F55" s="41"/>
      <c r="G55" s="41"/>
      <c r="H55" s="41"/>
      <c r="I55" s="41"/>
      <c r="J55" s="41"/>
      <c r="K55" s="2" t="str">
        <f ca="1">INDEX(リバース占い!M:M, MATCH(TEXT($A55, "yyyy/m"), INDEX(TRIM(リバース占い!$F:$F), 0), 0))</f>
        <v>－</v>
      </c>
      <c r="L55" s="2" t="str">
        <f ca="1">INDEX(リバース占い!N:N, MATCH(TEXT($A55, "yyyy/m"), INDEX(TRIM(リバース占い!$F:$F), 0), 0))</f>
        <v>天剋地冲</v>
      </c>
      <c r="M55" s="2" t="str">
        <f ca="1">INDEX(リバース占い!O:O, MATCH(TEXT($A55, "yyyy/m"), INDEX(TRIM(リバース占い!$F:$F), 0), 0))</f>
        <v>－</v>
      </c>
      <c r="N55" s="36" t="str">
        <f t="shared" ca="1" si="7"/>
        <v>－</v>
      </c>
      <c r="O55" s="36" t="str">
        <f t="shared" ca="1" si="4"/>
        <v>ビックバン</v>
      </c>
      <c r="P55" s="36" t="str">
        <f t="shared" ca="1" si="4"/>
        <v>－</v>
      </c>
      <c r="Q55" s="3" t="str">
        <f ca="1">INDEX(リバース占い!Q:Q, MATCH(TEXT($A55, "yyyy/m"), INDEX(TRIM(リバース占い!$F:$F), 0), 0))</f>
        <v/>
      </c>
      <c r="R55" s="3" t="str">
        <f ca="1">INDEX(リバース占い!R:R, MATCH(TEXT($A55, "yyyy/m"), INDEX(TRIM(リバース占い!$F:$F), 0), 0))</f>
        <v/>
      </c>
      <c r="S55" s="3" t="str">
        <f ca="1">INDEX(リバース占い!S:S, MATCH(TEXT($A55, "yyyy/m"), INDEX(TRIM(リバース占い!$F:$F), 0), 0))</f>
        <v/>
      </c>
      <c r="T55" s="2" t="e">
        <f t="shared" ca="1" si="8"/>
        <v>#N/A</v>
      </c>
      <c r="U55" s="2" t="e">
        <f t="shared" ca="1" si="5"/>
        <v>#N/A</v>
      </c>
      <c r="V55" s="2" t="e">
        <f t="shared" ca="1" si="5"/>
        <v>#N/A</v>
      </c>
    </row>
    <row r="56" spans="1:22" ht="25.5" customHeight="1">
      <c r="A56" s="44" t="str">
        <f t="shared" ca="1" si="6"/>
        <v>2027/3</v>
      </c>
      <c r="B56" s="40" t="str">
        <f ca="1">INDEX(リバース占い!U:U, MATCH(TEXT(A56, "yyyy/m"), INDEX(TRIM(リバース占い!F:F), 0), 0))</f>
        <v>有頂天</v>
      </c>
      <c r="C56" s="41" t="str">
        <f ca="1">INDEX(リバース占い!V:V, MATCH(TEXT(A56, "yyyy/m"), INDEX(TRIM(リバース占い!F:F), 0), 0))</f>
        <v>第2の絶頂期。過去の縁が繋がり、周囲を巻き込み大きな成果を出す。</v>
      </c>
      <c r="D56" s="41"/>
      <c r="E56" s="41"/>
      <c r="F56" s="41"/>
      <c r="G56" s="41"/>
      <c r="H56" s="41"/>
      <c r="I56" s="41"/>
      <c r="J56" s="41"/>
      <c r="K56" s="2" t="str">
        <f ca="1">INDEX(リバース占い!M:M, MATCH(TEXT($A56, "yyyy/m"), INDEX(TRIM(リバース占い!$F:$F), 0), 0))</f>
        <v>刑</v>
      </c>
      <c r="L56" s="2" t="str">
        <f ca="1">INDEX(リバース占い!N:N, MATCH(TEXT($A56, "yyyy/m"), INDEX(TRIM(リバース占い!$F:$F), 0), 0))</f>
        <v>－</v>
      </c>
      <c r="M56" s="2" t="str">
        <f ca="1">INDEX(リバース占い!O:O, MATCH(TEXT($A56, "yyyy/m"), INDEX(TRIM(リバース占い!$F:$F), 0), 0))</f>
        <v>対冲</v>
      </c>
      <c r="N56" s="36" t="str">
        <f t="shared" ca="1" si="7"/>
        <v>バトル</v>
      </c>
      <c r="O56" s="36" t="str">
        <f t="shared" ca="1" si="4"/>
        <v>－</v>
      </c>
      <c r="P56" s="36" t="str">
        <f t="shared" ca="1" si="4"/>
        <v>クラッシュ</v>
      </c>
      <c r="Q56" s="3" t="str">
        <f ca="1">INDEX(リバース占い!Q:Q, MATCH(TEXT($A56, "yyyy/m"), INDEX(TRIM(リバース占い!$F:$F), 0), 0))</f>
        <v>戊癸干合</v>
      </c>
      <c r="R56" s="3" t="str">
        <f ca="1">INDEX(リバース占い!R:R, MATCH(TEXT($A56, "yyyy/m"), INDEX(TRIM(リバース占い!$F:$F), 0), 0))</f>
        <v/>
      </c>
      <c r="S56" s="3" t="str">
        <f ca="1">INDEX(リバース占い!S:S, MATCH(TEXT($A56, "yyyy/m"), INDEX(TRIM(リバース占い!$F:$F), 0), 0))</f>
        <v/>
      </c>
      <c r="T56" s="2" t="str">
        <f t="shared" ca="1" si="8"/>
        <v>オトメ化</v>
      </c>
      <c r="U56" s="2" t="e">
        <f t="shared" ca="1" si="5"/>
        <v>#N/A</v>
      </c>
      <c r="V56" s="2" t="e">
        <f t="shared" ca="1" si="5"/>
        <v>#N/A</v>
      </c>
    </row>
    <row r="57" spans="1:22" ht="25.5" customHeight="1">
      <c r="A57" s="44" t="str">
        <f t="shared" ca="1" si="6"/>
        <v>2027/4</v>
      </c>
      <c r="B57" s="40" t="str">
        <f ca="1">INDEX(リバース占い!U:U, MATCH(TEXT(A57, "yyyy/m"), INDEX(TRIM(リバース占い!F:F), 0), 0))</f>
        <v>満天</v>
      </c>
      <c r="C57" s="41" t="str">
        <f ca="1">INDEX(リバース占い!V:V, MATCH(TEXT(A57, "yyyy/m"), INDEX(TRIM(リバース占い!F:F), 0), 0))</f>
        <v>収穫の喜び。物質や人脈などあらゆる財を蓄積し、強固な基盤を作る。</v>
      </c>
      <c r="D57" s="41"/>
      <c r="E57" s="41"/>
      <c r="F57" s="41"/>
      <c r="G57" s="41"/>
      <c r="H57" s="41"/>
      <c r="I57" s="41"/>
      <c r="J57" s="41"/>
      <c r="K57" s="2" t="str">
        <f ca="1">INDEX(リバース占い!M:M, MATCH(TEXT($A57, "yyyy/m"), INDEX(TRIM(リバース占い!$F:$F), 0), 0))</f>
        <v>半会</v>
      </c>
      <c r="L57" s="2" t="str">
        <f ca="1">INDEX(リバース占い!N:N, MATCH(TEXT($A57, "yyyy/m"), INDEX(TRIM(リバース占い!$F:$F), 0), 0))</f>
        <v>半会</v>
      </c>
      <c r="M57" s="2" t="str">
        <f ca="1">INDEX(リバース占い!O:O, MATCH(TEXT($A57, "yyyy/m"), INDEX(TRIM(リバース占い!$F:$F), 0), 0))</f>
        <v>支合</v>
      </c>
      <c r="N57" s="36" t="str">
        <f t="shared" ca="1" si="7"/>
        <v>シナジー</v>
      </c>
      <c r="O57" s="36" t="str">
        <f t="shared" ca="1" si="4"/>
        <v>シナジー</v>
      </c>
      <c r="P57" s="36" t="str">
        <f t="shared" ca="1" si="4"/>
        <v>バランス</v>
      </c>
      <c r="Q57" s="3" t="str">
        <f ca="1">INDEX(リバース占い!Q:Q, MATCH(TEXT($A57, "yyyy/m"), INDEX(TRIM(リバース占い!$F:$F), 0), 0))</f>
        <v/>
      </c>
      <c r="R57" s="3" t="str">
        <f ca="1">INDEX(リバース占い!R:R, MATCH(TEXT($A57, "yyyy/m"), INDEX(TRIM(リバース占い!$F:$F), 0), 0))</f>
        <v/>
      </c>
      <c r="S57" s="3" t="str">
        <f ca="1">INDEX(リバース占い!S:S, MATCH(TEXT($A57, "yyyy/m"), INDEX(TRIM(リバース占い!$F:$F), 0), 0))</f>
        <v/>
      </c>
      <c r="T57" s="2" t="e">
        <f t="shared" ca="1" si="8"/>
        <v>#N/A</v>
      </c>
      <c r="U57" s="2" t="e">
        <f t="shared" ca="1" si="5"/>
        <v>#N/A</v>
      </c>
      <c r="V57" s="2" t="e">
        <f t="shared" ca="1" si="5"/>
        <v>#N/A</v>
      </c>
    </row>
    <row r="58" spans="1:22" ht="25.5" customHeight="1"/>
    <row r="59" spans="1:22" ht="25.5" customHeight="1">
      <c r="A59" s="9" t="s">
        <v>121</v>
      </c>
      <c r="N59" s="5" t="s">
        <v>112</v>
      </c>
      <c r="O59" s="5" t="s">
        <v>110</v>
      </c>
      <c r="P59" s="5" t="s">
        <v>111</v>
      </c>
      <c r="Q59" s="38" t="s">
        <v>112</v>
      </c>
      <c r="R59" s="38" t="s">
        <v>110</v>
      </c>
      <c r="S59" s="38" t="s">
        <v>111</v>
      </c>
      <c r="T59" s="38" t="s">
        <v>112</v>
      </c>
      <c r="U59" s="38" t="s">
        <v>110</v>
      </c>
      <c r="V59" s="38" t="s">
        <v>111</v>
      </c>
    </row>
    <row r="60" spans="1:22" ht="25.5" customHeight="1">
      <c r="A60" s="45">
        <f ca="1">EOMONTH(TODAY(), -1) + 1</f>
        <v>46174</v>
      </c>
      <c r="B60" s="40" t="str">
        <f ca="1">INDEX(リバース占い!BM:BM, MATCH(A60, リバース占い!BA:BA, 0))</f>
        <v>暗天</v>
      </c>
      <c r="C60" s="41" t="str">
        <f ca="1">INDEX(リバース占い!BN:BN, MATCH(A60, リバース占い!BA:BA, 0))</f>
        <v>運気下降（運の冬入り）。孤独を感じやすいが水面下の自己鍛錬が必要。</v>
      </c>
      <c r="D60" s="41" t="e">
        <f ca="1">INDEX(リバース占い!BO:BO, MATCH(C60, リバース占い!BC:BC, 0))</f>
        <v>#N/A</v>
      </c>
      <c r="E60" s="41" t="e">
        <f ca="1">INDEX(リバース占い!BP:BP, MATCH(D60, リバース占い!BD:BD, 0))</f>
        <v>#N/A</v>
      </c>
      <c r="F60" s="41" t="e">
        <f ca="1">INDEX(リバース占い!BQ:BQ, MATCH(E60, リバース占い!BE:BE, 0))</f>
        <v>#N/A</v>
      </c>
      <c r="G60" s="41" t="e">
        <f ca="1">INDEX(リバース占い!BR:BR, MATCH(F60, リバース占い!BF:BF, 0))</f>
        <v>#N/A</v>
      </c>
      <c r="H60" s="41" t="e">
        <f ca="1">INDEX(リバース占い!BS:BS, MATCH(G60, リバース占い!BG:BG, 0))</f>
        <v>#N/A</v>
      </c>
      <c r="I60" s="41" t="e">
        <f ca="1">INDEX(リバース占い!BT:BT, MATCH(H60, リバース占い!BH:BH, 0))</f>
        <v>#N/A</v>
      </c>
      <c r="J60" s="41" t="e">
        <f ca="1">INDEX(リバース占い!BU:BU, MATCH(I60, リバース占い!BL:BL, 0))</f>
        <v>#N/A</v>
      </c>
      <c r="K60" s="2" t="str">
        <f ca="1">INDEX(リバース占い!BF:BF, MATCH($A60, リバース占い!$BA:$BA, 0))</f>
        <v>対冲</v>
      </c>
      <c r="L60" s="2" t="str">
        <f ca="1">INDEX(リバース占い!BG:BG, MATCH($A60, リバース占い!$BA:$BA, 0))</f>
        <v>－</v>
      </c>
      <c r="M60" s="2" t="str">
        <f ca="1">INDEX(リバース占い!BH:BH, MATCH($A60, リバース占い!$BA:$BA, 0))</f>
        <v>－</v>
      </c>
      <c r="N60" s="36" t="str">
        <f ca="1">VLOOKUP(K60,$L$6:$P$27,2,FALSE)</f>
        <v>クラッシュ</v>
      </c>
      <c r="O60" s="36" t="str">
        <f t="shared" ref="O60:P75" ca="1" si="9">VLOOKUP(L60,$L$6:$P$27,2,FALSE)</f>
        <v>－</v>
      </c>
      <c r="P60" s="36" t="str">
        <f t="shared" ca="1" si="9"/>
        <v>－</v>
      </c>
      <c r="Q60" s="3" t="str">
        <f ca="1">INDEX(リバース占い!BI:BI, MATCH($A60, リバース占い!$BA:$BA, 0))</f>
        <v/>
      </c>
      <c r="R60" s="3" t="str">
        <f ca="1">INDEX(リバース占い!BJ:BJ, MATCH($A60, リバース占い!$BA:$BA, 0))</f>
        <v/>
      </c>
      <c r="S60" s="3" t="str">
        <f ca="1">INDEX(リバース占い!BK:BK, MATCH($A60, リバース占い!$BA:$BA, 0))</f>
        <v>丙辛干合</v>
      </c>
      <c r="T60" s="2" t="e">
        <f ca="1">VLOOKUP(Q60,$S$5:$U$10,3,FALSE)</f>
        <v>#N/A</v>
      </c>
      <c r="U60" s="2" t="e">
        <f t="shared" ref="U60:V75" ca="1" si="10">VLOOKUP(R60,$S$5:$U$10,3,FALSE)</f>
        <v>#N/A</v>
      </c>
      <c r="V60" s="2" t="str">
        <f t="shared" ca="1" si="10"/>
        <v>デレ化</v>
      </c>
    </row>
    <row r="61" spans="1:22" ht="25.5" customHeight="1">
      <c r="A61" s="45">
        <f ca="1">IF(A60="","",IF(A60&gt;=EOMONTH(TODAY(), 1),"",A60+1))</f>
        <v>46175</v>
      </c>
      <c r="B61" s="40" t="str">
        <f ca="1">INDEX(リバース占い!BM:BM, MATCH(A61, リバース占い!BA:BA, 0))</f>
        <v>大曇天</v>
      </c>
      <c r="C61" s="41" t="str">
        <f ca="1">INDEX(リバース占い!BN:BN, MATCH(A61, リバース占い!BA:BA, 0))</f>
        <v>運命の停止（運の真冬時期）。古い価値観を手放す究極の浄化期間。</v>
      </c>
      <c r="D61" s="41" t="e">
        <f ca="1">INDEX(リバース占い!BO:BO, MATCH(C61, リバース占い!BC:BC, 0))</f>
        <v>#N/A</v>
      </c>
      <c r="E61" s="41" t="e">
        <f ca="1">INDEX(リバース占い!BP:BP, MATCH(D61, リバース占い!BD:BD, 0))</f>
        <v>#N/A</v>
      </c>
      <c r="F61" s="41" t="e">
        <f ca="1">INDEX(リバース占い!BQ:BQ, MATCH(E61, リバース占い!BE:BE, 0))</f>
        <v>#N/A</v>
      </c>
      <c r="G61" s="41" t="e">
        <f ca="1">INDEX(リバース占い!BR:BR, MATCH(F61, リバース占い!BF:BF, 0))</f>
        <v>#N/A</v>
      </c>
      <c r="H61" s="41" t="e">
        <f ca="1">INDEX(リバース占い!BS:BS, MATCH(G61, リバース占い!BG:BG, 0))</f>
        <v>#N/A</v>
      </c>
      <c r="I61" s="41" t="e">
        <f ca="1">INDEX(リバース占い!BT:BT, MATCH(H61, リバース占い!BH:BH, 0))</f>
        <v>#N/A</v>
      </c>
      <c r="J61" s="41" t="e">
        <f ca="1">INDEX(リバース占い!BU:BU, MATCH(I61, リバース占い!BL:BL, 0))</f>
        <v>#N/A</v>
      </c>
      <c r="K61" s="2" t="str">
        <f ca="1">INDEX(リバース占い!BF:BF, MATCH($A61, リバース占い!$BA:$BA, 0))</f>
        <v>害</v>
      </c>
      <c r="L61" s="2" t="str">
        <f ca="1">INDEX(リバース占い!BG:BG, MATCH($A61, リバース占い!$BA:$BA, 0))</f>
        <v>－</v>
      </c>
      <c r="M61" s="2" t="str">
        <f ca="1">INDEX(リバース占い!BH:BH, MATCH($A61, リバース占い!$BA:$BA, 0))</f>
        <v>－</v>
      </c>
      <c r="N61" s="36" t="str">
        <f t="shared" ref="N61:P124" ca="1" si="11">VLOOKUP(K61,$L$6:$P$27,2,FALSE)</f>
        <v>ストレス</v>
      </c>
      <c r="O61" s="36" t="str">
        <f t="shared" ca="1" si="9"/>
        <v>－</v>
      </c>
      <c r="P61" s="36" t="str">
        <f t="shared" ca="1" si="9"/>
        <v>－</v>
      </c>
      <c r="Q61" s="3" t="str">
        <f ca="1">INDEX(リバース占い!BI:BI, MATCH($A61, リバース占い!$BA:$BA, 0))</f>
        <v/>
      </c>
      <c r="R61" s="3" t="str">
        <f ca="1">INDEX(リバース占い!BJ:BJ, MATCH($A61, リバース占い!$BA:$BA, 0))</f>
        <v/>
      </c>
      <c r="S61" s="3" t="str">
        <f ca="1">INDEX(リバース占い!BK:BK, MATCH($A61, リバース占い!$BA:$BA, 0))</f>
        <v/>
      </c>
      <c r="T61" s="2" t="e">
        <f t="shared" ref="T61:V124" ca="1" si="12">VLOOKUP(Q61,$S$5:$U$10,3,FALSE)</f>
        <v>#N/A</v>
      </c>
      <c r="U61" s="2" t="e">
        <f t="shared" ca="1" si="10"/>
        <v>#N/A</v>
      </c>
      <c r="V61" s="2" t="e">
        <f t="shared" ca="1" si="10"/>
        <v>#N/A</v>
      </c>
    </row>
    <row r="62" spans="1:22" ht="25.5" customHeight="1">
      <c r="A62" s="45">
        <f t="shared" ref="A62:A124" ca="1" si="13">IF(A61="","",IF(A61&gt;=EOMONTH(TODAY(), 1),"",A61+1))</f>
        <v>46176</v>
      </c>
      <c r="B62" s="40" t="str">
        <f ca="1">INDEX(リバース占い!BM:BM, MATCH(A62, リバース占い!BA:BA, 0))</f>
        <v>雨天</v>
      </c>
      <c r="C62" s="41" t="str">
        <f ca="1">INDEX(リバース占い!BN:BN, MATCH(A62, リバース占い!BA:BA, 0))</f>
        <v>カルマの精算。過去の執着をすべて洗い流し、次の春への準備を整える。</v>
      </c>
      <c r="D62" s="41" t="e">
        <f ca="1">INDEX(リバース占い!BO:BO, MATCH(C62, リバース占い!BC:BC, 0))</f>
        <v>#N/A</v>
      </c>
      <c r="E62" s="41" t="e">
        <f ca="1">INDEX(リバース占い!BP:BP, MATCH(D62, リバース占い!BD:BD, 0))</f>
        <v>#N/A</v>
      </c>
      <c r="F62" s="41" t="e">
        <f ca="1">INDEX(リバース占い!BQ:BQ, MATCH(E62, リバース占い!BE:BE, 0))</f>
        <v>#N/A</v>
      </c>
      <c r="G62" s="41" t="e">
        <f ca="1">INDEX(リバース占い!BR:BR, MATCH(F62, リバース占い!BF:BF, 0))</f>
        <v>#N/A</v>
      </c>
      <c r="H62" s="41" t="e">
        <f ca="1">INDEX(リバース占い!BS:BS, MATCH(G62, リバース占い!BG:BG, 0))</f>
        <v>#N/A</v>
      </c>
      <c r="I62" s="41" t="e">
        <f ca="1">INDEX(リバース占い!BT:BT, MATCH(H62, リバース占い!BH:BH, 0))</f>
        <v>#N/A</v>
      </c>
      <c r="J62" s="41" t="e">
        <f ca="1">INDEX(リバース占い!BU:BU, MATCH(I62, リバース占い!BL:BL, 0))</f>
        <v>#N/A</v>
      </c>
      <c r="K62" s="2" t="str">
        <f ca="1">INDEX(リバース占い!BF:BF, MATCH($A62, リバース占い!$BA:$BA, 0))</f>
        <v>大半会</v>
      </c>
      <c r="L62" s="2" t="str">
        <f ca="1">INDEX(リバース占い!BG:BG, MATCH($A62, リバース占い!$BA:$BA, 0))</f>
        <v>同</v>
      </c>
      <c r="M62" s="2" t="str">
        <f ca="1">INDEX(リバース占い!BH:BH, MATCH($A62, リバース占い!$BA:$BA, 0))</f>
        <v>準方位</v>
      </c>
      <c r="N62" s="36" t="str">
        <f t="shared" ca="1" si="11"/>
        <v>フィーバー</v>
      </c>
      <c r="O62" s="36" t="str">
        <f t="shared" ca="1" si="9"/>
        <v>ブースト</v>
      </c>
      <c r="P62" s="36" t="str">
        <f t="shared" ca="1" si="9"/>
        <v>スクラム</v>
      </c>
      <c r="Q62" s="3" t="str">
        <f ca="1">INDEX(リバース占い!BI:BI, MATCH($A62, リバース占い!$BA:$BA, 0))</f>
        <v/>
      </c>
      <c r="R62" s="3" t="str">
        <f ca="1">INDEX(リバース占い!BJ:BJ, MATCH($A62, リバース占い!$BA:$BA, 0))</f>
        <v/>
      </c>
      <c r="S62" s="3" t="str">
        <f ca="1">INDEX(リバース占い!BK:BK, MATCH($A62, リバース占い!$BA:$BA, 0))</f>
        <v/>
      </c>
      <c r="T62" s="2" t="e">
        <f t="shared" ca="1" si="12"/>
        <v>#N/A</v>
      </c>
      <c r="U62" s="2" t="e">
        <f t="shared" ca="1" si="10"/>
        <v>#N/A</v>
      </c>
      <c r="V62" s="2" t="e">
        <f t="shared" ca="1" si="10"/>
        <v>#N/A</v>
      </c>
    </row>
    <row r="63" spans="1:22" ht="25.5" customHeight="1">
      <c r="A63" s="45">
        <f t="shared" ca="1" si="13"/>
        <v>46177</v>
      </c>
      <c r="B63" s="40" t="str">
        <f ca="1">INDEX(リバース占い!BM:BM, MATCH(A63, リバース占い!BA:BA, 0))</f>
        <v>起天</v>
      </c>
      <c r="C63" s="41" t="str">
        <f ca="1">INDEX(リバース占い!BN:BN, MATCH(A63, リバース占い!BA:BA, 0))</f>
        <v>運命の幕開け。過去を断ち切り新しい種をまく開拓期。</v>
      </c>
      <c r="D63" s="41" t="e">
        <f ca="1">INDEX(リバース占い!BO:BO, MATCH(C63, リバース占い!BC:BC, 0))</f>
        <v>#N/A</v>
      </c>
      <c r="E63" s="41" t="e">
        <f ca="1">INDEX(リバース占い!BP:BP, MATCH(D63, リバース占い!BD:BD, 0))</f>
        <v>#N/A</v>
      </c>
      <c r="F63" s="41" t="e">
        <f ca="1">INDEX(リバース占い!BQ:BQ, MATCH(E63, リバース占い!BE:BE, 0))</f>
        <v>#N/A</v>
      </c>
      <c r="G63" s="41" t="e">
        <f ca="1">INDEX(リバース占い!BR:BR, MATCH(F63, リバース占い!BF:BF, 0))</f>
        <v>#N/A</v>
      </c>
      <c r="H63" s="41" t="e">
        <f ca="1">INDEX(リバース占い!BS:BS, MATCH(G63, リバース占い!BG:BG, 0))</f>
        <v>#N/A</v>
      </c>
      <c r="I63" s="41" t="e">
        <f ca="1">INDEX(リバース占い!BT:BT, MATCH(H63, リバース占い!BH:BH, 0))</f>
        <v>#N/A</v>
      </c>
      <c r="J63" s="41" t="e">
        <f ca="1">INDEX(リバース占い!BU:BU, MATCH(I63, リバース占い!BL:BL, 0))</f>
        <v>#N/A</v>
      </c>
      <c r="K63" s="2" t="str">
        <f ca="1">INDEX(リバース占い!BF:BF, MATCH($A63, リバース占い!$BA:$BA, 0))</f>
        <v>破</v>
      </c>
      <c r="L63" s="2" t="str">
        <f ca="1">INDEX(リバース占い!BG:BG, MATCH($A63, リバース占い!$BA:$BA, 0))</f>
        <v>準方位</v>
      </c>
      <c r="M63" s="2" t="str">
        <f ca="1">INDEX(リバース占い!BH:BH, MATCH($A63, リバース占い!$BA:$BA, 0))</f>
        <v>自刑</v>
      </c>
      <c r="N63" s="36" t="str">
        <f t="shared" ca="1" si="11"/>
        <v>フリーズ</v>
      </c>
      <c r="O63" s="36" t="str">
        <f t="shared" ca="1" si="9"/>
        <v>スクラム</v>
      </c>
      <c r="P63" s="36" t="str">
        <f t="shared" ca="1" si="9"/>
        <v>セルフバトル</v>
      </c>
      <c r="Q63" s="3" t="str">
        <f ca="1">INDEX(リバース占い!BI:BI, MATCH($A63, リバース占い!$BA:$BA, 0))</f>
        <v/>
      </c>
      <c r="R63" s="3" t="str">
        <f ca="1">INDEX(リバース占い!BJ:BJ, MATCH($A63, リバース占い!$BA:$BA, 0))</f>
        <v/>
      </c>
      <c r="S63" s="3" t="str">
        <f ca="1">INDEX(リバース占い!BK:BK, MATCH($A63, リバース占い!$BA:$BA, 0))</f>
        <v/>
      </c>
      <c r="T63" s="2" t="e">
        <f t="shared" ca="1" si="12"/>
        <v>#N/A</v>
      </c>
      <c r="U63" s="2" t="e">
        <f t="shared" ca="1" si="10"/>
        <v>#N/A</v>
      </c>
      <c r="V63" s="2" t="e">
        <f t="shared" ca="1" si="10"/>
        <v>#N/A</v>
      </c>
    </row>
    <row r="64" spans="1:22" ht="25.5" customHeight="1">
      <c r="A64" s="45">
        <f t="shared" ca="1" si="13"/>
        <v>46178</v>
      </c>
      <c r="B64" s="40" t="str">
        <f ca="1">INDEX(リバース占い!BM:BM, MATCH(A64, リバース占い!BA:BA, 0))</f>
        <v>吉祥天</v>
      </c>
      <c r="C64" s="41" t="str">
        <f ca="1">INDEX(リバース占い!BN:BN, MATCH(A64, リバース占い!BA:BA, 0))</f>
        <v>まいた種が芽吹き、周囲の支援を受けて着実に育つ時期。</v>
      </c>
      <c r="D64" s="41" t="e">
        <f ca="1">INDEX(リバース占い!BO:BO, MATCH(C64, リバース占い!BC:BC, 0))</f>
        <v>#N/A</v>
      </c>
      <c r="E64" s="41" t="e">
        <f ca="1">INDEX(リバース占い!BP:BP, MATCH(D64, リバース占い!BD:BD, 0))</f>
        <v>#N/A</v>
      </c>
      <c r="F64" s="41" t="e">
        <f ca="1">INDEX(リバース占い!BQ:BQ, MATCH(E64, リバース占い!BE:BE, 0))</f>
        <v>#N/A</v>
      </c>
      <c r="G64" s="41" t="e">
        <f ca="1">INDEX(リバース占い!BR:BR, MATCH(F64, リバース占い!BF:BF, 0))</f>
        <v>#N/A</v>
      </c>
      <c r="H64" s="41" t="e">
        <f ca="1">INDEX(リバース占い!BS:BS, MATCH(G64, リバース占い!BG:BG, 0))</f>
        <v>#N/A</v>
      </c>
      <c r="I64" s="41" t="e">
        <f ca="1">INDEX(リバース占い!BT:BT, MATCH(H64, リバース占い!BH:BH, 0))</f>
        <v>#N/A</v>
      </c>
      <c r="J64" s="41" t="e">
        <f ca="1">INDEX(リバース占い!BU:BU, MATCH(I64, リバース占い!BL:BL, 0))</f>
        <v>#N/A</v>
      </c>
      <c r="K64" s="2" t="str">
        <f ca="1">INDEX(リバース占い!BF:BF, MATCH($A64, リバース占い!$BA:$BA, 0))</f>
        <v>－</v>
      </c>
      <c r="L64" s="2" t="str">
        <f ca="1">INDEX(リバース占い!BG:BG, MATCH($A64, リバース占い!$BA:$BA, 0))</f>
        <v>準方位</v>
      </c>
      <c r="M64" s="2" t="str">
        <f ca="1">INDEX(リバース占い!BH:BH, MATCH($A64, リバース占い!$BA:$BA, 0))</f>
        <v>害</v>
      </c>
      <c r="N64" s="36" t="str">
        <f t="shared" ca="1" si="11"/>
        <v>－</v>
      </c>
      <c r="O64" s="36" t="str">
        <f t="shared" ca="1" si="9"/>
        <v>スクラム</v>
      </c>
      <c r="P64" s="36" t="str">
        <f t="shared" ca="1" si="9"/>
        <v>ストレス</v>
      </c>
      <c r="Q64" s="3" t="str">
        <f ca="1">INDEX(リバース占い!BI:BI, MATCH($A64, リバース占い!$BA:$BA, 0))</f>
        <v/>
      </c>
      <c r="R64" s="3" t="str">
        <f ca="1">INDEX(リバース占い!BJ:BJ, MATCH($A64, リバース占い!$BA:$BA, 0))</f>
        <v/>
      </c>
      <c r="S64" s="3" t="str">
        <f ca="1">INDEX(リバース占い!BK:BK, MATCH($A64, リバース占い!$BA:$BA, 0))</f>
        <v/>
      </c>
      <c r="T64" s="2" t="e">
        <f t="shared" ca="1" si="12"/>
        <v>#N/A</v>
      </c>
      <c r="U64" s="2" t="e">
        <f t="shared" ca="1" si="10"/>
        <v>#N/A</v>
      </c>
      <c r="V64" s="2" t="e">
        <f t="shared" ca="1" si="10"/>
        <v>#N/A</v>
      </c>
    </row>
    <row r="65" spans="1:22" ht="25.5" customHeight="1">
      <c r="A65" s="45">
        <f t="shared" ca="1" si="13"/>
        <v>46179</v>
      </c>
      <c r="B65" s="40" t="str">
        <f ca="1">INDEX(リバース占い!BM:BM, MATCH(A65, リバース占い!BA:BA, 0))</f>
        <v>弁財天</v>
      </c>
      <c r="C65" s="41" t="str">
        <f ca="1">INDEX(リバース占い!BN:BN, MATCH(A65, リバース占い!BA:BA, 0))</f>
        <v>才能がパッと花開き、今後の人生を左右する重要な決定を下す発展期。</v>
      </c>
      <c r="D65" s="41" t="e">
        <f ca="1">INDEX(リバース占い!BO:BO, MATCH(C65, リバース占い!BC:BC, 0))</f>
        <v>#N/A</v>
      </c>
      <c r="E65" s="41" t="e">
        <f ca="1">INDEX(リバース占い!BP:BP, MATCH(D65, リバース占い!BD:BD, 0))</f>
        <v>#N/A</v>
      </c>
      <c r="F65" s="41" t="e">
        <f ca="1">INDEX(リバース占い!BQ:BQ, MATCH(E65, リバース占い!BE:BE, 0))</f>
        <v>#N/A</v>
      </c>
      <c r="G65" s="41" t="e">
        <f ca="1">INDEX(リバース占い!BR:BR, MATCH(F65, リバース占い!BF:BF, 0))</f>
        <v>#N/A</v>
      </c>
      <c r="H65" s="41" t="e">
        <f ca="1">INDEX(リバース占い!BS:BS, MATCH(G65, リバース占い!BG:BG, 0))</f>
        <v>#N/A</v>
      </c>
      <c r="I65" s="41" t="e">
        <f ca="1">INDEX(リバース占い!BT:BT, MATCH(H65, リバース占い!BH:BH, 0))</f>
        <v>#N/A</v>
      </c>
      <c r="J65" s="41" t="e">
        <f ca="1">INDEX(リバース占い!BU:BU, MATCH(I65, リバース占い!BL:BL, 0))</f>
        <v>#N/A</v>
      </c>
      <c r="K65" s="2" t="str">
        <f ca="1">INDEX(リバース占い!BF:BF, MATCH($A65, リバース占い!$BA:$BA, 0))</f>
        <v>準方位</v>
      </c>
      <c r="L65" s="2" t="str">
        <f ca="1">INDEX(リバース占い!BG:BG, MATCH($A65, リバース占い!$BA:$BA, 0))</f>
        <v>害</v>
      </c>
      <c r="M65" s="2" t="str">
        <f ca="1">INDEX(リバース占い!BH:BH, MATCH($A65, リバース占い!$BA:$BA, 0))</f>
        <v>－</v>
      </c>
      <c r="N65" s="36" t="str">
        <f t="shared" ca="1" si="11"/>
        <v>スクラム</v>
      </c>
      <c r="O65" s="36" t="str">
        <f t="shared" ca="1" si="9"/>
        <v>ストレス</v>
      </c>
      <c r="P65" s="36" t="str">
        <f t="shared" ca="1" si="9"/>
        <v>－</v>
      </c>
      <c r="Q65" s="3" t="str">
        <f ca="1">INDEX(リバース占い!BI:BI, MATCH($A65, リバース占い!$BA:$BA, 0))</f>
        <v/>
      </c>
      <c r="R65" s="3" t="str">
        <f ca="1">INDEX(リバース占い!BJ:BJ, MATCH($A65, リバース占い!$BA:$BA, 0))</f>
        <v>丙辛干合</v>
      </c>
      <c r="S65" s="3" t="str">
        <f ca="1">INDEX(リバース占い!BK:BK, MATCH($A65, リバース占い!$BA:$BA, 0))</f>
        <v/>
      </c>
      <c r="T65" s="2" t="e">
        <f t="shared" ca="1" si="12"/>
        <v>#N/A</v>
      </c>
      <c r="U65" s="2" t="str">
        <f t="shared" ca="1" si="10"/>
        <v>デレ化</v>
      </c>
      <c r="V65" s="2" t="e">
        <f t="shared" ca="1" si="10"/>
        <v>#N/A</v>
      </c>
    </row>
    <row r="66" spans="1:22" ht="25.5" customHeight="1">
      <c r="A66" s="45">
        <f t="shared" ca="1" si="13"/>
        <v>46180</v>
      </c>
      <c r="B66" s="40" t="str">
        <f ca="1">INDEX(リバース占い!BM:BM, MATCH(A66, リバース占い!BA:BA, 0))</f>
        <v>曇天</v>
      </c>
      <c r="C66" s="41" t="str">
        <f ca="1">INDEX(リバース占い!BN:BN, MATCH(A66, リバース占い!BA:BA, 0))</f>
        <v>運気の勢いに心身が追いつかない小休止。自己治癒の時期。</v>
      </c>
      <c r="D66" s="41" t="e">
        <f ca="1">INDEX(リバース占い!BO:BO, MATCH(C66, リバース占い!BC:BC, 0))</f>
        <v>#N/A</v>
      </c>
      <c r="E66" s="41" t="e">
        <f ca="1">INDEX(リバース占い!BP:BP, MATCH(D66, リバース占い!BD:BD, 0))</f>
        <v>#N/A</v>
      </c>
      <c r="F66" s="41" t="e">
        <f ca="1">INDEX(リバース占い!BQ:BQ, MATCH(E66, リバース占い!BE:BE, 0))</f>
        <v>#N/A</v>
      </c>
      <c r="G66" s="41" t="e">
        <f ca="1">INDEX(リバース占い!BR:BR, MATCH(F66, リバース占い!BF:BF, 0))</f>
        <v>#N/A</v>
      </c>
      <c r="H66" s="41" t="e">
        <f ca="1">INDEX(リバース占い!BS:BS, MATCH(G66, リバース占い!BG:BG, 0))</f>
        <v>#N/A</v>
      </c>
      <c r="I66" s="41" t="e">
        <f ca="1">INDEX(リバース占い!BT:BT, MATCH(H66, リバース占い!BH:BH, 0))</f>
        <v>#N/A</v>
      </c>
      <c r="J66" s="41" t="e">
        <f ca="1">INDEX(リバース占い!BU:BU, MATCH(I66, リバース占い!BL:BL, 0))</f>
        <v>#N/A</v>
      </c>
      <c r="K66" s="2" t="str">
        <f ca="1">INDEX(リバース占い!BF:BF, MATCH($A66, リバース占い!$BA:$BA, 0))</f>
        <v>同</v>
      </c>
      <c r="L66" s="2" t="str">
        <f ca="1">INDEX(リバース占い!BG:BG, MATCH($A66, リバース占い!$BA:$BA, 0))</f>
        <v>半会</v>
      </c>
      <c r="M66" s="2" t="str">
        <f ca="1">INDEX(リバース占い!BH:BH, MATCH($A66, リバース占い!$BA:$BA, 0))</f>
        <v>破</v>
      </c>
      <c r="N66" s="36" t="str">
        <f t="shared" ca="1" si="11"/>
        <v>ブースト</v>
      </c>
      <c r="O66" s="36" t="str">
        <f t="shared" ca="1" si="9"/>
        <v>シナジー</v>
      </c>
      <c r="P66" s="36" t="str">
        <f t="shared" ca="1" si="9"/>
        <v>フリーズ</v>
      </c>
      <c r="Q66" s="3" t="str">
        <f ca="1">INDEX(リバース占い!BI:BI, MATCH($A66, リバース占い!$BA:$BA, 0))</f>
        <v/>
      </c>
      <c r="R66" s="3" t="str">
        <f ca="1">INDEX(リバース占い!BJ:BJ, MATCH($A66, リバース占い!$BA:$BA, 0))</f>
        <v/>
      </c>
      <c r="S66" s="3" t="str">
        <f ca="1">INDEX(リバース占い!BK:BK, MATCH($A66, リバース占い!$BA:$BA, 0))</f>
        <v/>
      </c>
      <c r="T66" s="2" t="e">
        <f t="shared" ca="1" si="12"/>
        <v>#N/A</v>
      </c>
      <c r="U66" s="2" t="e">
        <f t="shared" ca="1" si="10"/>
        <v>#N/A</v>
      </c>
      <c r="V66" s="2" t="e">
        <f t="shared" ca="1" si="10"/>
        <v>#N/A</v>
      </c>
    </row>
    <row r="67" spans="1:22" ht="25.5" customHeight="1">
      <c r="A67" s="45">
        <f t="shared" ca="1" si="13"/>
        <v>46181</v>
      </c>
      <c r="B67" s="40" t="str">
        <f ca="1">INDEX(リバース占い!BM:BM, MATCH(A67, リバース占い!BA:BA, 0))</f>
        <v>韋駄天</v>
      </c>
      <c r="C67" s="41" t="str">
        <f ca="1">INDEX(リバース占い!BN:BN, MATCH(A67, リバース占い!BA:BA, 0))</f>
        <v>運気絶頂。これまでの努力が実を結び、最高のスポットライトを浴びる。</v>
      </c>
      <c r="D67" s="41" t="e">
        <f ca="1">INDEX(リバース占い!BO:BO, MATCH(C67, リバース占い!BC:BC, 0))</f>
        <v>#N/A</v>
      </c>
      <c r="E67" s="41" t="e">
        <f ca="1">INDEX(リバース占い!BP:BP, MATCH(D67, リバース占い!BD:BD, 0))</f>
        <v>#N/A</v>
      </c>
      <c r="F67" s="41" t="e">
        <f ca="1">INDEX(リバース占い!BQ:BQ, MATCH(E67, リバース占い!BE:BE, 0))</f>
        <v>#N/A</v>
      </c>
      <c r="G67" s="41" t="e">
        <f ca="1">INDEX(リバース占い!BR:BR, MATCH(F67, リバース占い!BF:BF, 0))</f>
        <v>#N/A</v>
      </c>
      <c r="H67" s="41" t="e">
        <f ca="1">INDEX(リバース占い!BS:BS, MATCH(G67, リバース占い!BG:BG, 0))</f>
        <v>#N/A</v>
      </c>
      <c r="I67" s="41" t="e">
        <f ca="1">INDEX(リバース占い!BT:BT, MATCH(H67, リバース占い!BH:BH, 0))</f>
        <v>#N/A</v>
      </c>
      <c r="J67" s="41" t="e">
        <f ca="1">INDEX(リバース占い!BU:BU, MATCH(I67, リバース占い!BL:BL, 0))</f>
        <v>#N/A</v>
      </c>
      <c r="K67" s="2" t="str">
        <f ca="1">INDEX(リバース占い!BF:BF, MATCH($A67, リバース占い!$BA:$BA, 0))</f>
        <v>支合</v>
      </c>
      <c r="L67" s="2" t="str">
        <f ca="1">INDEX(リバース占い!BG:BG, MATCH($A67, リバース占い!$BA:$BA, 0))</f>
        <v>－</v>
      </c>
      <c r="M67" s="2" t="str">
        <f ca="1">INDEX(リバース占い!BH:BH, MATCH($A67, リバース占い!$BA:$BA, 0))</f>
        <v>半会</v>
      </c>
      <c r="N67" s="36" t="str">
        <f t="shared" ca="1" si="11"/>
        <v>バランス</v>
      </c>
      <c r="O67" s="36" t="str">
        <f t="shared" ca="1" si="9"/>
        <v>－</v>
      </c>
      <c r="P67" s="36" t="str">
        <f t="shared" ca="1" si="9"/>
        <v>シナジー</v>
      </c>
      <c r="Q67" s="3" t="str">
        <f ca="1">INDEX(リバース占い!BI:BI, MATCH($A67, リバース占い!$BA:$BA, 0))</f>
        <v>戊癸干合</v>
      </c>
      <c r="R67" s="3" t="str">
        <f ca="1">INDEX(リバース占い!BJ:BJ, MATCH($A67, リバース占い!$BA:$BA, 0))</f>
        <v/>
      </c>
      <c r="S67" s="3" t="str">
        <f ca="1">INDEX(リバース占い!BK:BK, MATCH($A67, リバース占い!$BA:$BA, 0))</f>
        <v/>
      </c>
      <c r="T67" s="2" t="str">
        <f t="shared" ca="1" si="12"/>
        <v>オトメ化</v>
      </c>
      <c r="U67" s="2" t="e">
        <f t="shared" ca="1" si="10"/>
        <v>#N/A</v>
      </c>
      <c r="V67" s="2" t="e">
        <f t="shared" ca="1" si="10"/>
        <v>#N/A</v>
      </c>
    </row>
    <row r="68" spans="1:22" ht="21">
      <c r="A68" s="45">
        <f t="shared" ca="1" si="13"/>
        <v>46182</v>
      </c>
      <c r="B68" s="40" t="str">
        <f ca="1">INDEX(リバース占い!BM:BM, MATCH(A68, リバース占い!BA:BA, 0))</f>
        <v>伏魔天</v>
      </c>
      <c r="C68" s="41" t="str">
        <f ca="1">INDEX(リバース占い!BN:BN, MATCH(A68, リバース占い!BA:BA, 0))</f>
        <v>強すぎる運気の反動で迷いや摩擦が生じる。理性と現状維持が必要な嵐。</v>
      </c>
      <c r="D68" s="41" t="e">
        <f ca="1">INDEX(リバース占い!BO:BO, MATCH(C68, リバース占い!BC:BC, 0))</f>
        <v>#N/A</v>
      </c>
      <c r="E68" s="41" t="e">
        <f ca="1">INDEX(リバース占い!BP:BP, MATCH(D68, リバース占い!BD:BD, 0))</f>
        <v>#N/A</v>
      </c>
      <c r="F68" s="41" t="e">
        <f ca="1">INDEX(リバース占い!BQ:BQ, MATCH(E68, リバース占い!BE:BE, 0))</f>
        <v>#N/A</v>
      </c>
      <c r="G68" s="41" t="e">
        <f ca="1">INDEX(リバース占い!BR:BR, MATCH(F68, リバース占い!BF:BF, 0))</f>
        <v>#N/A</v>
      </c>
      <c r="H68" s="41" t="e">
        <f ca="1">INDEX(リバース占い!BS:BS, MATCH(G68, リバース占い!BG:BG, 0))</f>
        <v>#N/A</v>
      </c>
      <c r="I68" s="41" t="e">
        <f ca="1">INDEX(リバース占い!BT:BT, MATCH(H68, リバース占い!BH:BH, 0))</f>
        <v>#N/A</v>
      </c>
      <c r="J68" s="41" t="e">
        <f ca="1">INDEX(リバース占い!BU:BU, MATCH(I68, リバース占い!BL:BL, 0))</f>
        <v>#N/A</v>
      </c>
      <c r="K68" s="2" t="str">
        <f ca="1">INDEX(リバース占い!BF:BF, MATCH($A68, リバース占い!$BA:$BA, 0))</f>
        <v>－</v>
      </c>
      <c r="L68" s="2" t="str">
        <f ca="1">INDEX(リバース占い!BG:BG, MATCH($A68, リバース占い!$BA:$BA, 0))</f>
        <v>対冲</v>
      </c>
      <c r="M68" s="2" t="str">
        <f ca="1">INDEX(リバース占い!BH:BH, MATCH($A68, リバース占い!$BA:$BA, 0))</f>
        <v>－</v>
      </c>
      <c r="N68" s="36" t="str">
        <f t="shared" ca="1" si="11"/>
        <v>－</v>
      </c>
      <c r="O68" s="36" t="str">
        <f t="shared" ca="1" si="9"/>
        <v>クラッシュ</v>
      </c>
      <c r="P68" s="36" t="str">
        <f t="shared" ca="1" si="9"/>
        <v>－</v>
      </c>
      <c r="Q68" s="3" t="str">
        <f ca="1">INDEX(リバース占い!BI:BI, MATCH($A68, リバース占い!$BA:$BA, 0))</f>
        <v/>
      </c>
      <c r="R68" s="3" t="str">
        <f ca="1">INDEX(リバース占い!BJ:BJ, MATCH($A68, リバース占い!$BA:$BA, 0))</f>
        <v/>
      </c>
      <c r="S68" s="3" t="str">
        <f ca="1">INDEX(リバース占い!BK:BK, MATCH($A68, リバース占い!$BA:$BA, 0))</f>
        <v/>
      </c>
      <c r="T68" s="2" t="e">
        <f t="shared" ca="1" si="12"/>
        <v>#N/A</v>
      </c>
      <c r="U68" s="2" t="e">
        <f t="shared" ca="1" si="10"/>
        <v>#N/A</v>
      </c>
      <c r="V68" s="2" t="e">
        <f t="shared" ca="1" si="10"/>
        <v>#N/A</v>
      </c>
    </row>
    <row r="69" spans="1:22" ht="21">
      <c r="A69" s="45">
        <f t="shared" ca="1" si="13"/>
        <v>46183</v>
      </c>
      <c r="B69" s="40" t="str">
        <f ca="1">INDEX(リバース占い!BM:BM, MATCH(A69, リバース占い!BA:BA, 0))</f>
        <v>有頂天</v>
      </c>
      <c r="C69" s="41" t="str">
        <f ca="1">INDEX(リバース占い!BN:BN, MATCH(A69, リバース占い!BA:BA, 0))</f>
        <v>第2の絶頂期。過去の縁が繋がり、周囲を巻き込み大きな成果を出す。</v>
      </c>
      <c r="D69" s="41" t="e">
        <f ca="1">INDEX(リバース占い!BO:BO, MATCH(C69, リバース占い!BC:BC, 0))</f>
        <v>#N/A</v>
      </c>
      <c r="E69" s="41" t="e">
        <f ca="1">INDEX(リバース占い!BP:BP, MATCH(D69, リバース占い!BD:BD, 0))</f>
        <v>#N/A</v>
      </c>
      <c r="F69" s="41" t="e">
        <f ca="1">INDEX(リバース占い!BQ:BQ, MATCH(E69, リバース占い!BE:BE, 0))</f>
        <v>#N/A</v>
      </c>
      <c r="G69" s="41" t="e">
        <f ca="1">INDEX(リバース占い!BR:BR, MATCH(F69, リバース占い!BF:BF, 0))</f>
        <v>#N/A</v>
      </c>
      <c r="H69" s="41" t="e">
        <f ca="1">INDEX(リバース占い!BS:BS, MATCH(G69, リバース占い!BG:BG, 0))</f>
        <v>#N/A</v>
      </c>
      <c r="I69" s="41" t="e">
        <f ca="1">INDEX(リバース占い!BT:BT, MATCH(H69, リバース占い!BH:BH, 0))</f>
        <v>#N/A</v>
      </c>
      <c r="J69" s="41" t="e">
        <f ca="1">INDEX(リバース占い!BU:BU, MATCH(I69, リバース占い!BL:BL, 0))</f>
        <v>#N/A</v>
      </c>
      <c r="K69" s="2" t="str">
        <f ca="1">INDEX(リバース占い!BF:BF, MATCH($A69, リバース占い!$BA:$BA, 0))</f>
        <v>刑</v>
      </c>
      <c r="L69" s="2" t="str">
        <f ca="1">INDEX(リバース占い!BG:BG, MATCH($A69, リバース占い!$BA:$BA, 0))</f>
        <v>－</v>
      </c>
      <c r="M69" s="2" t="str">
        <f ca="1">INDEX(リバース占い!BH:BH, MATCH($A69, リバース占い!$BA:$BA, 0))</f>
        <v>天剋地冲</v>
      </c>
      <c r="N69" s="36" t="str">
        <f t="shared" ca="1" si="11"/>
        <v>バトル</v>
      </c>
      <c r="O69" s="36" t="str">
        <f t="shared" ca="1" si="9"/>
        <v>－</v>
      </c>
      <c r="P69" s="36" t="str">
        <f t="shared" ca="1" si="9"/>
        <v>ビックバン</v>
      </c>
      <c r="Q69" s="3" t="str">
        <f ca="1">INDEX(リバース占い!BI:BI, MATCH($A69, リバース占い!$BA:$BA, 0))</f>
        <v/>
      </c>
      <c r="R69" s="3" t="str">
        <f ca="1">INDEX(リバース占い!BJ:BJ, MATCH($A69, リバース占い!$BA:$BA, 0))</f>
        <v/>
      </c>
      <c r="S69" s="3" t="str">
        <f ca="1">INDEX(リバース占い!BK:BK, MATCH($A69, リバース占い!$BA:$BA, 0))</f>
        <v/>
      </c>
      <c r="T69" s="2" t="e">
        <f t="shared" ca="1" si="12"/>
        <v>#N/A</v>
      </c>
      <c r="U69" s="2" t="e">
        <f t="shared" ca="1" si="10"/>
        <v>#N/A</v>
      </c>
      <c r="V69" s="2" t="e">
        <f t="shared" ca="1" si="10"/>
        <v>#N/A</v>
      </c>
    </row>
    <row r="70" spans="1:22" ht="21">
      <c r="A70" s="45">
        <f t="shared" ca="1" si="13"/>
        <v>46184</v>
      </c>
      <c r="B70" s="40" t="str">
        <f ca="1">INDEX(リバース占い!BM:BM, MATCH(A70, リバース占い!BA:BA, 0))</f>
        <v>満天</v>
      </c>
      <c r="C70" s="41" t="str">
        <f ca="1">INDEX(リバース占い!BN:BN, MATCH(A70, リバース占い!BA:BA, 0))</f>
        <v>収穫の喜び。物質や人脈などあらゆる財を蓄積し、強固な基盤を作る。</v>
      </c>
      <c r="D70" s="41" t="e">
        <f ca="1">INDEX(リバース占い!BO:BO, MATCH(C70, リバース占い!BC:BC, 0))</f>
        <v>#N/A</v>
      </c>
      <c r="E70" s="41" t="e">
        <f ca="1">INDEX(リバース占い!BP:BP, MATCH(D70, リバース占い!BD:BD, 0))</f>
        <v>#N/A</v>
      </c>
      <c r="F70" s="41" t="e">
        <f ca="1">INDEX(リバース占い!BQ:BQ, MATCH(E70, リバース占い!BE:BE, 0))</f>
        <v>#N/A</v>
      </c>
      <c r="G70" s="41" t="e">
        <f ca="1">INDEX(リバース占い!BR:BR, MATCH(F70, リバース占い!BF:BF, 0))</f>
        <v>#N/A</v>
      </c>
      <c r="H70" s="41" t="e">
        <f ca="1">INDEX(リバース占い!BS:BS, MATCH(G70, リバース占い!BG:BG, 0))</f>
        <v>#N/A</v>
      </c>
      <c r="I70" s="41" t="e">
        <f ca="1">INDEX(リバース占い!BT:BT, MATCH(H70, リバース占い!BH:BH, 0))</f>
        <v>#N/A</v>
      </c>
      <c r="J70" s="41" t="e">
        <f ca="1">INDEX(リバース占い!BU:BU, MATCH(I70, リバース占い!BL:BL, 0))</f>
        <v>#N/A</v>
      </c>
      <c r="K70" s="2" t="str">
        <f ca="1">INDEX(リバース占い!BF:BF, MATCH($A70, リバース占い!$BA:$BA, 0))</f>
        <v>半会</v>
      </c>
      <c r="L70" s="2" t="str">
        <f ca="1">INDEX(リバース占い!BG:BG, MATCH($A70, リバース占い!$BA:$BA, 0))</f>
        <v>大半会</v>
      </c>
      <c r="M70" s="2" t="str">
        <f ca="1">INDEX(リバース占い!BH:BH, MATCH($A70, リバース占い!$BA:$BA, 0))</f>
        <v>支合</v>
      </c>
      <c r="N70" s="36" t="str">
        <f t="shared" ca="1" si="11"/>
        <v>シナジー</v>
      </c>
      <c r="O70" s="36" t="str">
        <f t="shared" ca="1" si="9"/>
        <v>フィーバー</v>
      </c>
      <c r="P70" s="36" t="str">
        <f t="shared" ca="1" si="9"/>
        <v>バランス</v>
      </c>
      <c r="Q70" s="3" t="str">
        <f ca="1">INDEX(リバース占い!BI:BI, MATCH($A70, リバース占い!$BA:$BA, 0))</f>
        <v/>
      </c>
      <c r="R70" s="3" t="str">
        <f ca="1">INDEX(リバース占い!BJ:BJ, MATCH($A70, リバース占い!$BA:$BA, 0))</f>
        <v/>
      </c>
      <c r="S70" s="3" t="str">
        <f ca="1">INDEX(リバース占い!BK:BK, MATCH($A70, リバース占い!$BA:$BA, 0))</f>
        <v>丙辛干合</v>
      </c>
      <c r="T70" s="2" t="e">
        <f t="shared" ca="1" si="12"/>
        <v>#N/A</v>
      </c>
      <c r="U70" s="2" t="e">
        <f t="shared" ca="1" si="10"/>
        <v>#N/A</v>
      </c>
      <c r="V70" s="2" t="str">
        <f t="shared" ca="1" si="10"/>
        <v>デレ化</v>
      </c>
    </row>
    <row r="71" spans="1:22" ht="21">
      <c r="A71" s="45">
        <f t="shared" ca="1" si="13"/>
        <v>46185</v>
      </c>
      <c r="B71" s="40" t="str">
        <f ca="1">INDEX(リバース占い!BM:BM, MATCH(A71, リバース占い!BA:BA, 0))</f>
        <v>静天</v>
      </c>
      <c r="C71" s="41" t="str">
        <f ca="1">INDEX(リバース占い!BN:BN, MATCH(A71, リバース占い!BA:BA, 0))</f>
        <v>成果が出揃う。精神的な安定と充実の中で平和に人生を俯瞰する時期。</v>
      </c>
      <c r="D71" s="41" t="e">
        <f ca="1">INDEX(リバース占い!BO:BO, MATCH(C71, リバース占い!BC:BC, 0))</f>
        <v>#N/A</v>
      </c>
      <c r="E71" s="41" t="e">
        <f ca="1">INDEX(リバース占い!BP:BP, MATCH(D71, リバース占い!BD:BD, 0))</f>
        <v>#N/A</v>
      </c>
      <c r="F71" s="41" t="e">
        <f ca="1">INDEX(リバース占い!BQ:BQ, MATCH(E71, リバース占い!BE:BE, 0))</f>
        <v>#N/A</v>
      </c>
      <c r="G71" s="41" t="e">
        <f ca="1">INDEX(リバース占い!BR:BR, MATCH(F71, リバース占い!BF:BF, 0))</f>
        <v>#N/A</v>
      </c>
      <c r="H71" s="41" t="e">
        <f ca="1">INDEX(リバース占い!BS:BS, MATCH(G71, リバース占い!BG:BG, 0))</f>
        <v>#N/A</v>
      </c>
      <c r="I71" s="41" t="e">
        <f ca="1">INDEX(リバース占い!BT:BT, MATCH(H71, リバース占い!BH:BH, 0))</f>
        <v>#N/A</v>
      </c>
      <c r="J71" s="41" t="e">
        <f ca="1">INDEX(リバース占い!BU:BU, MATCH(I71, リバース占い!BL:BL, 0))</f>
        <v>#N/A</v>
      </c>
      <c r="K71" s="2" t="str">
        <f ca="1">INDEX(リバース占い!BF:BF, MATCH($A71, リバース占い!$BA:$BA, 0))</f>
        <v>－</v>
      </c>
      <c r="L71" s="2" t="str">
        <f ca="1">INDEX(リバース占い!BG:BG, MATCH($A71, リバース占い!$BA:$BA, 0))</f>
        <v>支合</v>
      </c>
      <c r="M71" s="2" t="str">
        <f ca="1">INDEX(リバース占い!BH:BH, MATCH($A71, リバース占い!$BA:$BA, 0))</f>
        <v>半会</v>
      </c>
      <c r="N71" s="36" t="str">
        <f t="shared" ca="1" si="11"/>
        <v>－</v>
      </c>
      <c r="O71" s="36" t="str">
        <f t="shared" ca="1" si="9"/>
        <v>バランス</v>
      </c>
      <c r="P71" s="36" t="str">
        <f t="shared" ca="1" si="9"/>
        <v>シナジー</v>
      </c>
      <c r="Q71" s="3" t="str">
        <f ca="1">INDEX(リバース占い!BI:BI, MATCH($A71, リバース占い!$BA:$BA, 0))</f>
        <v/>
      </c>
      <c r="R71" s="3" t="str">
        <f ca="1">INDEX(リバース占い!BJ:BJ, MATCH($A71, リバース占い!$BA:$BA, 0))</f>
        <v/>
      </c>
      <c r="S71" s="3" t="str">
        <f ca="1">INDEX(リバース占い!BK:BK, MATCH($A71, リバース占い!$BA:$BA, 0))</f>
        <v/>
      </c>
      <c r="T71" s="2" t="e">
        <f t="shared" ca="1" si="12"/>
        <v>#N/A</v>
      </c>
      <c r="U71" s="2" t="e">
        <f t="shared" ca="1" si="10"/>
        <v>#N/A</v>
      </c>
      <c r="V71" s="2" t="e">
        <f t="shared" ca="1" si="10"/>
        <v>#N/A</v>
      </c>
    </row>
    <row r="72" spans="1:22" ht="21">
      <c r="A72" s="45">
        <f t="shared" ca="1" si="13"/>
        <v>46186</v>
      </c>
      <c r="B72" s="40" t="str">
        <f ca="1">INDEX(リバース占い!BM:BM, MATCH(A72, リバース占い!BA:BA, 0))</f>
        <v>暗天</v>
      </c>
      <c r="C72" s="41" t="str">
        <f ca="1">INDEX(リバース占い!BN:BN, MATCH(A72, リバース占い!BA:BA, 0))</f>
        <v>運気下降（運の冬入り）。孤独を感じやすいが水面下の自己鍛錬が必要。</v>
      </c>
      <c r="D72" s="41" t="e">
        <f ca="1">INDEX(リバース占い!BO:BO, MATCH(C72, リバース占い!BC:BC, 0))</f>
        <v>#N/A</v>
      </c>
      <c r="E72" s="41" t="e">
        <f ca="1">INDEX(リバース占い!BP:BP, MATCH(D72, リバース占い!BD:BD, 0))</f>
        <v>#N/A</v>
      </c>
      <c r="F72" s="41" t="e">
        <f ca="1">INDEX(リバース占い!BQ:BQ, MATCH(E72, リバース占い!BE:BE, 0))</f>
        <v>#N/A</v>
      </c>
      <c r="G72" s="41" t="e">
        <f ca="1">INDEX(リバース占い!BR:BR, MATCH(F72, リバース占い!BF:BF, 0))</f>
        <v>#N/A</v>
      </c>
      <c r="H72" s="41" t="e">
        <f ca="1">INDEX(リバース占い!BS:BS, MATCH(G72, リバース占い!BG:BG, 0))</f>
        <v>#N/A</v>
      </c>
      <c r="I72" s="41" t="e">
        <f ca="1">INDEX(リバース占い!BT:BT, MATCH(H72, リバース占い!BH:BH, 0))</f>
        <v>#N/A</v>
      </c>
      <c r="J72" s="41" t="e">
        <f ca="1">INDEX(リバース占い!BU:BU, MATCH(I72, リバース占い!BL:BL, 0))</f>
        <v>#N/A</v>
      </c>
      <c r="K72" s="2" t="str">
        <f ca="1">INDEX(リバース占い!BF:BF, MATCH($A72, リバース占い!$BA:$BA, 0))</f>
        <v>納音</v>
      </c>
      <c r="L72" s="2" t="str">
        <f ca="1">INDEX(リバース占い!BG:BG, MATCH($A72, リバース占い!$BA:$BA, 0))</f>
        <v>－</v>
      </c>
      <c r="M72" s="2" t="str">
        <f ca="1">INDEX(リバース占い!BH:BH, MATCH($A72, リバース占い!$BA:$BA, 0))</f>
        <v>－</v>
      </c>
      <c r="N72" s="36" t="str">
        <f t="shared" ca="1" si="11"/>
        <v>ブレーキ</v>
      </c>
      <c r="O72" s="36" t="str">
        <f t="shared" ca="1" si="9"/>
        <v>－</v>
      </c>
      <c r="P72" s="36" t="str">
        <f t="shared" ca="1" si="9"/>
        <v>－</v>
      </c>
      <c r="Q72" s="3" t="str">
        <f ca="1">INDEX(リバース占い!BI:BI, MATCH($A72, リバース占い!$BA:$BA, 0))</f>
        <v/>
      </c>
      <c r="R72" s="3" t="str">
        <f ca="1">INDEX(リバース占い!BJ:BJ, MATCH($A72, リバース占い!$BA:$BA, 0))</f>
        <v/>
      </c>
      <c r="S72" s="3" t="str">
        <f ca="1">INDEX(リバース占い!BK:BK, MATCH($A72, リバース占い!$BA:$BA, 0))</f>
        <v/>
      </c>
      <c r="T72" s="2" t="e">
        <f t="shared" ca="1" si="12"/>
        <v>#N/A</v>
      </c>
      <c r="U72" s="2" t="e">
        <f t="shared" ca="1" si="10"/>
        <v>#N/A</v>
      </c>
      <c r="V72" s="2" t="e">
        <f t="shared" ca="1" si="10"/>
        <v>#N/A</v>
      </c>
    </row>
    <row r="73" spans="1:22" ht="21">
      <c r="A73" s="45">
        <f t="shared" ca="1" si="13"/>
        <v>46187</v>
      </c>
      <c r="B73" s="40" t="str">
        <f ca="1">INDEX(リバース占い!BM:BM, MATCH(A73, リバース占い!BA:BA, 0))</f>
        <v>大曇天</v>
      </c>
      <c r="C73" s="41" t="str">
        <f ca="1">INDEX(リバース占い!BN:BN, MATCH(A73, リバース占い!BA:BA, 0))</f>
        <v>運命の停止（運の真冬時期）。古い価値観を手放す究極の浄化期間。</v>
      </c>
      <c r="D73" s="41" t="e">
        <f ca="1">INDEX(リバース占い!BO:BO, MATCH(C73, リバース占い!BC:BC, 0))</f>
        <v>#N/A</v>
      </c>
      <c r="E73" s="41" t="e">
        <f ca="1">INDEX(リバース占い!BP:BP, MATCH(D73, リバース占い!BD:BD, 0))</f>
        <v>#N/A</v>
      </c>
      <c r="F73" s="41" t="e">
        <f ca="1">INDEX(リバース占い!BQ:BQ, MATCH(E73, リバース占い!BE:BE, 0))</f>
        <v>#N/A</v>
      </c>
      <c r="G73" s="41" t="e">
        <f ca="1">INDEX(リバース占い!BR:BR, MATCH(F73, リバース占い!BF:BF, 0))</f>
        <v>#N/A</v>
      </c>
      <c r="H73" s="41" t="e">
        <f ca="1">INDEX(リバース占い!BS:BS, MATCH(G73, リバース占い!BG:BG, 0))</f>
        <v>#N/A</v>
      </c>
      <c r="I73" s="41" t="e">
        <f ca="1">INDEX(リバース占い!BT:BT, MATCH(H73, リバース占い!BH:BH, 0))</f>
        <v>#N/A</v>
      </c>
      <c r="J73" s="41" t="e">
        <f ca="1">INDEX(リバース占い!BU:BU, MATCH(I73, リバース占い!BL:BL, 0))</f>
        <v>#N/A</v>
      </c>
      <c r="K73" s="2" t="str">
        <f ca="1">INDEX(リバース占い!BF:BF, MATCH($A73, リバース占い!$BA:$BA, 0))</f>
        <v>害</v>
      </c>
      <c r="L73" s="2" t="str">
        <f ca="1">INDEX(リバース占い!BG:BG, MATCH($A73, リバース占い!$BA:$BA, 0))</f>
        <v>－</v>
      </c>
      <c r="M73" s="2" t="str">
        <f ca="1">INDEX(リバース占い!BH:BH, MATCH($A73, リバース占い!$BA:$BA, 0))</f>
        <v>－</v>
      </c>
      <c r="N73" s="36" t="str">
        <f t="shared" ca="1" si="11"/>
        <v>ストレス</v>
      </c>
      <c r="O73" s="36" t="str">
        <f t="shared" ca="1" si="9"/>
        <v>－</v>
      </c>
      <c r="P73" s="36" t="str">
        <f t="shared" ca="1" si="9"/>
        <v>－</v>
      </c>
      <c r="Q73" s="3" t="str">
        <f ca="1">INDEX(リバース占い!BI:BI, MATCH($A73, リバース占い!$BA:$BA, 0))</f>
        <v/>
      </c>
      <c r="R73" s="3" t="str">
        <f ca="1">INDEX(リバース占い!BJ:BJ, MATCH($A73, リバース占い!$BA:$BA, 0))</f>
        <v/>
      </c>
      <c r="S73" s="3" t="str">
        <f ca="1">INDEX(リバース占い!BK:BK, MATCH($A73, リバース占い!$BA:$BA, 0))</f>
        <v/>
      </c>
      <c r="T73" s="2" t="e">
        <f t="shared" ca="1" si="12"/>
        <v>#N/A</v>
      </c>
      <c r="U73" s="2" t="e">
        <f t="shared" ca="1" si="10"/>
        <v>#N/A</v>
      </c>
      <c r="V73" s="2" t="e">
        <f t="shared" ca="1" si="10"/>
        <v>#N/A</v>
      </c>
    </row>
    <row r="74" spans="1:22" ht="21">
      <c r="A74" s="45">
        <f t="shared" ca="1" si="13"/>
        <v>46188</v>
      </c>
      <c r="B74" s="40" t="str">
        <f ca="1">INDEX(リバース占い!BM:BM, MATCH(A74, リバース占い!BA:BA, 0))</f>
        <v>雨天</v>
      </c>
      <c r="C74" s="41" t="str">
        <f ca="1">INDEX(リバース占い!BN:BN, MATCH(A74, リバース占い!BA:BA, 0))</f>
        <v>カルマの精算。過去の執着をすべて洗い流し、次の春への準備を整える。</v>
      </c>
      <c r="D74" s="41" t="e">
        <f ca="1">INDEX(リバース占い!BO:BO, MATCH(C74, リバース占い!BC:BC, 0))</f>
        <v>#N/A</v>
      </c>
      <c r="E74" s="41" t="e">
        <f ca="1">INDEX(リバース占い!BP:BP, MATCH(D74, リバース占い!BD:BD, 0))</f>
        <v>#N/A</v>
      </c>
      <c r="F74" s="41" t="e">
        <f ca="1">INDEX(リバース占い!BQ:BQ, MATCH(E74, リバース占い!BE:BE, 0))</f>
        <v>#N/A</v>
      </c>
      <c r="G74" s="41" t="e">
        <f ca="1">INDEX(リバース占い!BR:BR, MATCH(F74, リバース占い!BF:BF, 0))</f>
        <v>#N/A</v>
      </c>
      <c r="H74" s="41" t="e">
        <f ca="1">INDEX(リバース占い!BS:BS, MATCH(G74, リバース占い!BG:BG, 0))</f>
        <v>#N/A</v>
      </c>
      <c r="I74" s="41" t="e">
        <f ca="1">INDEX(リバース占い!BT:BT, MATCH(H74, リバース占い!BH:BH, 0))</f>
        <v>#N/A</v>
      </c>
      <c r="J74" s="41" t="e">
        <f ca="1">INDEX(リバース占い!BU:BU, MATCH(I74, リバース占い!BL:BL, 0))</f>
        <v>#N/A</v>
      </c>
      <c r="K74" s="2" t="str">
        <f ca="1">INDEX(リバース占い!BF:BF, MATCH($A74, リバース占い!$BA:$BA, 0))</f>
        <v>半会</v>
      </c>
      <c r="L74" s="2" t="str">
        <f ca="1">INDEX(リバース占い!BG:BG, MATCH($A74, リバース占い!$BA:$BA, 0))</f>
        <v>同</v>
      </c>
      <c r="M74" s="2" t="str">
        <f ca="1">INDEX(リバース占い!BH:BH, MATCH($A74, リバース占い!$BA:$BA, 0))</f>
        <v>準方位</v>
      </c>
      <c r="N74" s="36" t="str">
        <f t="shared" ca="1" si="11"/>
        <v>シナジー</v>
      </c>
      <c r="O74" s="36" t="str">
        <f t="shared" ca="1" si="9"/>
        <v>ブースト</v>
      </c>
      <c r="P74" s="36" t="str">
        <f t="shared" ca="1" si="9"/>
        <v>スクラム</v>
      </c>
      <c r="Q74" s="3" t="str">
        <f ca="1">INDEX(リバース占い!BI:BI, MATCH($A74, リバース占い!$BA:$BA, 0))</f>
        <v/>
      </c>
      <c r="R74" s="3" t="str">
        <f ca="1">INDEX(リバース占い!BJ:BJ, MATCH($A74, リバース占い!$BA:$BA, 0))</f>
        <v/>
      </c>
      <c r="S74" s="3" t="str">
        <f ca="1">INDEX(リバース占い!BK:BK, MATCH($A74, リバース占い!$BA:$BA, 0))</f>
        <v/>
      </c>
      <c r="T74" s="2" t="e">
        <f t="shared" ca="1" si="12"/>
        <v>#N/A</v>
      </c>
      <c r="U74" s="2" t="e">
        <f t="shared" ca="1" si="10"/>
        <v>#N/A</v>
      </c>
      <c r="V74" s="2" t="e">
        <f t="shared" ca="1" si="10"/>
        <v>#N/A</v>
      </c>
    </row>
    <row r="75" spans="1:22" ht="21">
      <c r="A75" s="45">
        <f t="shared" ca="1" si="13"/>
        <v>46189</v>
      </c>
      <c r="B75" s="40" t="str">
        <f ca="1">INDEX(リバース占い!BM:BM, MATCH(A75, リバース占い!BA:BA, 0))</f>
        <v>起天</v>
      </c>
      <c r="C75" s="41" t="str">
        <f ca="1">INDEX(リバース占い!BN:BN, MATCH(A75, リバース占い!BA:BA, 0))</f>
        <v>運命の幕開け。過去を断ち切り新しい種をまく開拓期。</v>
      </c>
      <c r="D75" s="41" t="e">
        <f ca="1">INDEX(リバース占い!BO:BO, MATCH(C75, リバース占い!BC:BC, 0))</f>
        <v>#N/A</v>
      </c>
      <c r="E75" s="41" t="e">
        <f ca="1">INDEX(リバース占い!BP:BP, MATCH(D75, リバース占い!BD:BD, 0))</f>
        <v>#N/A</v>
      </c>
      <c r="F75" s="41" t="e">
        <f ca="1">INDEX(リバース占い!BQ:BQ, MATCH(E75, リバース占い!BE:BE, 0))</f>
        <v>#N/A</v>
      </c>
      <c r="G75" s="41" t="e">
        <f ca="1">INDEX(リバース占い!BR:BR, MATCH(F75, リバース占い!BF:BF, 0))</f>
        <v>#N/A</v>
      </c>
      <c r="H75" s="41" t="e">
        <f ca="1">INDEX(リバース占い!BS:BS, MATCH(G75, リバース占い!BG:BG, 0))</f>
        <v>#N/A</v>
      </c>
      <c r="I75" s="41" t="e">
        <f ca="1">INDEX(リバース占い!BT:BT, MATCH(H75, リバース占い!BH:BH, 0))</f>
        <v>#N/A</v>
      </c>
      <c r="J75" s="41" t="e">
        <f ca="1">INDEX(リバース占い!BU:BU, MATCH(I75, リバース占い!BL:BL, 0))</f>
        <v>#N/A</v>
      </c>
      <c r="K75" s="2" t="str">
        <f ca="1">INDEX(リバース占い!BF:BF, MATCH($A75, リバース占い!$BA:$BA, 0))</f>
        <v>破</v>
      </c>
      <c r="L75" s="2" t="str">
        <f ca="1">INDEX(リバース占い!BG:BG, MATCH($A75, リバース占い!$BA:$BA, 0))</f>
        <v>準方位</v>
      </c>
      <c r="M75" s="2" t="str">
        <f ca="1">INDEX(リバース占い!BH:BH, MATCH($A75, リバース占い!$BA:$BA, 0))</f>
        <v>律音</v>
      </c>
      <c r="N75" s="36" t="str">
        <f t="shared" ca="1" si="11"/>
        <v>フリーズ</v>
      </c>
      <c r="O75" s="36" t="str">
        <f t="shared" ca="1" si="9"/>
        <v>スクラム</v>
      </c>
      <c r="P75" s="36" t="str">
        <f t="shared" ca="1" si="9"/>
        <v>リスタート</v>
      </c>
      <c r="Q75" s="3" t="str">
        <f ca="1">INDEX(リバース占い!BI:BI, MATCH($A75, リバース占い!$BA:$BA, 0))</f>
        <v/>
      </c>
      <c r="R75" s="3" t="str">
        <f ca="1">INDEX(リバース占い!BJ:BJ, MATCH($A75, リバース占い!$BA:$BA, 0))</f>
        <v>丙辛干合</v>
      </c>
      <c r="S75" s="3" t="str">
        <f ca="1">INDEX(リバース占い!BK:BK, MATCH($A75, リバース占い!$BA:$BA, 0))</f>
        <v/>
      </c>
      <c r="T75" s="2" t="e">
        <f t="shared" ca="1" si="12"/>
        <v>#N/A</v>
      </c>
      <c r="U75" s="2" t="str">
        <f t="shared" ca="1" si="10"/>
        <v>デレ化</v>
      </c>
      <c r="V75" s="2" t="e">
        <f t="shared" ca="1" si="10"/>
        <v>#N/A</v>
      </c>
    </row>
    <row r="76" spans="1:22" ht="21">
      <c r="A76" s="45">
        <f t="shared" ca="1" si="13"/>
        <v>46190</v>
      </c>
      <c r="B76" s="40" t="str">
        <f ca="1">INDEX(リバース占い!BM:BM, MATCH(A76, リバース占い!BA:BA, 0))</f>
        <v>吉祥天</v>
      </c>
      <c r="C76" s="41" t="str">
        <f ca="1">INDEX(リバース占い!BN:BN, MATCH(A76, リバース占い!BA:BA, 0))</f>
        <v>まいた種が芽吹き、周囲の支援を受けて着実に育つ時期。</v>
      </c>
      <c r="D76" s="41" t="e">
        <f ca="1">INDEX(リバース占い!BO:BO, MATCH(C76, リバース占い!BC:BC, 0))</f>
        <v>#N/A</v>
      </c>
      <c r="E76" s="41" t="e">
        <f ca="1">INDEX(リバース占い!BP:BP, MATCH(D76, リバース占い!BD:BD, 0))</f>
        <v>#N/A</v>
      </c>
      <c r="F76" s="41" t="e">
        <f ca="1">INDEX(リバース占い!BQ:BQ, MATCH(E76, リバース占い!BE:BE, 0))</f>
        <v>#N/A</v>
      </c>
      <c r="G76" s="41" t="e">
        <f ca="1">INDEX(リバース占い!BR:BR, MATCH(F76, リバース占い!BF:BF, 0))</f>
        <v>#N/A</v>
      </c>
      <c r="H76" s="41" t="e">
        <f ca="1">INDEX(リバース占い!BS:BS, MATCH(G76, リバース占い!BG:BG, 0))</f>
        <v>#N/A</v>
      </c>
      <c r="I76" s="41" t="e">
        <f ca="1">INDEX(リバース占い!BT:BT, MATCH(H76, リバース占い!BH:BH, 0))</f>
        <v>#N/A</v>
      </c>
      <c r="J76" s="41" t="e">
        <f ca="1">INDEX(リバース占い!BU:BU, MATCH(I76, リバース占い!BL:BL, 0))</f>
        <v>#N/A</v>
      </c>
      <c r="K76" s="2" t="str">
        <f ca="1">INDEX(リバース占い!BF:BF, MATCH($A76, リバース占い!$BA:$BA, 0))</f>
        <v>－</v>
      </c>
      <c r="L76" s="2" t="str">
        <f ca="1">INDEX(リバース占い!BG:BG, MATCH($A76, リバース占い!$BA:$BA, 0))</f>
        <v>準方位</v>
      </c>
      <c r="M76" s="2" t="str">
        <f ca="1">INDEX(リバース占い!BH:BH, MATCH($A76, リバース占い!$BA:$BA, 0))</f>
        <v>害</v>
      </c>
      <c r="N76" s="36" t="str">
        <f t="shared" ca="1" si="11"/>
        <v>－</v>
      </c>
      <c r="O76" s="36" t="str">
        <f t="shared" ca="1" si="11"/>
        <v>スクラム</v>
      </c>
      <c r="P76" s="36" t="str">
        <f t="shared" ca="1" si="11"/>
        <v>ストレス</v>
      </c>
      <c r="Q76" s="3" t="str">
        <f ca="1">INDEX(リバース占い!BI:BI, MATCH($A76, リバース占い!$BA:$BA, 0))</f>
        <v/>
      </c>
      <c r="R76" s="3" t="str">
        <f ca="1">INDEX(リバース占い!BJ:BJ, MATCH($A76, リバース占い!$BA:$BA, 0))</f>
        <v/>
      </c>
      <c r="S76" s="3" t="str">
        <f ca="1">INDEX(リバース占い!BK:BK, MATCH($A76, リバース占い!$BA:$BA, 0))</f>
        <v/>
      </c>
      <c r="T76" s="2" t="e">
        <f t="shared" ca="1" si="12"/>
        <v>#N/A</v>
      </c>
      <c r="U76" s="2" t="e">
        <f t="shared" ca="1" si="12"/>
        <v>#N/A</v>
      </c>
      <c r="V76" s="2" t="e">
        <f t="shared" ca="1" si="12"/>
        <v>#N/A</v>
      </c>
    </row>
    <row r="77" spans="1:22" ht="21">
      <c r="A77" s="45">
        <f t="shared" ca="1" si="13"/>
        <v>46191</v>
      </c>
      <c r="B77" s="40" t="str">
        <f ca="1">INDEX(リバース占い!BM:BM, MATCH(A77, リバース占い!BA:BA, 0))</f>
        <v>弁財天</v>
      </c>
      <c r="C77" s="41" t="str">
        <f ca="1">INDEX(リバース占い!BN:BN, MATCH(A77, リバース占い!BA:BA, 0))</f>
        <v>才能がパッと花開き、今後の人生を左右する重要な決定を下す発展期。</v>
      </c>
      <c r="D77" s="41" t="e">
        <f ca="1">INDEX(リバース占い!BO:BO, MATCH(C77, リバース占い!BC:BC, 0))</f>
        <v>#N/A</v>
      </c>
      <c r="E77" s="41" t="e">
        <f ca="1">INDEX(リバース占い!BP:BP, MATCH(D77, リバース占い!BD:BD, 0))</f>
        <v>#N/A</v>
      </c>
      <c r="F77" s="41" t="e">
        <f ca="1">INDEX(リバース占い!BQ:BQ, MATCH(E77, リバース占い!BE:BE, 0))</f>
        <v>#N/A</v>
      </c>
      <c r="G77" s="41" t="e">
        <f ca="1">INDEX(リバース占い!BR:BR, MATCH(F77, リバース占い!BF:BF, 0))</f>
        <v>#N/A</v>
      </c>
      <c r="H77" s="41" t="e">
        <f ca="1">INDEX(リバース占い!BS:BS, MATCH(G77, リバース占い!BG:BG, 0))</f>
        <v>#N/A</v>
      </c>
      <c r="I77" s="41" t="e">
        <f ca="1">INDEX(リバース占い!BT:BT, MATCH(H77, リバース占い!BH:BH, 0))</f>
        <v>#N/A</v>
      </c>
      <c r="J77" s="41" t="e">
        <f ca="1">INDEX(リバース占い!BU:BU, MATCH(I77, リバース占い!BL:BL, 0))</f>
        <v>#N/A</v>
      </c>
      <c r="K77" s="2" t="str">
        <f ca="1">INDEX(リバース占い!BF:BF, MATCH($A77, リバース占い!$BA:$BA, 0))</f>
        <v>準方位</v>
      </c>
      <c r="L77" s="2" t="str">
        <f ca="1">INDEX(リバース占い!BG:BG, MATCH($A77, リバース占い!$BA:$BA, 0))</f>
        <v>害</v>
      </c>
      <c r="M77" s="2" t="str">
        <f ca="1">INDEX(リバース占い!BH:BH, MATCH($A77, リバース占い!$BA:$BA, 0))</f>
        <v>－</v>
      </c>
      <c r="N77" s="36" t="str">
        <f t="shared" ca="1" si="11"/>
        <v>スクラム</v>
      </c>
      <c r="O77" s="36" t="str">
        <f t="shared" ca="1" si="11"/>
        <v>ストレス</v>
      </c>
      <c r="P77" s="36" t="str">
        <f t="shared" ca="1" si="11"/>
        <v>－</v>
      </c>
      <c r="Q77" s="3" t="str">
        <f ca="1">INDEX(リバース占い!BI:BI, MATCH($A77, リバース占い!$BA:$BA, 0))</f>
        <v>戊癸干合</v>
      </c>
      <c r="R77" s="3" t="str">
        <f ca="1">INDEX(リバース占い!BJ:BJ, MATCH($A77, リバース占い!$BA:$BA, 0))</f>
        <v/>
      </c>
      <c r="S77" s="3" t="str">
        <f ca="1">INDEX(リバース占い!BK:BK, MATCH($A77, リバース占い!$BA:$BA, 0))</f>
        <v/>
      </c>
      <c r="T77" s="2" t="str">
        <f t="shared" ca="1" si="12"/>
        <v>オトメ化</v>
      </c>
      <c r="U77" s="2" t="e">
        <f t="shared" ca="1" si="12"/>
        <v>#N/A</v>
      </c>
      <c r="V77" s="2" t="e">
        <f t="shared" ca="1" si="12"/>
        <v>#N/A</v>
      </c>
    </row>
    <row r="78" spans="1:22" ht="21">
      <c r="A78" s="45">
        <f t="shared" ca="1" si="13"/>
        <v>46192</v>
      </c>
      <c r="B78" s="40" t="str">
        <f ca="1">INDEX(リバース占い!BM:BM, MATCH(A78, リバース占い!BA:BA, 0))</f>
        <v>曇天</v>
      </c>
      <c r="C78" s="41" t="str">
        <f ca="1">INDEX(リバース占い!BN:BN, MATCH(A78, リバース占い!BA:BA, 0))</f>
        <v>運気の勢いに心身が追いつかない小休止。自己治癒の時期。</v>
      </c>
      <c r="D78" s="41" t="e">
        <f ca="1">INDEX(リバース占い!BO:BO, MATCH(C78, リバース占い!BC:BC, 0))</f>
        <v>#N/A</v>
      </c>
      <c r="E78" s="41" t="e">
        <f ca="1">INDEX(リバース占い!BP:BP, MATCH(D78, リバース占い!BD:BD, 0))</f>
        <v>#N/A</v>
      </c>
      <c r="F78" s="41" t="e">
        <f ca="1">INDEX(リバース占い!BQ:BQ, MATCH(E78, リバース占い!BE:BE, 0))</f>
        <v>#N/A</v>
      </c>
      <c r="G78" s="41" t="e">
        <f ca="1">INDEX(リバース占い!BR:BR, MATCH(F78, リバース占い!BF:BF, 0))</f>
        <v>#N/A</v>
      </c>
      <c r="H78" s="41" t="e">
        <f ca="1">INDEX(リバース占い!BS:BS, MATCH(G78, リバース占い!BG:BG, 0))</f>
        <v>#N/A</v>
      </c>
      <c r="I78" s="41" t="e">
        <f ca="1">INDEX(リバース占い!BT:BT, MATCH(H78, リバース占い!BH:BH, 0))</f>
        <v>#N/A</v>
      </c>
      <c r="J78" s="41" t="e">
        <f ca="1">INDEX(リバース占い!BU:BU, MATCH(I78, リバース占い!BL:BL, 0))</f>
        <v>#N/A</v>
      </c>
      <c r="K78" s="2" t="str">
        <f ca="1">INDEX(リバース占い!BF:BF, MATCH($A78, リバース占い!$BA:$BA, 0))</f>
        <v>同</v>
      </c>
      <c r="L78" s="2" t="str">
        <f ca="1">INDEX(リバース占い!BG:BG, MATCH($A78, リバース占い!$BA:$BA, 0))</f>
        <v>半会</v>
      </c>
      <c r="M78" s="2" t="str">
        <f ca="1">INDEX(リバース占い!BH:BH, MATCH($A78, リバース占い!$BA:$BA, 0))</f>
        <v>破</v>
      </c>
      <c r="N78" s="36" t="str">
        <f t="shared" ca="1" si="11"/>
        <v>ブースト</v>
      </c>
      <c r="O78" s="36" t="str">
        <f t="shared" ca="1" si="11"/>
        <v>シナジー</v>
      </c>
      <c r="P78" s="36" t="str">
        <f t="shared" ca="1" si="11"/>
        <v>フリーズ</v>
      </c>
      <c r="Q78" s="3" t="str">
        <f ca="1">INDEX(リバース占い!BI:BI, MATCH($A78, リバース占い!$BA:$BA, 0))</f>
        <v/>
      </c>
      <c r="R78" s="3" t="str">
        <f ca="1">INDEX(リバース占い!BJ:BJ, MATCH($A78, リバース占い!$BA:$BA, 0))</f>
        <v/>
      </c>
      <c r="S78" s="3" t="str">
        <f ca="1">INDEX(リバース占い!BK:BK, MATCH($A78, リバース占い!$BA:$BA, 0))</f>
        <v/>
      </c>
      <c r="T78" s="2" t="e">
        <f t="shared" ca="1" si="12"/>
        <v>#N/A</v>
      </c>
      <c r="U78" s="2" t="e">
        <f t="shared" ca="1" si="12"/>
        <v>#N/A</v>
      </c>
      <c r="V78" s="2" t="e">
        <f t="shared" ca="1" si="12"/>
        <v>#N/A</v>
      </c>
    </row>
    <row r="79" spans="1:22" ht="21">
      <c r="A79" s="45">
        <f t="shared" ca="1" si="13"/>
        <v>46193</v>
      </c>
      <c r="B79" s="40" t="str">
        <f ca="1">INDEX(リバース占い!BM:BM, MATCH(A79, リバース占い!BA:BA, 0))</f>
        <v>韋駄天</v>
      </c>
      <c r="C79" s="41" t="str">
        <f ca="1">INDEX(リバース占い!BN:BN, MATCH(A79, リバース占い!BA:BA, 0))</f>
        <v>運気絶頂。これまでの努力が実を結び、最高のスポットライトを浴びる。</v>
      </c>
      <c r="D79" s="41" t="e">
        <f ca="1">INDEX(リバース占い!BO:BO, MATCH(C79, リバース占い!BC:BC, 0))</f>
        <v>#N/A</v>
      </c>
      <c r="E79" s="41" t="e">
        <f ca="1">INDEX(リバース占い!BP:BP, MATCH(D79, リバース占い!BD:BD, 0))</f>
        <v>#N/A</v>
      </c>
      <c r="F79" s="41" t="e">
        <f ca="1">INDEX(リバース占い!BQ:BQ, MATCH(E79, リバース占い!BE:BE, 0))</f>
        <v>#N/A</v>
      </c>
      <c r="G79" s="41" t="e">
        <f ca="1">INDEX(リバース占い!BR:BR, MATCH(F79, リバース占い!BF:BF, 0))</f>
        <v>#N/A</v>
      </c>
      <c r="H79" s="41" t="e">
        <f ca="1">INDEX(リバース占い!BS:BS, MATCH(G79, リバース占い!BG:BG, 0))</f>
        <v>#N/A</v>
      </c>
      <c r="I79" s="41" t="e">
        <f ca="1">INDEX(リバース占い!BT:BT, MATCH(H79, リバース占い!BH:BH, 0))</f>
        <v>#N/A</v>
      </c>
      <c r="J79" s="41" t="e">
        <f ca="1">INDEX(リバース占い!BU:BU, MATCH(I79, リバース占い!BL:BL, 0))</f>
        <v>#N/A</v>
      </c>
      <c r="K79" s="2" t="str">
        <f ca="1">INDEX(リバース占い!BF:BF, MATCH($A79, リバース占い!$BA:$BA, 0))</f>
        <v>支合</v>
      </c>
      <c r="L79" s="2" t="str">
        <f ca="1">INDEX(リバース占い!BG:BG, MATCH($A79, リバース占い!$BA:$BA, 0))</f>
        <v>－</v>
      </c>
      <c r="M79" s="2" t="str">
        <f ca="1">INDEX(リバース占い!BH:BH, MATCH($A79, リバース占い!$BA:$BA, 0))</f>
        <v>半会</v>
      </c>
      <c r="N79" s="36" t="str">
        <f t="shared" ca="1" si="11"/>
        <v>バランス</v>
      </c>
      <c r="O79" s="36" t="str">
        <f t="shared" ca="1" si="11"/>
        <v>－</v>
      </c>
      <c r="P79" s="36" t="str">
        <f t="shared" ca="1" si="11"/>
        <v>シナジー</v>
      </c>
      <c r="Q79" s="3" t="str">
        <f ca="1">INDEX(リバース占い!BI:BI, MATCH($A79, リバース占い!$BA:$BA, 0))</f>
        <v/>
      </c>
      <c r="R79" s="3" t="str">
        <f ca="1">INDEX(リバース占い!BJ:BJ, MATCH($A79, リバース占い!$BA:$BA, 0))</f>
        <v/>
      </c>
      <c r="S79" s="3" t="str">
        <f ca="1">INDEX(リバース占い!BK:BK, MATCH($A79, リバース占い!$BA:$BA, 0))</f>
        <v/>
      </c>
      <c r="T79" s="2" t="e">
        <f t="shared" ca="1" si="12"/>
        <v>#N/A</v>
      </c>
      <c r="U79" s="2" t="e">
        <f t="shared" ca="1" si="12"/>
        <v>#N/A</v>
      </c>
      <c r="V79" s="2" t="e">
        <f t="shared" ca="1" si="12"/>
        <v>#N/A</v>
      </c>
    </row>
    <row r="80" spans="1:22" ht="21">
      <c r="A80" s="45">
        <f t="shared" ca="1" si="13"/>
        <v>46194</v>
      </c>
      <c r="B80" s="40" t="str">
        <f ca="1">INDEX(リバース占い!BM:BM, MATCH(A80, リバース占い!BA:BA, 0))</f>
        <v>伏魔天</v>
      </c>
      <c r="C80" s="41" t="str">
        <f ca="1">INDEX(リバース占い!BN:BN, MATCH(A80, リバース占い!BA:BA, 0))</f>
        <v>強すぎる運気の反動で迷いや摩擦が生じる。理性と現状維持が必要な嵐。</v>
      </c>
      <c r="D80" s="41" t="e">
        <f ca="1">INDEX(リバース占い!BO:BO, MATCH(C80, リバース占い!BC:BC, 0))</f>
        <v>#N/A</v>
      </c>
      <c r="E80" s="41" t="e">
        <f ca="1">INDEX(リバース占い!BP:BP, MATCH(D80, リバース占い!BD:BD, 0))</f>
        <v>#N/A</v>
      </c>
      <c r="F80" s="41" t="e">
        <f ca="1">INDEX(リバース占い!BQ:BQ, MATCH(E80, リバース占い!BE:BE, 0))</f>
        <v>#N/A</v>
      </c>
      <c r="G80" s="41" t="e">
        <f ca="1">INDEX(リバース占い!BR:BR, MATCH(F80, リバース占い!BF:BF, 0))</f>
        <v>#N/A</v>
      </c>
      <c r="H80" s="41" t="e">
        <f ca="1">INDEX(リバース占い!BS:BS, MATCH(G80, リバース占い!BG:BG, 0))</f>
        <v>#N/A</v>
      </c>
      <c r="I80" s="41" t="e">
        <f ca="1">INDEX(リバース占い!BT:BT, MATCH(H80, リバース占い!BH:BH, 0))</f>
        <v>#N/A</v>
      </c>
      <c r="J80" s="41" t="e">
        <f ca="1">INDEX(リバース占い!BU:BU, MATCH(I80, リバース占い!BL:BL, 0))</f>
        <v>#N/A</v>
      </c>
      <c r="K80" s="2" t="str">
        <f ca="1">INDEX(リバース占い!BF:BF, MATCH($A80, リバース占い!$BA:$BA, 0))</f>
        <v>－</v>
      </c>
      <c r="L80" s="2" t="str">
        <f ca="1">INDEX(リバース占い!BG:BG, MATCH($A80, リバース占い!$BA:$BA, 0))</f>
        <v>納音</v>
      </c>
      <c r="M80" s="2" t="str">
        <f ca="1">INDEX(リバース占い!BH:BH, MATCH($A80, リバース占い!$BA:$BA, 0))</f>
        <v>－</v>
      </c>
      <c r="N80" s="36" t="str">
        <f t="shared" ca="1" si="11"/>
        <v>－</v>
      </c>
      <c r="O80" s="36" t="str">
        <f t="shared" ca="1" si="11"/>
        <v>ブレーキ</v>
      </c>
      <c r="P80" s="36" t="str">
        <f t="shared" ca="1" si="11"/>
        <v>－</v>
      </c>
      <c r="Q80" s="3" t="str">
        <f ca="1">INDEX(リバース占い!BI:BI, MATCH($A80, リバース占い!$BA:$BA, 0))</f>
        <v/>
      </c>
      <c r="R80" s="3" t="str">
        <f ca="1">INDEX(リバース占い!BJ:BJ, MATCH($A80, リバース占い!$BA:$BA, 0))</f>
        <v/>
      </c>
      <c r="S80" s="3" t="str">
        <f ca="1">INDEX(リバース占い!BK:BK, MATCH($A80, リバース占い!$BA:$BA, 0))</f>
        <v>丙辛干合</v>
      </c>
      <c r="T80" s="2" t="e">
        <f t="shared" ca="1" si="12"/>
        <v>#N/A</v>
      </c>
      <c r="U80" s="2" t="e">
        <f t="shared" ca="1" si="12"/>
        <v>#N/A</v>
      </c>
      <c r="V80" s="2" t="str">
        <f t="shared" ca="1" si="12"/>
        <v>デレ化</v>
      </c>
    </row>
    <row r="81" spans="1:22" ht="21">
      <c r="A81" s="45">
        <f t="shared" ca="1" si="13"/>
        <v>46195</v>
      </c>
      <c r="B81" s="40" t="str">
        <f ca="1">INDEX(リバース占い!BM:BM, MATCH(A81, リバース占い!BA:BA, 0))</f>
        <v>有頂天</v>
      </c>
      <c r="C81" s="41" t="str">
        <f ca="1">INDEX(リバース占い!BN:BN, MATCH(A81, リバース占い!BA:BA, 0))</f>
        <v>第2の絶頂期。過去の縁が繋がり、周囲を巻き込み大きな成果を出す。</v>
      </c>
      <c r="D81" s="41" t="e">
        <f ca="1">INDEX(リバース占い!BO:BO, MATCH(C81, リバース占い!BC:BC, 0))</f>
        <v>#N/A</v>
      </c>
      <c r="E81" s="41" t="e">
        <f ca="1">INDEX(リバース占い!BP:BP, MATCH(D81, リバース占い!BD:BD, 0))</f>
        <v>#N/A</v>
      </c>
      <c r="F81" s="41" t="e">
        <f ca="1">INDEX(リバース占い!BQ:BQ, MATCH(E81, リバース占い!BE:BE, 0))</f>
        <v>#N/A</v>
      </c>
      <c r="G81" s="41" t="e">
        <f ca="1">INDEX(リバース占い!BR:BR, MATCH(F81, リバース占い!BF:BF, 0))</f>
        <v>#N/A</v>
      </c>
      <c r="H81" s="41" t="e">
        <f ca="1">INDEX(リバース占い!BS:BS, MATCH(G81, リバース占い!BG:BG, 0))</f>
        <v>#N/A</v>
      </c>
      <c r="I81" s="41" t="e">
        <f ca="1">INDEX(リバース占い!BT:BT, MATCH(H81, リバース占い!BH:BH, 0))</f>
        <v>#N/A</v>
      </c>
      <c r="J81" s="41" t="e">
        <f ca="1">INDEX(リバース占い!BU:BU, MATCH(I81, リバース占い!BL:BL, 0))</f>
        <v>#N/A</v>
      </c>
      <c r="K81" s="2" t="str">
        <f ca="1">INDEX(リバース占い!BF:BF, MATCH($A81, リバース占い!$BA:$BA, 0))</f>
        <v>刑</v>
      </c>
      <c r="L81" s="2" t="str">
        <f ca="1">INDEX(リバース占い!BG:BG, MATCH($A81, リバース占い!$BA:$BA, 0))</f>
        <v>－</v>
      </c>
      <c r="M81" s="2" t="str">
        <f ca="1">INDEX(リバース占い!BH:BH, MATCH($A81, リバース占い!$BA:$BA, 0))</f>
        <v>天剋地冲</v>
      </c>
      <c r="N81" s="36" t="str">
        <f t="shared" ca="1" si="11"/>
        <v>バトル</v>
      </c>
      <c r="O81" s="36" t="str">
        <f t="shared" ca="1" si="11"/>
        <v>－</v>
      </c>
      <c r="P81" s="36" t="str">
        <f t="shared" ca="1" si="11"/>
        <v>ビックバン</v>
      </c>
      <c r="Q81" s="3" t="str">
        <f ca="1">INDEX(リバース占い!BI:BI, MATCH($A81, リバース占い!$BA:$BA, 0))</f>
        <v/>
      </c>
      <c r="R81" s="3" t="str">
        <f ca="1">INDEX(リバース占い!BJ:BJ, MATCH($A81, リバース占い!$BA:$BA, 0))</f>
        <v/>
      </c>
      <c r="S81" s="3" t="str">
        <f ca="1">INDEX(リバース占い!BK:BK, MATCH($A81, リバース占い!$BA:$BA, 0))</f>
        <v/>
      </c>
      <c r="T81" s="2" t="e">
        <f t="shared" ca="1" si="12"/>
        <v>#N/A</v>
      </c>
      <c r="U81" s="2" t="e">
        <f t="shared" ca="1" si="12"/>
        <v>#N/A</v>
      </c>
      <c r="V81" s="2" t="e">
        <f t="shared" ca="1" si="12"/>
        <v>#N/A</v>
      </c>
    </row>
    <row r="82" spans="1:22" ht="21">
      <c r="A82" s="45">
        <f t="shared" ca="1" si="13"/>
        <v>46196</v>
      </c>
      <c r="B82" s="40" t="str">
        <f ca="1">INDEX(リバース占い!BM:BM, MATCH(A82, リバース占い!BA:BA, 0))</f>
        <v>満天</v>
      </c>
      <c r="C82" s="41" t="str">
        <f ca="1">INDEX(リバース占い!BN:BN, MATCH(A82, リバース占い!BA:BA, 0))</f>
        <v>収穫の喜び。物質や人脈などあらゆる財を蓄積し、強固な基盤を作る。</v>
      </c>
      <c r="D82" s="41" t="e">
        <f ca="1">INDEX(リバース占い!BO:BO, MATCH(C82, リバース占い!BC:BC, 0))</f>
        <v>#N/A</v>
      </c>
      <c r="E82" s="41" t="e">
        <f ca="1">INDEX(リバース占い!BP:BP, MATCH(D82, リバース占い!BD:BD, 0))</f>
        <v>#N/A</v>
      </c>
      <c r="F82" s="41" t="e">
        <f ca="1">INDEX(リバース占い!BQ:BQ, MATCH(E82, リバース占い!BE:BE, 0))</f>
        <v>#N/A</v>
      </c>
      <c r="G82" s="41" t="e">
        <f ca="1">INDEX(リバース占い!BR:BR, MATCH(F82, リバース占い!BF:BF, 0))</f>
        <v>#N/A</v>
      </c>
      <c r="H82" s="41" t="e">
        <f ca="1">INDEX(リバース占い!BS:BS, MATCH(G82, リバース占い!BG:BG, 0))</f>
        <v>#N/A</v>
      </c>
      <c r="I82" s="41" t="e">
        <f ca="1">INDEX(リバース占い!BT:BT, MATCH(H82, リバース占い!BH:BH, 0))</f>
        <v>#N/A</v>
      </c>
      <c r="J82" s="41" t="e">
        <f ca="1">INDEX(リバース占い!BU:BU, MATCH(I82, リバース占い!BL:BL, 0))</f>
        <v>#N/A</v>
      </c>
      <c r="K82" s="2" t="str">
        <f ca="1">INDEX(リバース占い!BF:BF, MATCH($A82, リバース占い!$BA:$BA, 0))</f>
        <v>大半会</v>
      </c>
      <c r="L82" s="2" t="str">
        <f ca="1">INDEX(リバース占い!BG:BG, MATCH($A82, リバース占い!$BA:$BA, 0))</f>
        <v>半会</v>
      </c>
      <c r="M82" s="2" t="str">
        <f ca="1">INDEX(リバース占い!BH:BH, MATCH($A82, リバース占い!$BA:$BA, 0))</f>
        <v>支合</v>
      </c>
      <c r="N82" s="36" t="str">
        <f t="shared" ca="1" si="11"/>
        <v>フィーバー</v>
      </c>
      <c r="O82" s="36" t="str">
        <f t="shared" ca="1" si="11"/>
        <v>シナジー</v>
      </c>
      <c r="P82" s="36" t="str">
        <f t="shared" ca="1" si="11"/>
        <v>バランス</v>
      </c>
      <c r="Q82" s="3" t="str">
        <f ca="1">INDEX(リバース占い!BI:BI, MATCH($A82, リバース占い!$BA:$BA, 0))</f>
        <v/>
      </c>
      <c r="R82" s="3" t="str">
        <f ca="1">INDEX(リバース占い!BJ:BJ, MATCH($A82, リバース占い!$BA:$BA, 0))</f>
        <v/>
      </c>
      <c r="S82" s="3" t="str">
        <f ca="1">INDEX(リバース占い!BK:BK, MATCH($A82, リバース占い!$BA:$BA, 0))</f>
        <v/>
      </c>
      <c r="T82" s="2" t="e">
        <f t="shared" ca="1" si="12"/>
        <v>#N/A</v>
      </c>
      <c r="U82" s="2" t="e">
        <f t="shared" ca="1" si="12"/>
        <v>#N/A</v>
      </c>
      <c r="V82" s="2" t="e">
        <f t="shared" ca="1" si="12"/>
        <v>#N/A</v>
      </c>
    </row>
    <row r="83" spans="1:22" ht="21">
      <c r="A83" s="45">
        <f t="shared" ca="1" si="13"/>
        <v>46197</v>
      </c>
      <c r="B83" s="40" t="str">
        <f ca="1">INDEX(リバース占い!BM:BM, MATCH(A83, リバース占い!BA:BA, 0))</f>
        <v>静天</v>
      </c>
      <c r="C83" s="41" t="str">
        <f ca="1">INDEX(リバース占い!BN:BN, MATCH(A83, リバース占い!BA:BA, 0))</f>
        <v>成果が出揃う。精神的な安定と充実の中で平和に人生を俯瞰する時期。</v>
      </c>
      <c r="D83" s="41" t="e">
        <f ca="1">INDEX(リバース占い!BO:BO, MATCH(C83, リバース占い!BC:BC, 0))</f>
        <v>#N/A</v>
      </c>
      <c r="E83" s="41" t="e">
        <f ca="1">INDEX(リバース占い!BP:BP, MATCH(D83, リバース占い!BD:BD, 0))</f>
        <v>#N/A</v>
      </c>
      <c r="F83" s="41" t="e">
        <f ca="1">INDEX(リバース占い!BQ:BQ, MATCH(E83, リバース占い!BE:BE, 0))</f>
        <v>#N/A</v>
      </c>
      <c r="G83" s="41" t="e">
        <f ca="1">INDEX(リバース占い!BR:BR, MATCH(F83, リバース占い!BF:BF, 0))</f>
        <v>#N/A</v>
      </c>
      <c r="H83" s="41" t="e">
        <f ca="1">INDEX(リバース占い!BS:BS, MATCH(G83, リバース占い!BG:BG, 0))</f>
        <v>#N/A</v>
      </c>
      <c r="I83" s="41" t="e">
        <f ca="1">INDEX(リバース占い!BT:BT, MATCH(H83, リバース占い!BH:BH, 0))</f>
        <v>#N/A</v>
      </c>
      <c r="J83" s="41" t="e">
        <f ca="1">INDEX(リバース占い!BU:BU, MATCH(I83, リバース占い!BL:BL, 0))</f>
        <v>#N/A</v>
      </c>
      <c r="K83" s="2" t="str">
        <f ca="1">INDEX(リバース占い!BF:BF, MATCH($A83, リバース占い!$BA:$BA, 0))</f>
        <v>－</v>
      </c>
      <c r="L83" s="2" t="str">
        <f ca="1">INDEX(リバース占い!BG:BG, MATCH($A83, リバース占い!$BA:$BA, 0))</f>
        <v>支合</v>
      </c>
      <c r="M83" s="2" t="str">
        <f ca="1">INDEX(リバース占い!BH:BH, MATCH($A83, リバース占い!$BA:$BA, 0))</f>
        <v>半会</v>
      </c>
      <c r="N83" s="36" t="str">
        <f t="shared" ca="1" si="11"/>
        <v>－</v>
      </c>
      <c r="O83" s="36" t="str">
        <f t="shared" ca="1" si="11"/>
        <v>バランス</v>
      </c>
      <c r="P83" s="36" t="str">
        <f t="shared" ca="1" si="11"/>
        <v>シナジー</v>
      </c>
      <c r="Q83" s="3" t="str">
        <f ca="1">INDEX(リバース占い!BI:BI, MATCH($A83, リバース占い!$BA:$BA, 0))</f>
        <v/>
      </c>
      <c r="R83" s="3" t="str">
        <f ca="1">INDEX(リバース占い!BJ:BJ, MATCH($A83, リバース占い!$BA:$BA, 0))</f>
        <v/>
      </c>
      <c r="S83" s="3" t="str">
        <f ca="1">INDEX(リバース占い!BK:BK, MATCH($A83, リバース占い!$BA:$BA, 0))</f>
        <v/>
      </c>
      <c r="T83" s="2" t="e">
        <f t="shared" ca="1" si="12"/>
        <v>#N/A</v>
      </c>
      <c r="U83" s="2" t="e">
        <f t="shared" ca="1" si="12"/>
        <v>#N/A</v>
      </c>
      <c r="V83" s="2" t="e">
        <f t="shared" ca="1" si="12"/>
        <v>#N/A</v>
      </c>
    </row>
    <row r="84" spans="1:22" ht="21">
      <c r="A84" s="45">
        <f t="shared" ca="1" si="13"/>
        <v>46198</v>
      </c>
      <c r="B84" s="40" t="str">
        <f ca="1">INDEX(リバース占い!BM:BM, MATCH(A84, リバース占い!BA:BA, 0))</f>
        <v>暗天</v>
      </c>
      <c r="C84" s="41" t="str">
        <f ca="1">INDEX(リバース占い!BN:BN, MATCH(A84, リバース占い!BA:BA, 0))</f>
        <v>運気下降（運の冬入り）。孤独を感じやすいが水面下の自己鍛錬が必要。</v>
      </c>
      <c r="D84" s="41" t="e">
        <f ca="1">INDEX(リバース占い!BO:BO, MATCH(C84, リバース占い!BC:BC, 0))</f>
        <v>#N/A</v>
      </c>
      <c r="E84" s="41" t="e">
        <f ca="1">INDEX(リバース占い!BP:BP, MATCH(D84, リバース占い!BD:BD, 0))</f>
        <v>#N/A</v>
      </c>
      <c r="F84" s="41" t="e">
        <f ca="1">INDEX(リバース占い!BQ:BQ, MATCH(E84, リバース占い!BE:BE, 0))</f>
        <v>#N/A</v>
      </c>
      <c r="G84" s="41" t="e">
        <f ca="1">INDEX(リバース占い!BR:BR, MATCH(F84, リバース占い!BF:BF, 0))</f>
        <v>#N/A</v>
      </c>
      <c r="H84" s="41" t="e">
        <f ca="1">INDEX(リバース占い!BS:BS, MATCH(G84, リバース占い!BG:BG, 0))</f>
        <v>#N/A</v>
      </c>
      <c r="I84" s="41" t="e">
        <f ca="1">INDEX(リバース占い!BT:BT, MATCH(H84, リバース占い!BH:BH, 0))</f>
        <v>#N/A</v>
      </c>
      <c r="J84" s="41" t="e">
        <f ca="1">INDEX(リバース占い!BU:BU, MATCH(I84, リバース占い!BL:BL, 0))</f>
        <v>#N/A</v>
      </c>
      <c r="K84" s="2" t="str">
        <f ca="1">INDEX(リバース占い!BF:BF, MATCH($A84, リバース占い!$BA:$BA, 0))</f>
        <v>対冲</v>
      </c>
      <c r="L84" s="2" t="str">
        <f ca="1">INDEX(リバース占い!BG:BG, MATCH($A84, リバース占い!$BA:$BA, 0))</f>
        <v>－</v>
      </c>
      <c r="M84" s="2" t="str">
        <f ca="1">INDEX(リバース占い!BH:BH, MATCH($A84, リバース占い!$BA:$BA, 0))</f>
        <v>－</v>
      </c>
      <c r="N84" s="36" t="str">
        <f t="shared" ca="1" si="11"/>
        <v>クラッシュ</v>
      </c>
      <c r="O84" s="36" t="str">
        <f t="shared" ca="1" si="11"/>
        <v>－</v>
      </c>
      <c r="P84" s="36" t="str">
        <f t="shared" ca="1" si="11"/>
        <v>－</v>
      </c>
      <c r="Q84" s="3" t="str">
        <f ca="1">INDEX(リバース占い!BI:BI, MATCH($A84, リバース占い!$BA:$BA, 0))</f>
        <v/>
      </c>
      <c r="R84" s="3" t="str">
        <f ca="1">INDEX(リバース占い!BJ:BJ, MATCH($A84, リバース占い!$BA:$BA, 0))</f>
        <v/>
      </c>
      <c r="S84" s="3" t="str">
        <f ca="1">INDEX(リバース占い!BK:BK, MATCH($A84, リバース占い!$BA:$BA, 0))</f>
        <v/>
      </c>
      <c r="T84" s="2" t="e">
        <f t="shared" ca="1" si="12"/>
        <v>#N/A</v>
      </c>
      <c r="U84" s="2" t="e">
        <f t="shared" ca="1" si="12"/>
        <v>#N/A</v>
      </c>
      <c r="V84" s="2" t="e">
        <f t="shared" ca="1" si="12"/>
        <v>#N/A</v>
      </c>
    </row>
    <row r="85" spans="1:22" ht="21">
      <c r="A85" s="45">
        <f t="shared" ca="1" si="13"/>
        <v>46199</v>
      </c>
      <c r="B85" s="40" t="str">
        <f ca="1">INDEX(リバース占い!BM:BM, MATCH(A85, リバース占い!BA:BA, 0))</f>
        <v>大曇天</v>
      </c>
      <c r="C85" s="41" t="str">
        <f ca="1">INDEX(リバース占い!BN:BN, MATCH(A85, リバース占い!BA:BA, 0))</f>
        <v>運命の停止（運の真冬時期）。古い価値観を手放す究極の浄化期間。</v>
      </c>
      <c r="D85" s="41" t="e">
        <f ca="1">INDEX(リバース占い!BO:BO, MATCH(C85, リバース占い!BC:BC, 0))</f>
        <v>#N/A</v>
      </c>
      <c r="E85" s="41" t="e">
        <f ca="1">INDEX(リバース占い!BP:BP, MATCH(D85, リバース占い!BD:BD, 0))</f>
        <v>#N/A</v>
      </c>
      <c r="F85" s="41" t="e">
        <f ca="1">INDEX(リバース占い!BQ:BQ, MATCH(E85, リバース占い!BE:BE, 0))</f>
        <v>#N/A</v>
      </c>
      <c r="G85" s="41" t="e">
        <f ca="1">INDEX(リバース占い!BR:BR, MATCH(F85, リバース占い!BF:BF, 0))</f>
        <v>#N/A</v>
      </c>
      <c r="H85" s="41" t="e">
        <f ca="1">INDEX(リバース占い!BS:BS, MATCH(G85, リバース占い!BG:BG, 0))</f>
        <v>#N/A</v>
      </c>
      <c r="I85" s="41" t="e">
        <f ca="1">INDEX(リバース占い!BT:BT, MATCH(H85, リバース占い!BH:BH, 0))</f>
        <v>#N/A</v>
      </c>
      <c r="J85" s="41" t="e">
        <f ca="1">INDEX(リバース占い!BU:BU, MATCH(I85, リバース占い!BL:BL, 0))</f>
        <v>#N/A</v>
      </c>
      <c r="K85" s="2" t="str">
        <f ca="1">INDEX(リバース占い!BF:BF, MATCH($A85, リバース占い!$BA:$BA, 0))</f>
        <v>害</v>
      </c>
      <c r="L85" s="2" t="str">
        <f ca="1">INDEX(リバース占い!BG:BG, MATCH($A85, リバース占い!$BA:$BA, 0))</f>
        <v>－</v>
      </c>
      <c r="M85" s="2" t="str">
        <f ca="1">INDEX(リバース占い!BH:BH, MATCH($A85, リバース占い!$BA:$BA, 0))</f>
        <v>－</v>
      </c>
      <c r="N85" s="36" t="str">
        <f t="shared" ca="1" si="11"/>
        <v>ストレス</v>
      </c>
      <c r="O85" s="36" t="str">
        <f t="shared" ca="1" si="11"/>
        <v>－</v>
      </c>
      <c r="P85" s="36" t="str">
        <f t="shared" ca="1" si="11"/>
        <v>－</v>
      </c>
      <c r="Q85" s="3" t="str">
        <f ca="1">INDEX(リバース占い!BI:BI, MATCH($A85, リバース占い!$BA:$BA, 0))</f>
        <v/>
      </c>
      <c r="R85" s="3" t="str">
        <f ca="1">INDEX(リバース占い!BJ:BJ, MATCH($A85, リバース占い!$BA:$BA, 0))</f>
        <v>丙辛干合</v>
      </c>
      <c r="S85" s="3" t="str">
        <f ca="1">INDEX(リバース占い!BK:BK, MATCH($A85, リバース占い!$BA:$BA, 0))</f>
        <v/>
      </c>
      <c r="T85" s="2" t="e">
        <f t="shared" ca="1" si="12"/>
        <v>#N/A</v>
      </c>
      <c r="U85" s="2" t="str">
        <f t="shared" ca="1" si="12"/>
        <v>デレ化</v>
      </c>
      <c r="V85" s="2" t="e">
        <f t="shared" ca="1" si="12"/>
        <v>#N/A</v>
      </c>
    </row>
    <row r="86" spans="1:22" ht="21">
      <c r="A86" s="45">
        <f t="shared" ca="1" si="13"/>
        <v>46200</v>
      </c>
      <c r="B86" s="40" t="str">
        <f ca="1">INDEX(リバース占い!BM:BM, MATCH(A86, リバース占い!BA:BA, 0))</f>
        <v>雨天</v>
      </c>
      <c r="C86" s="41" t="str">
        <f ca="1">INDEX(リバース占い!BN:BN, MATCH(A86, リバース占い!BA:BA, 0))</f>
        <v>カルマの精算。過去の執着をすべて洗い流し、次の春への準備を整える。</v>
      </c>
      <c r="D86" s="41" t="e">
        <f ca="1">INDEX(リバース占い!BO:BO, MATCH(C86, リバース占い!BC:BC, 0))</f>
        <v>#N/A</v>
      </c>
      <c r="E86" s="41" t="e">
        <f ca="1">INDEX(リバース占い!BP:BP, MATCH(D86, リバース占い!BD:BD, 0))</f>
        <v>#N/A</v>
      </c>
      <c r="F86" s="41" t="e">
        <f ca="1">INDEX(リバース占い!BQ:BQ, MATCH(E86, リバース占い!BE:BE, 0))</f>
        <v>#N/A</v>
      </c>
      <c r="G86" s="41" t="e">
        <f ca="1">INDEX(リバース占い!BR:BR, MATCH(F86, リバース占い!BF:BF, 0))</f>
        <v>#N/A</v>
      </c>
      <c r="H86" s="41" t="e">
        <f ca="1">INDEX(リバース占い!BS:BS, MATCH(G86, リバース占い!BG:BG, 0))</f>
        <v>#N/A</v>
      </c>
      <c r="I86" s="41" t="e">
        <f ca="1">INDEX(リバース占い!BT:BT, MATCH(H86, リバース占い!BH:BH, 0))</f>
        <v>#N/A</v>
      </c>
      <c r="J86" s="41" t="e">
        <f ca="1">INDEX(リバース占い!BU:BU, MATCH(I86, リバース占い!BL:BL, 0))</f>
        <v>#N/A</v>
      </c>
      <c r="K86" s="2" t="str">
        <f ca="1">INDEX(リバース占い!BF:BF, MATCH($A86, リバース占い!$BA:$BA, 0))</f>
        <v>半会</v>
      </c>
      <c r="L86" s="2" t="str">
        <f ca="1">INDEX(リバース占い!BG:BG, MATCH($A86, リバース占い!$BA:$BA, 0))</f>
        <v>同</v>
      </c>
      <c r="M86" s="2" t="str">
        <f ca="1">INDEX(リバース占い!BH:BH, MATCH($A86, リバース占い!$BA:$BA, 0))</f>
        <v>準方位</v>
      </c>
      <c r="N86" s="36" t="str">
        <f t="shared" ca="1" si="11"/>
        <v>シナジー</v>
      </c>
      <c r="O86" s="36" t="str">
        <f t="shared" ca="1" si="11"/>
        <v>ブースト</v>
      </c>
      <c r="P86" s="36" t="str">
        <f t="shared" ca="1" si="11"/>
        <v>スクラム</v>
      </c>
      <c r="Q86" s="3" t="str">
        <f ca="1">INDEX(リバース占い!BI:BI, MATCH($A86, リバース占い!$BA:$BA, 0))</f>
        <v/>
      </c>
      <c r="R86" s="3" t="str">
        <f ca="1">INDEX(リバース占い!BJ:BJ, MATCH($A86, リバース占い!$BA:$BA, 0))</f>
        <v/>
      </c>
      <c r="S86" s="3" t="str">
        <f ca="1">INDEX(リバース占い!BK:BK, MATCH($A86, リバース占い!$BA:$BA, 0))</f>
        <v/>
      </c>
      <c r="T86" s="2" t="e">
        <f t="shared" ca="1" si="12"/>
        <v>#N/A</v>
      </c>
      <c r="U86" s="2" t="e">
        <f t="shared" ca="1" si="12"/>
        <v>#N/A</v>
      </c>
      <c r="V86" s="2" t="e">
        <f t="shared" ca="1" si="12"/>
        <v>#N/A</v>
      </c>
    </row>
    <row r="87" spans="1:22" ht="21">
      <c r="A87" s="45">
        <f t="shared" ca="1" si="13"/>
        <v>46201</v>
      </c>
      <c r="B87" s="40" t="str">
        <f ca="1">INDEX(リバース占い!BM:BM, MATCH(A87, リバース占い!BA:BA, 0))</f>
        <v>起天</v>
      </c>
      <c r="C87" s="41" t="str">
        <f ca="1">INDEX(リバース占い!BN:BN, MATCH(A87, リバース占い!BA:BA, 0))</f>
        <v>運命の幕開け。過去を断ち切り新しい種をまく開拓期。</v>
      </c>
      <c r="D87" s="41" t="e">
        <f ca="1">INDEX(リバース占い!BO:BO, MATCH(C87, リバース占い!BC:BC, 0))</f>
        <v>#N/A</v>
      </c>
      <c r="E87" s="41" t="e">
        <f ca="1">INDEX(リバース占い!BP:BP, MATCH(D87, リバース占い!BD:BD, 0))</f>
        <v>#N/A</v>
      </c>
      <c r="F87" s="41" t="e">
        <f ca="1">INDEX(リバース占い!BQ:BQ, MATCH(E87, リバース占い!BE:BE, 0))</f>
        <v>#N/A</v>
      </c>
      <c r="G87" s="41" t="e">
        <f ca="1">INDEX(リバース占い!BR:BR, MATCH(F87, リバース占い!BF:BF, 0))</f>
        <v>#N/A</v>
      </c>
      <c r="H87" s="41" t="e">
        <f ca="1">INDEX(リバース占い!BS:BS, MATCH(G87, リバース占い!BG:BG, 0))</f>
        <v>#N/A</v>
      </c>
      <c r="I87" s="41" t="e">
        <f ca="1">INDEX(リバース占い!BT:BT, MATCH(H87, リバース占い!BH:BH, 0))</f>
        <v>#N/A</v>
      </c>
      <c r="J87" s="41" t="e">
        <f ca="1">INDEX(リバース占い!BU:BU, MATCH(I87, リバース占い!BL:BL, 0))</f>
        <v>#N/A</v>
      </c>
      <c r="K87" s="2" t="str">
        <f ca="1">INDEX(リバース占い!BF:BF, MATCH($A87, リバース占い!$BA:$BA, 0))</f>
        <v>破</v>
      </c>
      <c r="L87" s="2" t="str">
        <f ca="1">INDEX(リバース占い!BG:BG, MATCH($A87, リバース占い!$BA:$BA, 0))</f>
        <v>準方位</v>
      </c>
      <c r="M87" s="2" t="str">
        <f ca="1">INDEX(リバース占い!BH:BH, MATCH($A87, リバース占い!$BA:$BA, 0))</f>
        <v>自刑</v>
      </c>
      <c r="N87" s="36" t="str">
        <f t="shared" ca="1" si="11"/>
        <v>フリーズ</v>
      </c>
      <c r="O87" s="36" t="str">
        <f t="shared" ca="1" si="11"/>
        <v>スクラム</v>
      </c>
      <c r="P87" s="36" t="str">
        <f t="shared" ca="1" si="11"/>
        <v>セルフバトル</v>
      </c>
      <c r="Q87" s="3" t="str">
        <f ca="1">INDEX(リバース占い!BI:BI, MATCH($A87, リバース占い!$BA:$BA, 0))</f>
        <v>戊癸干合</v>
      </c>
      <c r="R87" s="3" t="str">
        <f ca="1">INDEX(リバース占い!BJ:BJ, MATCH($A87, リバース占い!$BA:$BA, 0))</f>
        <v/>
      </c>
      <c r="S87" s="3" t="str">
        <f ca="1">INDEX(リバース占い!BK:BK, MATCH($A87, リバース占い!$BA:$BA, 0))</f>
        <v/>
      </c>
      <c r="T87" s="2" t="str">
        <f t="shared" ca="1" si="12"/>
        <v>オトメ化</v>
      </c>
      <c r="U87" s="2" t="e">
        <f t="shared" ca="1" si="12"/>
        <v>#N/A</v>
      </c>
      <c r="V87" s="2" t="e">
        <f t="shared" ca="1" si="12"/>
        <v>#N/A</v>
      </c>
    </row>
    <row r="88" spans="1:22" ht="21">
      <c r="A88" s="45">
        <f t="shared" ca="1" si="13"/>
        <v>46202</v>
      </c>
      <c r="B88" s="40" t="str">
        <f ca="1">INDEX(リバース占い!BM:BM, MATCH(A88, リバース占い!BA:BA, 0))</f>
        <v>吉祥天</v>
      </c>
      <c r="C88" s="41" t="str">
        <f ca="1">INDEX(リバース占い!BN:BN, MATCH(A88, リバース占い!BA:BA, 0))</f>
        <v>まいた種が芽吹き、周囲の支援を受けて着実に育つ時期。</v>
      </c>
      <c r="D88" s="41" t="e">
        <f ca="1">INDEX(リバース占い!BO:BO, MATCH(C88, リバース占い!BC:BC, 0))</f>
        <v>#N/A</v>
      </c>
      <c r="E88" s="41" t="e">
        <f ca="1">INDEX(リバース占い!BP:BP, MATCH(D88, リバース占い!BD:BD, 0))</f>
        <v>#N/A</v>
      </c>
      <c r="F88" s="41" t="e">
        <f ca="1">INDEX(リバース占い!BQ:BQ, MATCH(E88, リバース占い!BE:BE, 0))</f>
        <v>#N/A</v>
      </c>
      <c r="G88" s="41" t="e">
        <f ca="1">INDEX(リバース占い!BR:BR, MATCH(F88, リバース占い!BF:BF, 0))</f>
        <v>#N/A</v>
      </c>
      <c r="H88" s="41" t="e">
        <f ca="1">INDEX(リバース占い!BS:BS, MATCH(G88, リバース占い!BG:BG, 0))</f>
        <v>#N/A</v>
      </c>
      <c r="I88" s="41" t="e">
        <f ca="1">INDEX(リバース占い!BT:BT, MATCH(H88, リバース占い!BH:BH, 0))</f>
        <v>#N/A</v>
      </c>
      <c r="J88" s="41" t="e">
        <f ca="1">INDEX(リバース占い!BU:BU, MATCH(I88, リバース占い!BL:BL, 0))</f>
        <v>#N/A</v>
      </c>
      <c r="K88" s="2" t="str">
        <f ca="1">INDEX(リバース占い!BF:BF, MATCH($A88, リバース占い!$BA:$BA, 0))</f>
        <v>－</v>
      </c>
      <c r="L88" s="2" t="str">
        <f ca="1">INDEX(リバース占い!BG:BG, MATCH($A88, リバース占い!$BA:$BA, 0))</f>
        <v>準方位</v>
      </c>
      <c r="M88" s="2" t="str">
        <f ca="1">INDEX(リバース占い!BH:BH, MATCH($A88, リバース占い!$BA:$BA, 0))</f>
        <v>害</v>
      </c>
      <c r="N88" s="36" t="str">
        <f t="shared" ca="1" si="11"/>
        <v>－</v>
      </c>
      <c r="O88" s="36" t="str">
        <f t="shared" ca="1" si="11"/>
        <v>スクラム</v>
      </c>
      <c r="P88" s="36" t="str">
        <f t="shared" ca="1" si="11"/>
        <v>ストレス</v>
      </c>
      <c r="Q88" s="3" t="str">
        <f ca="1">INDEX(リバース占い!BI:BI, MATCH($A88, リバース占い!$BA:$BA, 0))</f>
        <v/>
      </c>
      <c r="R88" s="3" t="str">
        <f ca="1">INDEX(リバース占い!BJ:BJ, MATCH($A88, リバース占い!$BA:$BA, 0))</f>
        <v/>
      </c>
      <c r="S88" s="3" t="str">
        <f ca="1">INDEX(リバース占い!BK:BK, MATCH($A88, リバース占い!$BA:$BA, 0))</f>
        <v/>
      </c>
      <c r="T88" s="2" t="e">
        <f t="shared" ca="1" si="12"/>
        <v>#N/A</v>
      </c>
      <c r="U88" s="2" t="e">
        <f t="shared" ca="1" si="12"/>
        <v>#N/A</v>
      </c>
      <c r="V88" s="2" t="e">
        <f t="shared" ca="1" si="12"/>
        <v>#N/A</v>
      </c>
    </row>
    <row r="89" spans="1:22" ht="21">
      <c r="A89" s="45">
        <f t="shared" ca="1" si="13"/>
        <v>46203</v>
      </c>
      <c r="B89" s="40" t="str">
        <f ca="1">INDEX(リバース占い!BM:BM, MATCH(A89, リバース占い!BA:BA, 0))</f>
        <v>弁財天</v>
      </c>
      <c r="C89" s="41" t="str">
        <f ca="1">INDEX(リバース占い!BN:BN, MATCH(A89, リバース占い!BA:BA, 0))</f>
        <v>才能がパッと花開き、今後の人生を左右する重要な決定を下す発展期。</v>
      </c>
      <c r="D89" s="41" t="e">
        <f ca="1">INDEX(リバース占い!BO:BO, MATCH(C89, リバース占い!BC:BC, 0))</f>
        <v>#N/A</v>
      </c>
      <c r="E89" s="41" t="e">
        <f ca="1">INDEX(リバース占い!BP:BP, MATCH(D89, リバース占い!BD:BD, 0))</f>
        <v>#N/A</v>
      </c>
      <c r="F89" s="41" t="e">
        <f ca="1">INDEX(リバース占い!BQ:BQ, MATCH(E89, リバース占い!BE:BE, 0))</f>
        <v>#N/A</v>
      </c>
      <c r="G89" s="41" t="e">
        <f ca="1">INDEX(リバース占い!BR:BR, MATCH(F89, リバース占い!BF:BF, 0))</f>
        <v>#N/A</v>
      </c>
      <c r="H89" s="41" t="e">
        <f ca="1">INDEX(リバース占い!BS:BS, MATCH(G89, リバース占い!BG:BG, 0))</f>
        <v>#N/A</v>
      </c>
      <c r="I89" s="41" t="e">
        <f ca="1">INDEX(リバース占い!BT:BT, MATCH(H89, リバース占い!BH:BH, 0))</f>
        <v>#N/A</v>
      </c>
      <c r="J89" s="41" t="e">
        <f ca="1">INDEX(リバース占い!BU:BU, MATCH(I89, リバース占い!BL:BL, 0))</f>
        <v>#N/A</v>
      </c>
      <c r="K89" s="2" t="str">
        <f ca="1">INDEX(リバース占い!BF:BF, MATCH($A89, リバース占い!$BA:$BA, 0))</f>
        <v>準方位</v>
      </c>
      <c r="L89" s="2" t="str">
        <f ca="1">INDEX(リバース占い!BG:BG, MATCH($A89, リバース占い!$BA:$BA, 0))</f>
        <v>害</v>
      </c>
      <c r="M89" s="2" t="str">
        <f ca="1">INDEX(リバース占い!BH:BH, MATCH($A89, リバース占い!$BA:$BA, 0))</f>
        <v>－</v>
      </c>
      <c r="N89" s="36" t="str">
        <f t="shared" ca="1" si="11"/>
        <v>スクラム</v>
      </c>
      <c r="O89" s="36" t="str">
        <f t="shared" ca="1" si="11"/>
        <v>ストレス</v>
      </c>
      <c r="P89" s="36" t="str">
        <f t="shared" ca="1" si="11"/>
        <v>－</v>
      </c>
      <c r="Q89" s="3" t="str">
        <f ca="1">INDEX(リバース占い!BI:BI, MATCH($A89, リバース占い!$BA:$BA, 0))</f>
        <v/>
      </c>
      <c r="R89" s="3" t="str">
        <f ca="1">INDEX(リバース占い!BJ:BJ, MATCH($A89, リバース占い!$BA:$BA, 0))</f>
        <v/>
      </c>
      <c r="S89" s="3" t="str">
        <f ca="1">INDEX(リバース占い!BK:BK, MATCH($A89, リバース占い!$BA:$BA, 0))</f>
        <v/>
      </c>
      <c r="T89" s="2" t="e">
        <f t="shared" ca="1" si="12"/>
        <v>#N/A</v>
      </c>
      <c r="U89" s="2" t="e">
        <f t="shared" ca="1" si="12"/>
        <v>#N/A</v>
      </c>
      <c r="V89" s="2" t="e">
        <f t="shared" ca="1" si="12"/>
        <v>#N/A</v>
      </c>
    </row>
    <row r="90" spans="1:22" ht="21">
      <c r="A90" s="45">
        <f t="shared" ca="1" si="13"/>
        <v>46204</v>
      </c>
      <c r="B90" s="40" t="str">
        <f ca="1">INDEX(リバース占い!BM:BM, MATCH(A90, リバース占い!BA:BA, 0))</f>
        <v>曇天</v>
      </c>
      <c r="C90" s="41" t="str">
        <f ca="1">INDEX(リバース占い!BN:BN, MATCH(A90, リバース占い!BA:BA, 0))</f>
        <v>運気の勢いに心身が追いつかない小休止。自己治癒の時期。</v>
      </c>
      <c r="D90" s="41" t="e">
        <f ca="1">INDEX(リバース占い!BO:BO, MATCH(C90, リバース占い!BC:BC, 0))</f>
        <v>#N/A</v>
      </c>
      <c r="E90" s="41" t="e">
        <f ca="1">INDEX(リバース占い!BP:BP, MATCH(D90, リバース占い!BD:BD, 0))</f>
        <v>#N/A</v>
      </c>
      <c r="F90" s="41" t="e">
        <f ca="1">INDEX(リバース占い!BQ:BQ, MATCH(E90, リバース占い!BE:BE, 0))</f>
        <v>#N/A</v>
      </c>
      <c r="G90" s="41" t="e">
        <f ca="1">INDEX(リバース占い!BR:BR, MATCH(F90, リバース占い!BF:BF, 0))</f>
        <v>#N/A</v>
      </c>
      <c r="H90" s="41" t="e">
        <f ca="1">INDEX(リバース占い!BS:BS, MATCH(G90, リバース占い!BG:BG, 0))</f>
        <v>#N/A</v>
      </c>
      <c r="I90" s="41" t="e">
        <f ca="1">INDEX(リバース占い!BT:BT, MATCH(H90, リバース占い!BH:BH, 0))</f>
        <v>#N/A</v>
      </c>
      <c r="J90" s="41" t="e">
        <f ca="1">INDEX(リバース占い!BU:BU, MATCH(I90, リバース占い!BL:BL, 0))</f>
        <v>#N/A</v>
      </c>
      <c r="K90" s="2" t="str">
        <f ca="1">INDEX(リバース占い!BF:BF, MATCH($A90, リバース占い!$BA:$BA, 0))</f>
        <v>同</v>
      </c>
      <c r="L90" s="2" t="str">
        <f ca="1">INDEX(リバース占い!BG:BG, MATCH($A90, リバース占い!$BA:$BA, 0))</f>
        <v>大半会</v>
      </c>
      <c r="M90" s="2" t="str">
        <f ca="1">INDEX(リバース占い!BH:BH, MATCH($A90, リバース占い!$BA:$BA, 0))</f>
        <v>破</v>
      </c>
      <c r="N90" s="36" t="str">
        <f t="shared" ca="1" si="11"/>
        <v>ブースト</v>
      </c>
      <c r="O90" s="36" t="str">
        <f t="shared" ca="1" si="11"/>
        <v>フィーバー</v>
      </c>
      <c r="P90" s="36" t="str">
        <f t="shared" ca="1" si="11"/>
        <v>フリーズ</v>
      </c>
      <c r="Q90" s="3" t="str">
        <f ca="1">INDEX(リバース占い!BI:BI, MATCH($A90, リバース占い!$BA:$BA, 0))</f>
        <v/>
      </c>
      <c r="R90" s="3" t="str">
        <f ca="1">INDEX(リバース占い!BJ:BJ, MATCH($A90, リバース占い!$BA:$BA, 0))</f>
        <v/>
      </c>
      <c r="S90" s="3" t="str">
        <f ca="1">INDEX(リバース占い!BK:BK, MATCH($A90, リバース占い!$BA:$BA, 0))</f>
        <v>丙辛干合</v>
      </c>
      <c r="T90" s="2" t="e">
        <f t="shared" ca="1" si="12"/>
        <v>#N/A</v>
      </c>
      <c r="U90" s="2" t="e">
        <f t="shared" ca="1" si="12"/>
        <v>#N/A</v>
      </c>
      <c r="V90" s="2" t="str">
        <f t="shared" ca="1" si="12"/>
        <v>デレ化</v>
      </c>
    </row>
    <row r="91" spans="1:22" ht="21">
      <c r="A91" s="45">
        <f t="shared" ca="1" si="13"/>
        <v>46205</v>
      </c>
      <c r="B91" s="40" t="str">
        <f ca="1">INDEX(リバース占い!BM:BM, MATCH(A91, リバース占い!BA:BA, 0))</f>
        <v>韋駄天</v>
      </c>
      <c r="C91" s="41" t="str">
        <f ca="1">INDEX(リバース占い!BN:BN, MATCH(A91, リバース占い!BA:BA, 0))</f>
        <v>運気絶頂。これまでの努力が実を結び、最高のスポットライトを浴びる。</v>
      </c>
      <c r="D91" s="41" t="e">
        <f ca="1">INDEX(リバース占い!BO:BO, MATCH(C91, リバース占い!BC:BC, 0))</f>
        <v>#N/A</v>
      </c>
      <c r="E91" s="41" t="e">
        <f ca="1">INDEX(リバース占い!BP:BP, MATCH(D91, リバース占い!BD:BD, 0))</f>
        <v>#N/A</v>
      </c>
      <c r="F91" s="41" t="e">
        <f ca="1">INDEX(リバース占い!BQ:BQ, MATCH(E91, リバース占い!BE:BE, 0))</f>
        <v>#N/A</v>
      </c>
      <c r="G91" s="41" t="e">
        <f ca="1">INDEX(リバース占い!BR:BR, MATCH(F91, リバース占い!BF:BF, 0))</f>
        <v>#N/A</v>
      </c>
      <c r="H91" s="41" t="e">
        <f ca="1">INDEX(リバース占い!BS:BS, MATCH(G91, リバース占い!BG:BG, 0))</f>
        <v>#N/A</v>
      </c>
      <c r="I91" s="41" t="e">
        <f ca="1">INDEX(リバース占い!BT:BT, MATCH(H91, リバース占い!BH:BH, 0))</f>
        <v>#N/A</v>
      </c>
      <c r="J91" s="41" t="e">
        <f ca="1">INDEX(リバース占い!BU:BU, MATCH(I91, リバース占い!BL:BL, 0))</f>
        <v>#N/A</v>
      </c>
      <c r="K91" s="2" t="str">
        <f ca="1">INDEX(リバース占い!BF:BF, MATCH($A91, リバース占い!$BA:$BA, 0))</f>
        <v>支合</v>
      </c>
      <c r="L91" s="2" t="str">
        <f ca="1">INDEX(リバース占い!BG:BG, MATCH($A91, リバース占い!$BA:$BA, 0))</f>
        <v>－</v>
      </c>
      <c r="M91" s="2" t="str">
        <f ca="1">INDEX(リバース占い!BH:BH, MATCH($A91, リバース占い!$BA:$BA, 0))</f>
        <v>半会</v>
      </c>
      <c r="N91" s="36" t="str">
        <f t="shared" ca="1" si="11"/>
        <v>バランス</v>
      </c>
      <c r="O91" s="36" t="str">
        <f t="shared" ca="1" si="11"/>
        <v>－</v>
      </c>
      <c r="P91" s="36" t="str">
        <f t="shared" ca="1" si="11"/>
        <v>シナジー</v>
      </c>
      <c r="Q91" s="3" t="str">
        <f ca="1">INDEX(リバース占い!BI:BI, MATCH($A91, リバース占い!$BA:$BA, 0))</f>
        <v/>
      </c>
      <c r="R91" s="3" t="str">
        <f ca="1">INDEX(リバース占い!BJ:BJ, MATCH($A91, リバース占い!$BA:$BA, 0))</f>
        <v/>
      </c>
      <c r="S91" s="3" t="str">
        <f ca="1">INDEX(リバース占い!BK:BK, MATCH($A91, リバース占い!$BA:$BA, 0))</f>
        <v/>
      </c>
      <c r="T91" s="2" t="e">
        <f t="shared" ca="1" si="12"/>
        <v>#N/A</v>
      </c>
      <c r="U91" s="2" t="e">
        <f t="shared" ca="1" si="12"/>
        <v>#N/A</v>
      </c>
      <c r="V91" s="2" t="e">
        <f t="shared" ca="1" si="12"/>
        <v>#N/A</v>
      </c>
    </row>
    <row r="92" spans="1:22" ht="21">
      <c r="A92" s="45">
        <f t="shared" ca="1" si="13"/>
        <v>46206</v>
      </c>
      <c r="B92" s="40" t="str">
        <f ca="1">INDEX(リバース占い!BM:BM, MATCH(A92, リバース占い!BA:BA, 0))</f>
        <v>伏魔天</v>
      </c>
      <c r="C92" s="41" t="str">
        <f ca="1">INDEX(リバース占い!BN:BN, MATCH(A92, リバース占い!BA:BA, 0))</f>
        <v>強すぎる運気の反動で迷いや摩擦が生じる。理性と現状維持が必要な嵐。</v>
      </c>
      <c r="D92" s="41" t="e">
        <f ca="1">INDEX(リバース占い!BO:BO, MATCH(C92, リバース占い!BC:BC, 0))</f>
        <v>#N/A</v>
      </c>
      <c r="E92" s="41" t="e">
        <f ca="1">INDEX(リバース占い!BP:BP, MATCH(D92, リバース占い!BD:BD, 0))</f>
        <v>#N/A</v>
      </c>
      <c r="F92" s="41" t="e">
        <f ca="1">INDEX(リバース占い!BQ:BQ, MATCH(E92, リバース占い!BE:BE, 0))</f>
        <v>#N/A</v>
      </c>
      <c r="G92" s="41" t="e">
        <f ca="1">INDEX(リバース占い!BR:BR, MATCH(F92, リバース占い!BF:BF, 0))</f>
        <v>#N/A</v>
      </c>
      <c r="H92" s="41" t="e">
        <f ca="1">INDEX(リバース占い!BS:BS, MATCH(G92, リバース占い!BG:BG, 0))</f>
        <v>#N/A</v>
      </c>
      <c r="I92" s="41" t="e">
        <f ca="1">INDEX(リバース占い!BT:BT, MATCH(H92, リバース占い!BH:BH, 0))</f>
        <v>#N/A</v>
      </c>
      <c r="J92" s="41" t="e">
        <f ca="1">INDEX(リバース占い!BU:BU, MATCH(I92, リバース占い!BL:BL, 0))</f>
        <v>#N/A</v>
      </c>
      <c r="K92" s="2" t="str">
        <f ca="1">INDEX(リバース占い!BF:BF, MATCH($A92, リバース占い!$BA:$BA, 0))</f>
        <v>－</v>
      </c>
      <c r="L92" s="2" t="str">
        <f ca="1">INDEX(リバース占い!BG:BG, MATCH($A92, リバース占い!$BA:$BA, 0))</f>
        <v>対冲</v>
      </c>
      <c r="M92" s="2" t="str">
        <f ca="1">INDEX(リバース占い!BH:BH, MATCH($A92, リバース占い!$BA:$BA, 0))</f>
        <v>－</v>
      </c>
      <c r="N92" s="36" t="str">
        <f t="shared" ca="1" si="11"/>
        <v>－</v>
      </c>
      <c r="O92" s="36" t="str">
        <f t="shared" ca="1" si="11"/>
        <v>クラッシュ</v>
      </c>
      <c r="P92" s="36" t="str">
        <f t="shared" ca="1" si="11"/>
        <v>－</v>
      </c>
      <c r="Q92" s="3" t="str">
        <f ca="1">INDEX(リバース占い!BI:BI, MATCH($A92, リバース占い!$BA:$BA, 0))</f>
        <v/>
      </c>
      <c r="R92" s="3" t="str">
        <f ca="1">INDEX(リバース占い!BJ:BJ, MATCH($A92, リバース占い!$BA:$BA, 0))</f>
        <v/>
      </c>
      <c r="S92" s="3" t="str">
        <f ca="1">INDEX(リバース占い!BK:BK, MATCH($A92, リバース占い!$BA:$BA, 0))</f>
        <v/>
      </c>
      <c r="T92" s="2" t="e">
        <f t="shared" ca="1" si="12"/>
        <v>#N/A</v>
      </c>
      <c r="U92" s="2" t="e">
        <f t="shared" ca="1" si="12"/>
        <v>#N/A</v>
      </c>
      <c r="V92" s="2" t="e">
        <f t="shared" ca="1" si="12"/>
        <v>#N/A</v>
      </c>
    </row>
    <row r="93" spans="1:22" ht="21">
      <c r="A93" s="45">
        <f t="shared" ca="1" si="13"/>
        <v>46207</v>
      </c>
      <c r="B93" s="40" t="str">
        <f ca="1">INDEX(リバース占い!BM:BM, MATCH(A93, リバース占い!BA:BA, 0))</f>
        <v>有頂天</v>
      </c>
      <c r="C93" s="41" t="str">
        <f ca="1">INDEX(リバース占い!BN:BN, MATCH(A93, リバース占い!BA:BA, 0))</f>
        <v>第2の絶頂期。過去の縁が繋がり、周囲を巻き込み大きな成果を出す。</v>
      </c>
      <c r="D93" s="41" t="e">
        <f ca="1">INDEX(リバース占い!BO:BO, MATCH(C93, リバース占い!BC:BC, 0))</f>
        <v>#N/A</v>
      </c>
      <c r="E93" s="41" t="e">
        <f ca="1">INDEX(リバース占い!BP:BP, MATCH(D93, リバース占い!BD:BD, 0))</f>
        <v>#N/A</v>
      </c>
      <c r="F93" s="41" t="e">
        <f ca="1">INDEX(リバース占い!BQ:BQ, MATCH(E93, リバース占い!BE:BE, 0))</f>
        <v>#N/A</v>
      </c>
      <c r="G93" s="41" t="e">
        <f ca="1">INDEX(リバース占い!BR:BR, MATCH(F93, リバース占い!BF:BF, 0))</f>
        <v>#N/A</v>
      </c>
      <c r="H93" s="41" t="e">
        <f ca="1">INDEX(リバース占い!BS:BS, MATCH(G93, リバース占い!BG:BG, 0))</f>
        <v>#N/A</v>
      </c>
      <c r="I93" s="41" t="e">
        <f ca="1">INDEX(リバース占い!BT:BT, MATCH(H93, リバース占い!BH:BH, 0))</f>
        <v>#N/A</v>
      </c>
      <c r="J93" s="41" t="e">
        <f ca="1">INDEX(リバース占い!BU:BU, MATCH(I93, リバース占い!BL:BL, 0))</f>
        <v>#N/A</v>
      </c>
      <c r="K93" s="2" t="str">
        <f ca="1">INDEX(リバース占い!BF:BF, MATCH($A93, リバース占い!$BA:$BA, 0))</f>
        <v>刑</v>
      </c>
      <c r="L93" s="2" t="str">
        <f ca="1">INDEX(リバース占い!BG:BG, MATCH($A93, リバース占い!$BA:$BA, 0))</f>
        <v>－</v>
      </c>
      <c r="M93" s="2" t="str">
        <f ca="1">INDEX(リバース占い!BH:BH, MATCH($A93, リバース占い!$BA:$BA, 0))</f>
        <v>対冲</v>
      </c>
      <c r="N93" s="36" t="str">
        <f t="shared" ca="1" si="11"/>
        <v>バトル</v>
      </c>
      <c r="O93" s="36" t="str">
        <f t="shared" ca="1" si="11"/>
        <v>－</v>
      </c>
      <c r="P93" s="36" t="str">
        <f t="shared" ca="1" si="11"/>
        <v>クラッシュ</v>
      </c>
      <c r="Q93" s="3" t="str">
        <f ca="1">INDEX(リバース占い!BI:BI, MATCH($A93, リバース占い!$BA:$BA, 0))</f>
        <v/>
      </c>
      <c r="R93" s="3" t="str">
        <f ca="1">INDEX(リバース占い!BJ:BJ, MATCH($A93, リバース占い!$BA:$BA, 0))</f>
        <v/>
      </c>
      <c r="S93" s="3" t="str">
        <f ca="1">INDEX(リバース占い!BK:BK, MATCH($A93, リバース占い!$BA:$BA, 0))</f>
        <v/>
      </c>
      <c r="T93" s="2" t="e">
        <f t="shared" ca="1" si="12"/>
        <v>#N/A</v>
      </c>
      <c r="U93" s="2" t="e">
        <f t="shared" ca="1" si="12"/>
        <v>#N/A</v>
      </c>
      <c r="V93" s="2" t="e">
        <f t="shared" ca="1" si="12"/>
        <v>#N/A</v>
      </c>
    </row>
    <row r="94" spans="1:22" ht="21">
      <c r="A94" s="45">
        <f t="shared" ca="1" si="13"/>
        <v>46208</v>
      </c>
      <c r="B94" s="40" t="str">
        <f ca="1">INDEX(リバース占い!BM:BM, MATCH(A94, リバース占い!BA:BA, 0))</f>
        <v>満天</v>
      </c>
      <c r="C94" s="41" t="str">
        <f ca="1">INDEX(リバース占い!BN:BN, MATCH(A94, リバース占い!BA:BA, 0))</f>
        <v>収穫の喜び。物質や人脈などあらゆる財を蓄積し、強固な基盤を作る。</v>
      </c>
      <c r="D94" s="41" t="e">
        <f ca="1">INDEX(リバース占い!BO:BO, MATCH(C94, リバース占い!BC:BC, 0))</f>
        <v>#N/A</v>
      </c>
      <c r="E94" s="41" t="e">
        <f ca="1">INDEX(リバース占い!BP:BP, MATCH(D94, リバース占い!BD:BD, 0))</f>
        <v>#N/A</v>
      </c>
      <c r="F94" s="41" t="e">
        <f ca="1">INDEX(リバース占い!BQ:BQ, MATCH(E94, リバース占い!BE:BE, 0))</f>
        <v>#N/A</v>
      </c>
      <c r="G94" s="41" t="e">
        <f ca="1">INDEX(リバース占い!BR:BR, MATCH(F94, リバース占い!BF:BF, 0))</f>
        <v>#N/A</v>
      </c>
      <c r="H94" s="41" t="e">
        <f ca="1">INDEX(リバース占い!BS:BS, MATCH(G94, リバース占い!BG:BG, 0))</f>
        <v>#N/A</v>
      </c>
      <c r="I94" s="41" t="e">
        <f ca="1">INDEX(リバース占い!BT:BT, MATCH(H94, リバース占い!BH:BH, 0))</f>
        <v>#N/A</v>
      </c>
      <c r="J94" s="41" t="e">
        <f ca="1">INDEX(リバース占い!BU:BU, MATCH(I94, リバース占い!BL:BL, 0))</f>
        <v>#N/A</v>
      </c>
      <c r="K94" s="2" t="str">
        <f ca="1">INDEX(リバース占い!BF:BF, MATCH($A94, リバース占い!$BA:$BA, 0))</f>
        <v>半会</v>
      </c>
      <c r="L94" s="2" t="str">
        <f ca="1">INDEX(リバース占い!BG:BG, MATCH($A94, リバース占い!$BA:$BA, 0))</f>
        <v>半会</v>
      </c>
      <c r="M94" s="2" t="str">
        <f ca="1">INDEX(リバース占い!BH:BH, MATCH($A94, リバース占い!$BA:$BA, 0))</f>
        <v>支合</v>
      </c>
      <c r="N94" s="36" t="str">
        <f t="shared" ca="1" si="11"/>
        <v>シナジー</v>
      </c>
      <c r="O94" s="36" t="str">
        <f t="shared" ca="1" si="11"/>
        <v>シナジー</v>
      </c>
      <c r="P94" s="36" t="str">
        <f t="shared" ca="1" si="11"/>
        <v>バランス</v>
      </c>
      <c r="Q94" s="3" t="str">
        <f ca="1">INDEX(リバース占い!BI:BI, MATCH($A94, リバース占い!$BA:$BA, 0))</f>
        <v/>
      </c>
      <c r="R94" s="3" t="str">
        <f ca="1">INDEX(リバース占い!BJ:BJ, MATCH($A94, リバース占い!$BA:$BA, 0))</f>
        <v/>
      </c>
      <c r="S94" s="3" t="str">
        <f ca="1">INDEX(リバース占い!BK:BK, MATCH($A94, リバース占い!$BA:$BA, 0))</f>
        <v/>
      </c>
      <c r="T94" s="2" t="e">
        <f t="shared" ca="1" si="12"/>
        <v>#N/A</v>
      </c>
      <c r="U94" s="2" t="e">
        <f t="shared" ca="1" si="12"/>
        <v>#N/A</v>
      </c>
      <c r="V94" s="2" t="e">
        <f t="shared" ca="1" si="12"/>
        <v>#N/A</v>
      </c>
    </row>
    <row r="95" spans="1:22" ht="21">
      <c r="A95" s="45">
        <f t="shared" ca="1" si="13"/>
        <v>46209</v>
      </c>
      <c r="B95" s="40" t="str">
        <f ca="1">INDEX(リバース占い!BM:BM, MATCH(A95, リバース占い!BA:BA, 0))</f>
        <v>静天</v>
      </c>
      <c r="C95" s="41" t="str">
        <f ca="1">INDEX(リバース占い!BN:BN, MATCH(A95, リバース占い!BA:BA, 0))</f>
        <v>成果が出揃う。精神的な安定と充実の中で平和に人生を俯瞰する時期。</v>
      </c>
      <c r="D95" s="41" t="e">
        <f ca="1">INDEX(リバース占い!BO:BO, MATCH(C95, リバース占い!BC:BC, 0))</f>
        <v>#N/A</v>
      </c>
      <c r="E95" s="41" t="e">
        <f ca="1">INDEX(リバース占い!BP:BP, MATCH(D95, リバース占い!BD:BD, 0))</f>
        <v>#N/A</v>
      </c>
      <c r="F95" s="41" t="e">
        <f ca="1">INDEX(リバース占い!BQ:BQ, MATCH(E95, リバース占い!BE:BE, 0))</f>
        <v>#N/A</v>
      </c>
      <c r="G95" s="41" t="e">
        <f ca="1">INDEX(リバース占い!BR:BR, MATCH(F95, リバース占い!BF:BF, 0))</f>
        <v>#N/A</v>
      </c>
      <c r="H95" s="41" t="e">
        <f ca="1">INDEX(リバース占い!BS:BS, MATCH(G95, リバース占い!BG:BG, 0))</f>
        <v>#N/A</v>
      </c>
      <c r="I95" s="41" t="e">
        <f ca="1">INDEX(リバース占い!BT:BT, MATCH(H95, リバース占い!BH:BH, 0))</f>
        <v>#N/A</v>
      </c>
      <c r="J95" s="41" t="e">
        <f ca="1">INDEX(リバース占い!BU:BU, MATCH(I95, リバース占い!BL:BL, 0))</f>
        <v>#N/A</v>
      </c>
      <c r="K95" s="2" t="str">
        <f ca="1">INDEX(リバース占い!BF:BF, MATCH($A95, リバース占い!$BA:$BA, 0))</f>
        <v>－</v>
      </c>
      <c r="L95" s="2" t="str">
        <f ca="1">INDEX(リバース占い!BG:BG, MATCH($A95, リバース占い!$BA:$BA, 0))</f>
        <v>支合</v>
      </c>
      <c r="M95" s="2" t="str">
        <f ca="1">INDEX(リバース占い!BH:BH, MATCH($A95, リバース占い!$BA:$BA, 0))</f>
        <v>大半会</v>
      </c>
      <c r="N95" s="36" t="str">
        <f t="shared" ca="1" si="11"/>
        <v>－</v>
      </c>
      <c r="O95" s="36" t="str">
        <f t="shared" ca="1" si="11"/>
        <v>バランス</v>
      </c>
      <c r="P95" s="36" t="str">
        <f t="shared" ca="1" si="11"/>
        <v>フィーバー</v>
      </c>
      <c r="Q95" s="3" t="str">
        <f ca="1">INDEX(リバース占い!BI:BI, MATCH($A95, リバース占い!$BA:$BA, 0))</f>
        <v/>
      </c>
      <c r="R95" s="3" t="str">
        <f ca="1">INDEX(リバース占い!BJ:BJ, MATCH($A95, リバース占い!$BA:$BA, 0))</f>
        <v>丙辛干合</v>
      </c>
      <c r="S95" s="3" t="str">
        <f ca="1">INDEX(リバース占い!BK:BK, MATCH($A95, リバース占い!$BA:$BA, 0))</f>
        <v/>
      </c>
      <c r="T95" s="2" t="e">
        <f t="shared" ca="1" si="12"/>
        <v>#N/A</v>
      </c>
      <c r="U95" s="2" t="str">
        <f t="shared" ca="1" si="12"/>
        <v>デレ化</v>
      </c>
      <c r="V95" s="2" t="e">
        <f t="shared" ca="1" si="12"/>
        <v>#N/A</v>
      </c>
    </row>
    <row r="96" spans="1:22" ht="21">
      <c r="A96" s="45">
        <f t="shared" ca="1" si="13"/>
        <v>46210</v>
      </c>
      <c r="B96" s="40" t="str">
        <f ca="1">INDEX(リバース占い!BM:BM, MATCH(A96, リバース占い!BA:BA, 0))</f>
        <v>暗天</v>
      </c>
      <c r="C96" s="41" t="str">
        <f ca="1">INDEX(リバース占い!BN:BN, MATCH(A96, リバース占い!BA:BA, 0))</f>
        <v>運気下降（運の冬入り）。孤独を感じやすいが水面下の自己鍛錬が必要。</v>
      </c>
      <c r="D96" s="41" t="e">
        <f ca="1">INDEX(リバース占い!BO:BO, MATCH(C96, リバース占い!BC:BC, 0))</f>
        <v>#N/A</v>
      </c>
      <c r="E96" s="41" t="e">
        <f ca="1">INDEX(リバース占い!BP:BP, MATCH(D96, リバース占い!BD:BD, 0))</f>
        <v>#N/A</v>
      </c>
      <c r="F96" s="41" t="e">
        <f ca="1">INDEX(リバース占い!BQ:BQ, MATCH(E96, リバース占い!BE:BE, 0))</f>
        <v>#N/A</v>
      </c>
      <c r="G96" s="41" t="e">
        <f ca="1">INDEX(リバース占い!BR:BR, MATCH(F96, リバース占い!BF:BF, 0))</f>
        <v>#N/A</v>
      </c>
      <c r="H96" s="41" t="e">
        <f ca="1">INDEX(リバース占い!BS:BS, MATCH(G96, リバース占い!BG:BG, 0))</f>
        <v>#N/A</v>
      </c>
      <c r="I96" s="41" t="e">
        <f ca="1">INDEX(リバース占い!BT:BT, MATCH(H96, リバース占い!BH:BH, 0))</f>
        <v>#N/A</v>
      </c>
      <c r="J96" s="41" t="e">
        <f ca="1">INDEX(リバース占い!BU:BU, MATCH(I96, リバース占い!BL:BL, 0))</f>
        <v>#N/A</v>
      </c>
      <c r="K96" s="2" t="str">
        <f ca="1">INDEX(リバース占い!BF:BF, MATCH($A96, リバース占い!$BA:$BA, 0))</f>
        <v>天剋地冲</v>
      </c>
      <c r="L96" s="2" t="str">
        <f ca="1">INDEX(リバース占い!BG:BG, MATCH($A96, リバース占い!$BA:$BA, 0))</f>
        <v>－</v>
      </c>
      <c r="M96" s="2" t="str">
        <f ca="1">INDEX(リバース占い!BH:BH, MATCH($A96, リバース占い!$BA:$BA, 0))</f>
        <v>－</v>
      </c>
      <c r="N96" s="36" t="str">
        <f t="shared" ca="1" si="11"/>
        <v>ビックバン</v>
      </c>
      <c r="O96" s="36" t="str">
        <f t="shared" ca="1" si="11"/>
        <v>－</v>
      </c>
      <c r="P96" s="36" t="str">
        <f t="shared" ca="1" si="11"/>
        <v>－</v>
      </c>
      <c r="Q96" s="3" t="str">
        <f ca="1">INDEX(リバース占い!BI:BI, MATCH($A96, リバース占い!$BA:$BA, 0))</f>
        <v/>
      </c>
      <c r="R96" s="3" t="str">
        <f ca="1">INDEX(リバース占い!BJ:BJ, MATCH($A96, リバース占い!$BA:$BA, 0))</f>
        <v/>
      </c>
      <c r="S96" s="3" t="str">
        <f ca="1">INDEX(リバース占い!BK:BK, MATCH($A96, リバース占い!$BA:$BA, 0))</f>
        <v/>
      </c>
      <c r="T96" s="2" t="e">
        <f t="shared" ca="1" si="12"/>
        <v>#N/A</v>
      </c>
      <c r="U96" s="2" t="e">
        <f t="shared" ca="1" si="12"/>
        <v>#N/A</v>
      </c>
      <c r="V96" s="2" t="e">
        <f t="shared" ca="1" si="12"/>
        <v>#N/A</v>
      </c>
    </row>
    <row r="97" spans="1:22" ht="21">
      <c r="A97" s="45">
        <f t="shared" ca="1" si="13"/>
        <v>46211</v>
      </c>
      <c r="B97" s="40" t="str">
        <f ca="1">INDEX(リバース占い!BM:BM, MATCH(A97, リバース占い!BA:BA, 0))</f>
        <v>大曇天</v>
      </c>
      <c r="C97" s="41" t="str">
        <f ca="1">INDEX(リバース占い!BN:BN, MATCH(A97, リバース占い!BA:BA, 0))</f>
        <v>運命の停止（運の真冬時期）。古い価値観を手放す究極の浄化期間。</v>
      </c>
      <c r="D97" s="41" t="e">
        <f ca="1">INDEX(リバース占い!BO:BO, MATCH(C97, リバース占い!BC:BC, 0))</f>
        <v>#N/A</v>
      </c>
      <c r="E97" s="41" t="e">
        <f ca="1">INDEX(リバース占い!BP:BP, MATCH(D97, リバース占い!BD:BD, 0))</f>
        <v>#N/A</v>
      </c>
      <c r="F97" s="41" t="e">
        <f ca="1">INDEX(リバース占い!BQ:BQ, MATCH(E97, リバース占い!BE:BE, 0))</f>
        <v>#N/A</v>
      </c>
      <c r="G97" s="41" t="e">
        <f ca="1">INDEX(リバース占い!BR:BR, MATCH(F97, リバース占い!BF:BF, 0))</f>
        <v>#N/A</v>
      </c>
      <c r="H97" s="41" t="e">
        <f ca="1">INDEX(リバース占い!BS:BS, MATCH(G97, リバース占い!BG:BG, 0))</f>
        <v>#N/A</v>
      </c>
      <c r="I97" s="41" t="e">
        <f ca="1">INDEX(リバース占い!BT:BT, MATCH(H97, リバース占い!BH:BH, 0))</f>
        <v>#N/A</v>
      </c>
      <c r="J97" s="41" t="e">
        <f ca="1">INDEX(リバース占い!BU:BU, MATCH(I97, リバース占い!BL:BL, 0))</f>
        <v>#N/A</v>
      </c>
      <c r="K97" s="2" t="str">
        <f ca="1">INDEX(リバース占い!BF:BF, MATCH($A97, リバース占い!$BA:$BA, 0))</f>
        <v>害</v>
      </c>
      <c r="L97" s="2" t="str">
        <f ca="1">INDEX(リバース占い!BG:BG, MATCH($A97, リバース占い!$BA:$BA, 0))</f>
        <v>－</v>
      </c>
      <c r="M97" s="2" t="str">
        <f ca="1">INDEX(リバース占い!BH:BH, MATCH($A97, リバース占い!$BA:$BA, 0))</f>
        <v>－</v>
      </c>
      <c r="N97" s="36" t="str">
        <f t="shared" ca="1" si="11"/>
        <v>ストレス</v>
      </c>
      <c r="O97" s="36" t="str">
        <f t="shared" ca="1" si="11"/>
        <v>－</v>
      </c>
      <c r="P97" s="36" t="str">
        <f t="shared" ca="1" si="11"/>
        <v>－</v>
      </c>
      <c r="Q97" s="3" t="str">
        <f ca="1">INDEX(リバース占い!BI:BI, MATCH($A97, リバース占い!$BA:$BA, 0))</f>
        <v>戊癸干合</v>
      </c>
      <c r="R97" s="3" t="str">
        <f ca="1">INDEX(リバース占い!BJ:BJ, MATCH($A97, リバース占い!$BA:$BA, 0))</f>
        <v/>
      </c>
      <c r="S97" s="3" t="str">
        <f ca="1">INDEX(リバース占い!BK:BK, MATCH($A97, リバース占い!$BA:$BA, 0))</f>
        <v/>
      </c>
      <c r="T97" s="2" t="str">
        <f t="shared" ca="1" si="12"/>
        <v>オトメ化</v>
      </c>
      <c r="U97" s="2" t="e">
        <f t="shared" ca="1" si="12"/>
        <v>#N/A</v>
      </c>
      <c r="V97" s="2" t="e">
        <f t="shared" ca="1" si="12"/>
        <v>#N/A</v>
      </c>
    </row>
    <row r="98" spans="1:22" ht="21">
      <c r="A98" s="45">
        <f t="shared" ca="1" si="13"/>
        <v>46212</v>
      </c>
      <c r="B98" s="40" t="str">
        <f ca="1">INDEX(リバース占い!BM:BM, MATCH(A98, リバース占い!BA:BA, 0))</f>
        <v>雨天</v>
      </c>
      <c r="C98" s="41" t="str">
        <f ca="1">INDEX(リバース占い!BN:BN, MATCH(A98, リバース占い!BA:BA, 0))</f>
        <v>カルマの精算。過去の執着をすべて洗い流し、次の春への準備を整える。</v>
      </c>
      <c r="D98" s="41" t="e">
        <f ca="1">INDEX(リバース占い!BO:BO, MATCH(C98, リバース占い!BC:BC, 0))</f>
        <v>#N/A</v>
      </c>
      <c r="E98" s="41" t="e">
        <f ca="1">INDEX(リバース占い!BP:BP, MATCH(D98, リバース占い!BD:BD, 0))</f>
        <v>#N/A</v>
      </c>
      <c r="F98" s="41" t="e">
        <f ca="1">INDEX(リバース占い!BQ:BQ, MATCH(E98, リバース占い!BE:BE, 0))</f>
        <v>#N/A</v>
      </c>
      <c r="G98" s="41" t="e">
        <f ca="1">INDEX(リバース占い!BR:BR, MATCH(F98, リバース占い!BF:BF, 0))</f>
        <v>#N/A</v>
      </c>
      <c r="H98" s="41" t="e">
        <f ca="1">INDEX(リバース占い!BS:BS, MATCH(G98, リバース占い!BG:BG, 0))</f>
        <v>#N/A</v>
      </c>
      <c r="I98" s="41" t="e">
        <f ca="1">INDEX(リバース占い!BT:BT, MATCH(H98, リバース占い!BH:BH, 0))</f>
        <v>#N/A</v>
      </c>
      <c r="J98" s="41" t="e">
        <f ca="1">INDEX(リバース占い!BU:BU, MATCH(I98, リバース占い!BL:BL, 0))</f>
        <v>#N/A</v>
      </c>
      <c r="K98" s="2" t="str">
        <f ca="1">INDEX(リバース占い!BF:BF, MATCH($A98, リバース占い!$BA:$BA, 0))</f>
        <v>半会</v>
      </c>
      <c r="L98" s="2" t="str">
        <f ca="1">INDEX(リバース占い!BG:BG, MATCH($A98, リバース占い!$BA:$BA, 0))</f>
        <v>同</v>
      </c>
      <c r="M98" s="2" t="str">
        <f ca="1">INDEX(リバース占い!BH:BH, MATCH($A98, リバース占い!$BA:$BA, 0))</f>
        <v>準方位</v>
      </c>
      <c r="N98" s="36" t="str">
        <f t="shared" ca="1" si="11"/>
        <v>シナジー</v>
      </c>
      <c r="O98" s="36" t="str">
        <f t="shared" ca="1" si="11"/>
        <v>ブースト</v>
      </c>
      <c r="P98" s="36" t="str">
        <f t="shared" ca="1" si="11"/>
        <v>スクラム</v>
      </c>
      <c r="Q98" s="3" t="str">
        <f ca="1">INDEX(リバース占い!BI:BI, MATCH($A98, リバース占い!$BA:$BA, 0))</f>
        <v/>
      </c>
      <c r="R98" s="3" t="str">
        <f ca="1">INDEX(リバース占い!BJ:BJ, MATCH($A98, リバース占い!$BA:$BA, 0))</f>
        <v/>
      </c>
      <c r="S98" s="3" t="str">
        <f ca="1">INDEX(リバース占い!BK:BK, MATCH($A98, リバース占い!$BA:$BA, 0))</f>
        <v/>
      </c>
      <c r="T98" s="2" t="e">
        <f t="shared" ca="1" si="12"/>
        <v>#N/A</v>
      </c>
      <c r="U98" s="2" t="e">
        <f t="shared" ca="1" si="12"/>
        <v>#N/A</v>
      </c>
      <c r="V98" s="2" t="e">
        <f t="shared" ca="1" si="12"/>
        <v>#N/A</v>
      </c>
    </row>
    <row r="99" spans="1:22" ht="21">
      <c r="A99" s="45">
        <f t="shared" ca="1" si="13"/>
        <v>46213</v>
      </c>
      <c r="B99" s="40" t="str">
        <f ca="1">INDEX(リバース占い!BM:BM, MATCH(A99, リバース占い!BA:BA, 0))</f>
        <v>起天</v>
      </c>
      <c r="C99" s="41" t="str">
        <f ca="1">INDEX(リバース占い!BN:BN, MATCH(A99, リバース占い!BA:BA, 0))</f>
        <v>運命の幕開け。過去を断ち切り新しい種をまく開拓期。</v>
      </c>
      <c r="D99" s="41" t="e">
        <f ca="1">INDEX(リバース占い!BO:BO, MATCH(C99, リバース占い!BC:BC, 0))</f>
        <v>#N/A</v>
      </c>
      <c r="E99" s="41" t="e">
        <f ca="1">INDEX(リバース占い!BP:BP, MATCH(D99, リバース占い!BD:BD, 0))</f>
        <v>#N/A</v>
      </c>
      <c r="F99" s="41" t="e">
        <f ca="1">INDEX(リバース占い!BQ:BQ, MATCH(E99, リバース占い!BE:BE, 0))</f>
        <v>#N/A</v>
      </c>
      <c r="G99" s="41" t="e">
        <f ca="1">INDEX(リバース占い!BR:BR, MATCH(F99, リバース占い!BF:BF, 0))</f>
        <v>#N/A</v>
      </c>
      <c r="H99" s="41" t="e">
        <f ca="1">INDEX(リバース占い!BS:BS, MATCH(G99, リバース占い!BG:BG, 0))</f>
        <v>#N/A</v>
      </c>
      <c r="I99" s="41" t="e">
        <f ca="1">INDEX(リバース占い!BT:BT, MATCH(H99, リバース占い!BH:BH, 0))</f>
        <v>#N/A</v>
      </c>
      <c r="J99" s="41" t="e">
        <f ca="1">INDEX(リバース占い!BU:BU, MATCH(I99, リバース占い!BL:BL, 0))</f>
        <v>#N/A</v>
      </c>
      <c r="K99" s="2" t="str">
        <f ca="1">INDEX(リバース占い!BF:BF, MATCH($A99, リバース占い!$BA:$BA, 0))</f>
        <v>破</v>
      </c>
      <c r="L99" s="2" t="str">
        <f ca="1">INDEX(リバース占い!BG:BG, MATCH($A99, リバース占い!$BA:$BA, 0))</f>
        <v>準方位</v>
      </c>
      <c r="M99" s="2" t="str">
        <f ca="1">INDEX(リバース占い!BH:BH, MATCH($A99, リバース占い!$BA:$BA, 0))</f>
        <v>自刑</v>
      </c>
      <c r="N99" s="36" t="str">
        <f t="shared" ca="1" si="11"/>
        <v>フリーズ</v>
      </c>
      <c r="O99" s="36" t="str">
        <f t="shared" ca="1" si="11"/>
        <v>スクラム</v>
      </c>
      <c r="P99" s="36" t="str">
        <f t="shared" ca="1" si="11"/>
        <v>セルフバトル</v>
      </c>
      <c r="Q99" s="3" t="str">
        <f ca="1">INDEX(リバース占い!BI:BI, MATCH($A99, リバース占い!$BA:$BA, 0))</f>
        <v/>
      </c>
      <c r="R99" s="3" t="str">
        <f ca="1">INDEX(リバース占い!BJ:BJ, MATCH($A99, リバース占い!$BA:$BA, 0))</f>
        <v/>
      </c>
      <c r="S99" s="3" t="str">
        <f ca="1">INDEX(リバース占い!BK:BK, MATCH($A99, リバース占い!$BA:$BA, 0))</f>
        <v/>
      </c>
      <c r="T99" s="2" t="e">
        <f t="shared" ca="1" si="12"/>
        <v>#N/A</v>
      </c>
      <c r="U99" s="2" t="e">
        <f t="shared" ca="1" si="12"/>
        <v>#N/A</v>
      </c>
      <c r="V99" s="2" t="e">
        <f t="shared" ca="1" si="12"/>
        <v>#N/A</v>
      </c>
    </row>
    <row r="100" spans="1:22" ht="21">
      <c r="A100" s="45">
        <f t="shared" ca="1" si="13"/>
        <v>46214</v>
      </c>
      <c r="B100" s="40" t="str">
        <f ca="1">INDEX(リバース占い!BM:BM, MATCH(A100, リバース占い!BA:BA, 0))</f>
        <v>吉祥天</v>
      </c>
      <c r="C100" s="41" t="str">
        <f ca="1">INDEX(リバース占い!BN:BN, MATCH(A100, リバース占い!BA:BA, 0))</f>
        <v>まいた種が芽吹き、周囲の支援を受けて着実に育つ時期。</v>
      </c>
      <c r="D100" s="41" t="e">
        <f ca="1">INDEX(リバース占い!BO:BO, MATCH(C100, リバース占い!BC:BC, 0))</f>
        <v>#N/A</v>
      </c>
      <c r="E100" s="41" t="e">
        <f ca="1">INDEX(リバース占い!BP:BP, MATCH(D100, リバース占い!BD:BD, 0))</f>
        <v>#N/A</v>
      </c>
      <c r="F100" s="41" t="e">
        <f ca="1">INDEX(リバース占い!BQ:BQ, MATCH(E100, リバース占い!BE:BE, 0))</f>
        <v>#N/A</v>
      </c>
      <c r="G100" s="41" t="e">
        <f ca="1">INDEX(リバース占い!BR:BR, MATCH(F100, リバース占い!BF:BF, 0))</f>
        <v>#N/A</v>
      </c>
      <c r="H100" s="41" t="e">
        <f ca="1">INDEX(リバース占い!BS:BS, MATCH(G100, リバース占い!BG:BG, 0))</f>
        <v>#N/A</v>
      </c>
      <c r="I100" s="41" t="e">
        <f ca="1">INDEX(リバース占い!BT:BT, MATCH(H100, リバース占い!BH:BH, 0))</f>
        <v>#N/A</v>
      </c>
      <c r="J100" s="41" t="e">
        <f ca="1">INDEX(リバース占い!BU:BU, MATCH(I100, リバース占い!BL:BL, 0))</f>
        <v>#N/A</v>
      </c>
      <c r="K100" s="2" t="str">
        <f ca="1">INDEX(リバース占い!BF:BF, MATCH($A100, リバース占い!$BA:$BA, 0))</f>
        <v>－</v>
      </c>
      <c r="L100" s="2" t="str">
        <f ca="1">INDEX(リバース占い!BG:BG, MATCH($A100, リバース占い!$BA:$BA, 0))</f>
        <v>準方位</v>
      </c>
      <c r="M100" s="2" t="str">
        <f ca="1">INDEX(リバース占い!BH:BH, MATCH($A100, リバース占い!$BA:$BA, 0))</f>
        <v>害</v>
      </c>
      <c r="N100" s="36" t="str">
        <f t="shared" ca="1" si="11"/>
        <v>－</v>
      </c>
      <c r="O100" s="36" t="str">
        <f t="shared" ca="1" si="11"/>
        <v>スクラム</v>
      </c>
      <c r="P100" s="36" t="str">
        <f t="shared" ca="1" si="11"/>
        <v>ストレス</v>
      </c>
      <c r="Q100" s="3" t="str">
        <f ca="1">INDEX(リバース占い!BI:BI, MATCH($A100, リバース占い!$BA:$BA, 0))</f>
        <v/>
      </c>
      <c r="R100" s="3" t="str">
        <f ca="1">INDEX(リバース占い!BJ:BJ, MATCH($A100, リバース占い!$BA:$BA, 0))</f>
        <v/>
      </c>
      <c r="S100" s="3" t="str">
        <f ca="1">INDEX(リバース占い!BK:BK, MATCH($A100, リバース占い!$BA:$BA, 0))</f>
        <v>丙辛干合</v>
      </c>
      <c r="T100" s="2" t="e">
        <f t="shared" ca="1" si="12"/>
        <v>#N/A</v>
      </c>
      <c r="U100" s="2" t="e">
        <f t="shared" ca="1" si="12"/>
        <v>#N/A</v>
      </c>
      <c r="V100" s="2" t="str">
        <f t="shared" ca="1" si="12"/>
        <v>デレ化</v>
      </c>
    </row>
    <row r="101" spans="1:22" ht="21">
      <c r="A101" s="45">
        <f t="shared" ca="1" si="13"/>
        <v>46215</v>
      </c>
      <c r="B101" s="40" t="str">
        <f ca="1">INDEX(リバース占い!BM:BM, MATCH(A101, リバース占い!BA:BA, 0))</f>
        <v>弁財天</v>
      </c>
      <c r="C101" s="41" t="str">
        <f ca="1">INDEX(リバース占い!BN:BN, MATCH(A101, リバース占い!BA:BA, 0))</f>
        <v>才能がパッと花開き、今後の人生を左右する重要な決定を下す発展期。</v>
      </c>
      <c r="D101" s="41" t="e">
        <f ca="1">INDEX(リバース占い!BO:BO, MATCH(C101, リバース占い!BC:BC, 0))</f>
        <v>#N/A</v>
      </c>
      <c r="E101" s="41" t="e">
        <f ca="1">INDEX(リバース占い!BP:BP, MATCH(D101, リバース占い!BD:BD, 0))</f>
        <v>#N/A</v>
      </c>
      <c r="F101" s="41" t="e">
        <f ca="1">INDEX(リバース占い!BQ:BQ, MATCH(E101, リバース占い!BE:BE, 0))</f>
        <v>#N/A</v>
      </c>
      <c r="G101" s="41" t="e">
        <f ca="1">INDEX(リバース占い!BR:BR, MATCH(F101, リバース占い!BF:BF, 0))</f>
        <v>#N/A</v>
      </c>
      <c r="H101" s="41" t="e">
        <f ca="1">INDEX(リバース占い!BS:BS, MATCH(G101, リバース占い!BG:BG, 0))</f>
        <v>#N/A</v>
      </c>
      <c r="I101" s="41" t="e">
        <f ca="1">INDEX(リバース占い!BT:BT, MATCH(H101, リバース占い!BH:BH, 0))</f>
        <v>#N/A</v>
      </c>
      <c r="J101" s="41" t="e">
        <f ca="1">INDEX(リバース占い!BU:BU, MATCH(I101, リバース占い!BL:BL, 0))</f>
        <v>#N/A</v>
      </c>
      <c r="K101" s="2" t="str">
        <f ca="1">INDEX(リバース占い!BF:BF, MATCH($A101, リバース占い!$BA:$BA, 0))</f>
        <v>準方位</v>
      </c>
      <c r="L101" s="2" t="str">
        <f ca="1">INDEX(リバース占い!BG:BG, MATCH($A101, リバース占い!$BA:$BA, 0))</f>
        <v>害</v>
      </c>
      <c r="M101" s="2" t="str">
        <f ca="1">INDEX(リバース占い!BH:BH, MATCH($A101, リバース占い!$BA:$BA, 0))</f>
        <v>－</v>
      </c>
      <c r="N101" s="36" t="str">
        <f t="shared" ca="1" si="11"/>
        <v>スクラム</v>
      </c>
      <c r="O101" s="36" t="str">
        <f t="shared" ca="1" si="11"/>
        <v>ストレス</v>
      </c>
      <c r="P101" s="36" t="str">
        <f t="shared" ca="1" si="11"/>
        <v>－</v>
      </c>
      <c r="Q101" s="3" t="str">
        <f ca="1">INDEX(リバース占い!BI:BI, MATCH($A101, リバース占い!$BA:$BA, 0))</f>
        <v/>
      </c>
      <c r="R101" s="3" t="str">
        <f ca="1">INDEX(リバース占い!BJ:BJ, MATCH($A101, リバース占い!$BA:$BA, 0))</f>
        <v/>
      </c>
      <c r="S101" s="3" t="str">
        <f ca="1">INDEX(リバース占い!BK:BK, MATCH($A101, リバース占い!$BA:$BA, 0))</f>
        <v/>
      </c>
      <c r="T101" s="2" t="e">
        <f t="shared" ca="1" si="12"/>
        <v>#N/A</v>
      </c>
      <c r="U101" s="2" t="e">
        <f t="shared" ca="1" si="12"/>
        <v>#N/A</v>
      </c>
      <c r="V101" s="2" t="e">
        <f t="shared" ca="1" si="12"/>
        <v>#N/A</v>
      </c>
    </row>
    <row r="102" spans="1:22" ht="21">
      <c r="A102" s="45">
        <f t="shared" ca="1" si="13"/>
        <v>46216</v>
      </c>
      <c r="B102" s="40" t="str">
        <f ca="1">INDEX(リバース占い!BM:BM, MATCH(A102, リバース占い!BA:BA, 0))</f>
        <v>曇天</v>
      </c>
      <c r="C102" s="41" t="str">
        <f ca="1">INDEX(リバース占い!BN:BN, MATCH(A102, リバース占い!BA:BA, 0))</f>
        <v>運気の勢いに心身が追いつかない小休止。自己治癒の時期。</v>
      </c>
      <c r="D102" s="41" t="e">
        <f ca="1">INDEX(リバース占い!BO:BO, MATCH(C102, リバース占い!BC:BC, 0))</f>
        <v>#N/A</v>
      </c>
      <c r="E102" s="41" t="e">
        <f ca="1">INDEX(リバース占い!BP:BP, MATCH(D102, リバース占い!BD:BD, 0))</f>
        <v>#N/A</v>
      </c>
      <c r="F102" s="41" t="e">
        <f ca="1">INDEX(リバース占い!BQ:BQ, MATCH(E102, リバース占い!BE:BE, 0))</f>
        <v>#N/A</v>
      </c>
      <c r="G102" s="41" t="e">
        <f ca="1">INDEX(リバース占い!BR:BR, MATCH(F102, リバース占い!BF:BF, 0))</f>
        <v>#N/A</v>
      </c>
      <c r="H102" s="41" t="e">
        <f ca="1">INDEX(リバース占い!BS:BS, MATCH(G102, リバース占い!BG:BG, 0))</f>
        <v>#N/A</v>
      </c>
      <c r="I102" s="41" t="e">
        <f ca="1">INDEX(リバース占い!BT:BT, MATCH(H102, リバース占い!BH:BH, 0))</f>
        <v>#N/A</v>
      </c>
      <c r="J102" s="41" t="e">
        <f ca="1">INDEX(リバース占い!BU:BU, MATCH(I102, リバース占い!BL:BL, 0))</f>
        <v>#N/A</v>
      </c>
      <c r="K102" s="2" t="str">
        <f ca="1">INDEX(リバース占い!BF:BF, MATCH($A102, リバース占い!$BA:$BA, 0))</f>
        <v>律音</v>
      </c>
      <c r="L102" s="2" t="str">
        <f ca="1">INDEX(リバース占い!BG:BG, MATCH($A102, リバース占い!$BA:$BA, 0))</f>
        <v>半会</v>
      </c>
      <c r="M102" s="2" t="str">
        <f ca="1">INDEX(リバース占い!BH:BH, MATCH($A102, リバース占い!$BA:$BA, 0))</f>
        <v>破</v>
      </c>
      <c r="N102" s="36" t="str">
        <f t="shared" ca="1" si="11"/>
        <v>リスタート</v>
      </c>
      <c r="O102" s="36" t="str">
        <f t="shared" ca="1" si="11"/>
        <v>シナジー</v>
      </c>
      <c r="P102" s="36" t="str">
        <f t="shared" ca="1" si="11"/>
        <v>フリーズ</v>
      </c>
      <c r="Q102" s="3" t="str">
        <f ca="1">INDEX(リバース占い!BI:BI, MATCH($A102, リバース占い!$BA:$BA, 0))</f>
        <v/>
      </c>
      <c r="R102" s="3" t="str">
        <f ca="1">INDEX(リバース占い!BJ:BJ, MATCH($A102, リバース占い!$BA:$BA, 0))</f>
        <v/>
      </c>
      <c r="S102" s="3" t="str">
        <f ca="1">INDEX(リバース占い!BK:BK, MATCH($A102, リバース占い!$BA:$BA, 0))</f>
        <v/>
      </c>
      <c r="T102" s="2" t="e">
        <f t="shared" ca="1" si="12"/>
        <v>#N/A</v>
      </c>
      <c r="U102" s="2" t="e">
        <f t="shared" ca="1" si="12"/>
        <v>#N/A</v>
      </c>
      <c r="V102" s="2" t="e">
        <f t="shared" ca="1" si="12"/>
        <v>#N/A</v>
      </c>
    </row>
    <row r="103" spans="1:22" ht="21">
      <c r="A103" s="45">
        <f t="shared" ca="1" si="13"/>
        <v>46217</v>
      </c>
      <c r="B103" s="40" t="str">
        <f ca="1">INDEX(リバース占い!BM:BM, MATCH(A103, リバース占い!BA:BA, 0))</f>
        <v>韋駄天</v>
      </c>
      <c r="C103" s="41" t="str">
        <f ca="1">INDEX(リバース占い!BN:BN, MATCH(A103, リバース占い!BA:BA, 0))</f>
        <v>運気絶頂。これまでの努力が実を結び、最高のスポットライトを浴びる。</v>
      </c>
      <c r="D103" s="41" t="e">
        <f ca="1">INDEX(リバース占い!BO:BO, MATCH(C103, リバース占い!BC:BC, 0))</f>
        <v>#N/A</v>
      </c>
      <c r="E103" s="41" t="e">
        <f ca="1">INDEX(リバース占い!BP:BP, MATCH(D103, リバース占い!BD:BD, 0))</f>
        <v>#N/A</v>
      </c>
      <c r="F103" s="41" t="e">
        <f ca="1">INDEX(リバース占い!BQ:BQ, MATCH(E103, リバース占い!BE:BE, 0))</f>
        <v>#N/A</v>
      </c>
      <c r="G103" s="41" t="e">
        <f ca="1">INDEX(リバース占い!BR:BR, MATCH(F103, リバース占い!BF:BF, 0))</f>
        <v>#N/A</v>
      </c>
      <c r="H103" s="41" t="e">
        <f ca="1">INDEX(リバース占い!BS:BS, MATCH(G103, リバース占い!BG:BG, 0))</f>
        <v>#N/A</v>
      </c>
      <c r="I103" s="41" t="e">
        <f ca="1">INDEX(リバース占い!BT:BT, MATCH(H103, リバース占い!BH:BH, 0))</f>
        <v>#N/A</v>
      </c>
      <c r="J103" s="41" t="e">
        <f ca="1">INDEX(リバース占い!BU:BU, MATCH(I103, リバース占い!BL:BL, 0))</f>
        <v>#N/A</v>
      </c>
      <c r="K103" s="2" t="str">
        <f ca="1">INDEX(リバース占い!BF:BF, MATCH($A103, リバース占い!$BA:$BA, 0))</f>
        <v>支合</v>
      </c>
      <c r="L103" s="2" t="str">
        <f ca="1">INDEX(リバース占い!BG:BG, MATCH($A103, リバース占い!$BA:$BA, 0))</f>
        <v>－</v>
      </c>
      <c r="M103" s="2" t="str">
        <f ca="1">INDEX(リバース占い!BH:BH, MATCH($A103, リバース占い!$BA:$BA, 0))</f>
        <v>半会</v>
      </c>
      <c r="N103" s="36" t="str">
        <f t="shared" ca="1" si="11"/>
        <v>バランス</v>
      </c>
      <c r="O103" s="36" t="str">
        <f t="shared" ca="1" si="11"/>
        <v>－</v>
      </c>
      <c r="P103" s="36" t="str">
        <f t="shared" ca="1" si="11"/>
        <v>シナジー</v>
      </c>
      <c r="Q103" s="3" t="str">
        <f ca="1">INDEX(リバース占い!BI:BI, MATCH($A103, リバース占い!$BA:$BA, 0))</f>
        <v/>
      </c>
      <c r="R103" s="3" t="str">
        <f ca="1">INDEX(リバース占い!BJ:BJ, MATCH($A103, リバース占い!$BA:$BA, 0))</f>
        <v/>
      </c>
      <c r="S103" s="3" t="str">
        <f ca="1">INDEX(リバース占い!BK:BK, MATCH($A103, リバース占い!$BA:$BA, 0))</f>
        <v/>
      </c>
      <c r="T103" s="2" t="e">
        <f t="shared" ca="1" si="12"/>
        <v>#N/A</v>
      </c>
      <c r="U103" s="2" t="e">
        <f t="shared" ca="1" si="12"/>
        <v>#N/A</v>
      </c>
      <c r="V103" s="2" t="e">
        <f t="shared" ca="1" si="12"/>
        <v>#N/A</v>
      </c>
    </row>
    <row r="104" spans="1:22" ht="21">
      <c r="A104" s="45">
        <f t="shared" ca="1" si="13"/>
        <v>46218</v>
      </c>
      <c r="B104" s="40" t="str">
        <f ca="1">INDEX(リバース占い!BM:BM, MATCH(A104, リバース占い!BA:BA, 0))</f>
        <v>伏魔天</v>
      </c>
      <c r="C104" s="41" t="str">
        <f ca="1">INDEX(リバース占い!BN:BN, MATCH(A104, リバース占い!BA:BA, 0))</f>
        <v>強すぎる運気の反動で迷いや摩擦が生じる。理性と現状維持が必要な嵐。</v>
      </c>
      <c r="D104" s="41" t="e">
        <f ca="1">INDEX(リバース占い!BO:BO, MATCH(C104, リバース占い!BC:BC, 0))</f>
        <v>#N/A</v>
      </c>
      <c r="E104" s="41" t="e">
        <f ca="1">INDEX(リバース占い!BP:BP, MATCH(D104, リバース占い!BD:BD, 0))</f>
        <v>#N/A</v>
      </c>
      <c r="F104" s="41" t="e">
        <f ca="1">INDEX(リバース占い!BQ:BQ, MATCH(E104, リバース占い!BE:BE, 0))</f>
        <v>#N/A</v>
      </c>
      <c r="G104" s="41" t="e">
        <f ca="1">INDEX(リバース占い!BR:BR, MATCH(F104, リバース占い!BF:BF, 0))</f>
        <v>#N/A</v>
      </c>
      <c r="H104" s="41" t="e">
        <f ca="1">INDEX(リバース占い!BS:BS, MATCH(G104, リバース占い!BG:BG, 0))</f>
        <v>#N/A</v>
      </c>
      <c r="I104" s="41" t="e">
        <f ca="1">INDEX(リバース占い!BT:BT, MATCH(H104, リバース占い!BH:BH, 0))</f>
        <v>#N/A</v>
      </c>
      <c r="J104" s="41" t="e">
        <f ca="1">INDEX(リバース占い!BU:BU, MATCH(I104, リバース占い!BL:BL, 0))</f>
        <v>#N/A</v>
      </c>
      <c r="K104" s="2" t="str">
        <f ca="1">INDEX(リバース占い!BF:BF, MATCH($A104, リバース占い!$BA:$BA, 0))</f>
        <v>－</v>
      </c>
      <c r="L104" s="2" t="str">
        <f ca="1">INDEX(リバース占い!BG:BG, MATCH($A104, リバース占い!$BA:$BA, 0))</f>
        <v>天剋地冲</v>
      </c>
      <c r="M104" s="2" t="str">
        <f ca="1">INDEX(リバース占い!BH:BH, MATCH($A104, リバース占い!$BA:$BA, 0))</f>
        <v>－</v>
      </c>
      <c r="N104" s="36" t="str">
        <f t="shared" ca="1" si="11"/>
        <v>－</v>
      </c>
      <c r="O104" s="36" t="str">
        <f t="shared" ca="1" si="11"/>
        <v>ビックバン</v>
      </c>
      <c r="P104" s="36" t="str">
        <f t="shared" ca="1" si="11"/>
        <v>－</v>
      </c>
      <c r="Q104" s="3" t="str">
        <f ca="1">INDEX(リバース占い!BI:BI, MATCH($A104, リバース占い!$BA:$BA, 0))</f>
        <v/>
      </c>
      <c r="R104" s="3" t="str">
        <f ca="1">INDEX(リバース占い!BJ:BJ, MATCH($A104, リバース占い!$BA:$BA, 0))</f>
        <v/>
      </c>
      <c r="S104" s="3" t="str">
        <f ca="1">INDEX(リバース占い!BK:BK, MATCH($A104, リバース占い!$BA:$BA, 0))</f>
        <v/>
      </c>
      <c r="T104" s="2" t="e">
        <f t="shared" ca="1" si="12"/>
        <v>#N/A</v>
      </c>
      <c r="U104" s="2" t="e">
        <f t="shared" ca="1" si="12"/>
        <v>#N/A</v>
      </c>
      <c r="V104" s="2" t="e">
        <f t="shared" ca="1" si="12"/>
        <v>#N/A</v>
      </c>
    </row>
    <row r="105" spans="1:22" ht="21">
      <c r="A105" s="45">
        <f t="shared" ca="1" si="13"/>
        <v>46219</v>
      </c>
      <c r="B105" s="40" t="str">
        <f ca="1">INDEX(リバース占い!BM:BM, MATCH(A105, リバース占い!BA:BA, 0))</f>
        <v>有頂天</v>
      </c>
      <c r="C105" s="41" t="str">
        <f ca="1">INDEX(リバース占い!BN:BN, MATCH(A105, リバース占い!BA:BA, 0))</f>
        <v>第2の絶頂期。過去の縁が繋がり、周囲を巻き込み大きな成果を出す。</v>
      </c>
      <c r="D105" s="41" t="e">
        <f ca="1">INDEX(リバース占い!BO:BO, MATCH(C105, リバース占い!BC:BC, 0))</f>
        <v>#N/A</v>
      </c>
      <c r="E105" s="41" t="e">
        <f ca="1">INDEX(リバース占い!BP:BP, MATCH(D105, リバース占い!BD:BD, 0))</f>
        <v>#N/A</v>
      </c>
      <c r="F105" s="41" t="e">
        <f ca="1">INDEX(リバース占い!BQ:BQ, MATCH(E105, リバース占い!BE:BE, 0))</f>
        <v>#N/A</v>
      </c>
      <c r="G105" s="41" t="e">
        <f ca="1">INDEX(リバース占い!BR:BR, MATCH(F105, リバース占い!BF:BF, 0))</f>
        <v>#N/A</v>
      </c>
      <c r="H105" s="41" t="e">
        <f ca="1">INDEX(リバース占い!BS:BS, MATCH(G105, リバース占い!BG:BG, 0))</f>
        <v>#N/A</v>
      </c>
      <c r="I105" s="41" t="e">
        <f ca="1">INDEX(リバース占い!BT:BT, MATCH(H105, リバース占い!BH:BH, 0))</f>
        <v>#N/A</v>
      </c>
      <c r="J105" s="41" t="e">
        <f ca="1">INDEX(リバース占い!BU:BU, MATCH(I105, リバース占い!BL:BL, 0))</f>
        <v>#N/A</v>
      </c>
      <c r="K105" s="2" t="str">
        <f ca="1">INDEX(リバース占い!BF:BF, MATCH($A105, リバース占い!$BA:$BA, 0))</f>
        <v>刑</v>
      </c>
      <c r="L105" s="2" t="str">
        <f ca="1">INDEX(リバース占い!BG:BG, MATCH($A105, リバース占い!$BA:$BA, 0))</f>
        <v>－</v>
      </c>
      <c r="M105" s="2" t="str">
        <f ca="1">INDEX(リバース占い!BH:BH, MATCH($A105, リバース占い!$BA:$BA, 0))</f>
        <v>納音</v>
      </c>
      <c r="N105" s="36" t="str">
        <f t="shared" ca="1" si="11"/>
        <v>バトル</v>
      </c>
      <c r="O105" s="36" t="str">
        <f t="shared" ca="1" si="11"/>
        <v>－</v>
      </c>
      <c r="P105" s="36" t="str">
        <f t="shared" ca="1" si="11"/>
        <v>ブレーキ</v>
      </c>
      <c r="Q105" s="3" t="str">
        <f ca="1">INDEX(リバース占い!BI:BI, MATCH($A105, リバース占い!$BA:$BA, 0))</f>
        <v/>
      </c>
      <c r="R105" s="3" t="str">
        <f ca="1">INDEX(リバース占い!BJ:BJ, MATCH($A105, リバース占い!$BA:$BA, 0))</f>
        <v>丙辛干合</v>
      </c>
      <c r="S105" s="3" t="str">
        <f ca="1">INDEX(リバース占い!BK:BK, MATCH($A105, リバース占い!$BA:$BA, 0))</f>
        <v/>
      </c>
      <c r="T105" s="2" t="e">
        <f t="shared" ca="1" si="12"/>
        <v>#N/A</v>
      </c>
      <c r="U105" s="2" t="str">
        <f t="shared" ca="1" si="12"/>
        <v>デレ化</v>
      </c>
      <c r="V105" s="2" t="e">
        <f t="shared" ca="1" si="12"/>
        <v>#N/A</v>
      </c>
    </row>
    <row r="106" spans="1:22" ht="21">
      <c r="A106" s="45">
        <f t="shared" ca="1" si="13"/>
        <v>46220</v>
      </c>
      <c r="B106" s="40" t="str">
        <f ca="1">INDEX(リバース占い!BM:BM, MATCH(A106, リバース占い!BA:BA, 0))</f>
        <v>満天</v>
      </c>
      <c r="C106" s="41" t="str">
        <f ca="1">INDEX(リバース占い!BN:BN, MATCH(A106, リバース占い!BA:BA, 0))</f>
        <v>収穫の喜び。物質や人脈などあらゆる財を蓄積し、強固な基盤を作る。</v>
      </c>
      <c r="D106" s="41" t="e">
        <f ca="1">INDEX(リバース占い!BO:BO, MATCH(C106, リバース占い!BC:BC, 0))</f>
        <v>#N/A</v>
      </c>
      <c r="E106" s="41" t="e">
        <f ca="1">INDEX(リバース占い!BP:BP, MATCH(D106, リバース占い!BD:BD, 0))</f>
        <v>#N/A</v>
      </c>
      <c r="F106" s="41" t="e">
        <f ca="1">INDEX(リバース占い!BQ:BQ, MATCH(E106, リバース占い!BE:BE, 0))</f>
        <v>#N/A</v>
      </c>
      <c r="G106" s="41" t="e">
        <f ca="1">INDEX(リバース占い!BR:BR, MATCH(F106, リバース占い!BF:BF, 0))</f>
        <v>#N/A</v>
      </c>
      <c r="H106" s="41" t="e">
        <f ca="1">INDEX(リバース占い!BS:BS, MATCH(G106, リバース占い!BG:BG, 0))</f>
        <v>#N/A</v>
      </c>
      <c r="I106" s="41" t="e">
        <f ca="1">INDEX(リバース占い!BT:BT, MATCH(H106, リバース占い!BH:BH, 0))</f>
        <v>#N/A</v>
      </c>
      <c r="J106" s="41" t="e">
        <f ca="1">INDEX(リバース占い!BU:BU, MATCH(I106, リバース占い!BL:BL, 0))</f>
        <v>#N/A</v>
      </c>
      <c r="K106" s="2" t="str">
        <f ca="1">INDEX(リバース占い!BF:BF, MATCH($A106, リバース占い!$BA:$BA, 0))</f>
        <v>半会</v>
      </c>
      <c r="L106" s="2" t="str">
        <f ca="1">INDEX(リバース占い!BG:BG, MATCH($A106, リバース占い!$BA:$BA, 0))</f>
        <v>半会</v>
      </c>
      <c r="M106" s="2" t="str">
        <f ca="1">INDEX(リバース占い!BH:BH, MATCH($A106, リバース占い!$BA:$BA, 0))</f>
        <v>支合</v>
      </c>
      <c r="N106" s="36" t="str">
        <f t="shared" ca="1" si="11"/>
        <v>シナジー</v>
      </c>
      <c r="O106" s="36" t="str">
        <f t="shared" ca="1" si="11"/>
        <v>シナジー</v>
      </c>
      <c r="P106" s="36" t="str">
        <f t="shared" ca="1" si="11"/>
        <v>バランス</v>
      </c>
      <c r="Q106" s="3" t="str">
        <f ca="1">INDEX(リバース占い!BI:BI, MATCH($A106, リバース占い!$BA:$BA, 0))</f>
        <v/>
      </c>
      <c r="R106" s="3" t="str">
        <f ca="1">INDEX(リバース占い!BJ:BJ, MATCH($A106, リバース占い!$BA:$BA, 0))</f>
        <v/>
      </c>
      <c r="S106" s="3" t="str">
        <f ca="1">INDEX(リバース占い!BK:BK, MATCH($A106, リバース占い!$BA:$BA, 0))</f>
        <v/>
      </c>
      <c r="T106" s="2" t="e">
        <f t="shared" ca="1" si="12"/>
        <v>#N/A</v>
      </c>
      <c r="U106" s="2" t="e">
        <f t="shared" ca="1" si="12"/>
        <v>#N/A</v>
      </c>
      <c r="V106" s="2" t="e">
        <f t="shared" ca="1" si="12"/>
        <v>#N/A</v>
      </c>
    </row>
    <row r="107" spans="1:22" ht="21">
      <c r="A107" s="45">
        <f t="shared" ca="1" si="13"/>
        <v>46221</v>
      </c>
      <c r="B107" s="40" t="str">
        <f ca="1">INDEX(リバース占い!BM:BM, MATCH(A107, リバース占い!BA:BA, 0))</f>
        <v>静天</v>
      </c>
      <c r="C107" s="41" t="str">
        <f ca="1">INDEX(リバース占い!BN:BN, MATCH(A107, リバース占い!BA:BA, 0))</f>
        <v>成果が出揃う。精神的な安定と充実の中で平和に人生を俯瞰する時期。</v>
      </c>
      <c r="D107" s="41" t="e">
        <f ca="1">INDEX(リバース占い!BO:BO, MATCH(C107, リバース占い!BC:BC, 0))</f>
        <v>#N/A</v>
      </c>
      <c r="E107" s="41" t="e">
        <f ca="1">INDEX(リバース占い!BP:BP, MATCH(D107, リバース占い!BD:BD, 0))</f>
        <v>#N/A</v>
      </c>
      <c r="F107" s="41" t="e">
        <f ca="1">INDEX(リバース占い!BQ:BQ, MATCH(E107, リバース占い!BE:BE, 0))</f>
        <v>#N/A</v>
      </c>
      <c r="G107" s="41" t="e">
        <f ca="1">INDEX(リバース占い!BR:BR, MATCH(F107, リバース占い!BF:BF, 0))</f>
        <v>#N/A</v>
      </c>
      <c r="H107" s="41" t="e">
        <f ca="1">INDEX(リバース占い!BS:BS, MATCH(G107, リバース占い!BG:BG, 0))</f>
        <v>#N/A</v>
      </c>
      <c r="I107" s="41" t="e">
        <f ca="1">INDEX(リバース占い!BT:BT, MATCH(H107, リバース占い!BH:BH, 0))</f>
        <v>#N/A</v>
      </c>
      <c r="J107" s="41" t="e">
        <f ca="1">INDEX(リバース占い!BU:BU, MATCH(I107, リバース占い!BL:BL, 0))</f>
        <v>#N/A</v>
      </c>
      <c r="K107" s="2" t="str">
        <f ca="1">INDEX(リバース占い!BF:BF, MATCH($A107, リバース占い!$BA:$BA, 0))</f>
        <v>－</v>
      </c>
      <c r="L107" s="2" t="str">
        <f ca="1">INDEX(リバース占い!BG:BG, MATCH($A107, リバース占い!$BA:$BA, 0))</f>
        <v>支合</v>
      </c>
      <c r="M107" s="2" t="str">
        <f ca="1">INDEX(リバース占い!BH:BH, MATCH($A107, リバース占い!$BA:$BA, 0))</f>
        <v>半会</v>
      </c>
      <c r="N107" s="36" t="str">
        <f t="shared" ca="1" si="11"/>
        <v>－</v>
      </c>
      <c r="O107" s="36" t="str">
        <f t="shared" ca="1" si="11"/>
        <v>バランス</v>
      </c>
      <c r="P107" s="36" t="str">
        <f t="shared" ca="1" si="11"/>
        <v>シナジー</v>
      </c>
      <c r="Q107" s="3" t="str">
        <f ca="1">INDEX(リバース占い!BI:BI, MATCH($A107, リバース占い!$BA:$BA, 0))</f>
        <v>戊癸干合</v>
      </c>
      <c r="R107" s="3" t="str">
        <f ca="1">INDEX(リバース占い!BJ:BJ, MATCH($A107, リバース占い!$BA:$BA, 0))</f>
        <v/>
      </c>
      <c r="S107" s="3" t="str">
        <f ca="1">INDEX(リバース占い!BK:BK, MATCH($A107, リバース占い!$BA:$BA, 0))</f>
        <v/>
      </c>
      <c r="T107" s="2" t="str">
        <f t="shared" ca="1" si="12"/>
        <v>オトメ化</v>
      </c>
      <c r="U107" s="2" t="e">
        <f t="shared" ca="1" si="12"/>
        <v>#N/A</v>
      </c>
      <c r="V107" s="2" t="e">
        <f t="shared" ca="1" si="12"/>
        <v>#N/A</v>
      </c>
    </row>
    <row r="108" spans="1:22" ht="21">
      <c r="A108" s="45">
        <f t="shared" ca="1" si="13"/>
        <v>46222</v>
      </c>
      <c r="B108" s="40" t="str">
        <f ca="1">INDEX(リバース占い!BM:BM, MATCH(A108, リバース占い!BA:BA, 0))</f>
        <v>暗天</v>
      </c>
      <c r="C108" s="41" t="str">
        <f ca="1">INDEX(リバース占い!BN:BN, MATCH(A108, リバース占い!BA:BA, 0))</f>
        <v>運気下降（運の冬入り）。孤独を感じやすいが水面下の自己鍛錬が必要。</v>
      </c>
      <c r="D108" s="41" t="e">
        <f ca="1">INDEX(リバース占い!BO:BO, MATCH(C108, リバース占い!BC:BC, 0))</f>
        <v>#N/A</v>
      </c>
      <c r="E108" s="41" t="e">
        <f ca="1">INDEX(リバース占い!BP:BP, MATCH(D108, リバース占い!BD:BD, 0))</f>
        <v>#N/A</v>
      </c>
      <c r="F108" s="41" t="e">
        <f ca="1">INDEX(リバース占い!BQ:BQ, MATCH(E108, リバース占い!BE:BE, 0))</f>
        <v>#N/A</v>
      </c>
      <c r="G108" s="41" t="e">
        <f ca="1">INDEX(リバース占い!BR:BR, MATCH(F108, リバース占い!BF:BF, 0))</f>
        <v>#N/A</v>
      </c>
      <c r="H108" s="41" t="e">
        <f ca="1">INDEX(リバース占い!BS:BS, MATCH(G108, リバース占い!BG:BG, 0))</f>
        <v>#N/A</v>
      </c>
      <c r="I108" s="41" t="e">
        <f ca="1">INDEX(リバース占い!BT:BT, MATCH(H108, リバース占い!BH:BH, 0))</f>
        <v>#N/A</v>
      </c>
      <c r="J108" s="41" t="e">
        <f ca="1">INDEX(リバース占い!BU:BU, MATCH(I108, リバース占い!BL:BL, 0))</f>
        <v>#N/A</v>
      </c>
      <c r="K108" s="2" t="str">
        <f ca="1">INDEX(リバース占い!BF:BF, MATCH($A108, リバース占い!$BA:$BA, 0))</f>
        <v>天剋地冲</v>
      </c>
      <c r="L108" s="2" t="str">
        <f ca="1">INDEX(リバース占い!BG:BG, MATCH($A108, リバース占い!$BA:$BA, 0))</f>
        <v>－</v>
      </c>
      <c r="M108" s="2" t="str">
        <f ca="1">INDEX(リバース占い!BH:BH, MATCH($A108, リバース占い!$BA:$BA, 0))</f>
        <v>－</v>
      </c>
      <c r="N108" s="36" t="str">
        <f t="shared" ca="1" si="11"/>
        <v>ビックバン</v>
      </c>
      <c r="O108" s="36" t="str">
        <f t="shared" ca="1" si="11"/>
        <v>－</v>
      </c>
      <c r="P108" s="36" t="str">
        <f t="shared" ca="1" si="11"/>
        <v>－</v>
      </c>
      <c r="Q108" s="3" t="str">
        <f ca="1">INDEX(リバース占い!BI:BI, MATCH($A108, リバース占い!$BA:$BA, 0))</f>
        <v/>
      </c>
      <c r="R108" s="3" t="str">
        <f ca="1">INDEX(リバース占い!BJ:BJ, MATCH($A108, リバース占い!$BA:$BA, 0))</f>
        <v/>
      </c>
      <c r="S108" s="3" t="str">
        <f ca="1">INDEX(リバース占い!BK:BK, MATCH($A108, リバース占い!$BA:$BA, 0))</f>
        <v/>
      </c>
      <c r="T108" s="2" t="e">
        <f t="shared" ca="1" si="12"/>
        <v>#N/A</v>
      </c>
      <c r="U108" s="2" t="e">
        <f t="shared" ca="1" si="12"/>
        <v>#N/A</v>
      </c>
      <c r="V108" s="2" t="e">
        <f t="shared" ca="1" si="12"/>
        <v>#N/A</v>
      </c>
    </row>
    <row r="109" spans="1:22" ht="21">
      <c r="A109" s="45">
        <f t="shared" ca="1" si="13"/>
        <v>46223</v>
      </c>
      <c r="B109" s="40" t="str">
        <f ca="1">INDEX(リバース占い!BM:BM, MATCH(A109, リバース占い!BA:BA, 0))</f>
        <v>大曇天</v>
      </c>
      <c r="C109" s="41" t="str">
        <f ca="1">INDEX(リバース占い!BN:BN, MATCH(A109, リバース占い!BA:BA, 0))</f>
        <v>運命の停止（運の真冬時期）。古い価値観を手放す究極の浄化期間。</v>
      </c>
      <c r="D109" s="41" t="e">
        <f ca="1">INDEX(リバース占い!BO:BO, MATCH(C109, リバース占い!BC:BC, 0))</f>
        <v>#N/A</v>
      </c>
      <c r="E109" s="41" t="e">
        <f ca="1">INDEX(リバース占い!BP:BP, MATCH(D109, リバース占い!BD:BD, 0))</f>
        <v>#N/A</v>
      </c>
      <c r="F109" s="41" t="e">
        <f ca="1">INDEX(リバース占い!BQ:BQ, MATCH(E109, リバース占い!BE:BE, 0))</f>
        <v>#N/A</v>
      </c>
      <c r="G109" s="41" t="e">
        <f ca="1">INDEX(リバース占い!BR:BR, MATCH(F109, リバース占い!BF:BF, 0))</f>
        <v>#N/A</v>
      </c>
      <c r="H109" s="41" t="e">
        <f ca="1">INDEX(リバース占い!BS:BS, MATCH(G109, リバース占い!BG:BG, 0))</f>
        <v>#N/A</v>
      </c>
      <c r="I109" s="41" t="e">
        <f ca="1">INDEX(リバース占い!BT:BT, MATCH(H109, リバース占い!BH:BH, 0))</f>
        <v>#N/A</v>
      </c>
      <c r="J109" s="41" t="e">
        <f ca="1">INDEX(リバース占い!BU:BU, MATCH(I109, リバース占い!BL:BL, 0))</f>
        <v>#N/A</v>
      </c>
      <c r="K109" s="2" t="str">
        <f ca="1">INDEX(リバース占い!BF:BF, MATCH($A109, リバース占い!$BA:$BA, 0))</f>
        <v>害</v>
      </c>
      <c r="L109" s="2" t="str">
        <f ca="1">INDEX(リバース占い!BG:BG, MATCH($A109, リバース占い!$BA:$BA, 0))</f>
        <v>－</v>
      </c>
      <c r="M109" s="2" t="str">
        <f ca="1">INDEX(リバース占い!BH:BH, MATCH($A109, リバース占い!$BA:$BA, 0))</f>
        <v>－</v>
      </c>
      <c r="N109" s="36" t="str">
        <f t="shared" ca="1" si="11"/>
        <v>ストレス</v>
      </c>
      <c r="O109" s="36" t="str">
        <f t="shared" ca="1" si="11"/>
        <v>－</v>
      </c>
      <c r="P109" s="36" t="str">
        <f t="shared" ca="1" si="11"/>
        <v>－</v>
      </c>
      <c r="Q109" s="3" t="str">
        <f ca="1">INDEX(リバース占い!BI:BI, MATCH($A109, リバース占い!$BA:$BA, 0))</f>
        <v/>
      </c>
      <c r="R109" s="3" t="str">
        <f ca="1">INDEX(リバース占い!BJ:BJ, MATCH($A109, リバース占い!$BA:$BA, 0))</f>
        <v/>
      </c>
      <c r="S109" s="3" t="str">
        <f ca="1">INDEX(リバース占い!BK:BK, MATCH($A109, リバース占い!$BA:$BA, 0))</f>
        <v/>
      </c>
      <c r="T109" s="2" t="e">
        <f t="shared" ca="1" si="12"/>
        <v>#N/A</v>
      </c>
      <c r="U109" s="2" t="e">
        <f t="shared" ca="1" si="12"/>
        <v>#N/A</v>
      </c>
      <c r="V109" s="2" t="e">
        <f t="shared" ca="1" si="12"/>
        <v>#N/A</v>
      </c>
    </row>
    <row r="110" spans="1:22" ht="21">
      <c r="A110" s="45">
        <f t="shared" ca="1" si="13"/>
        <v>46224</v>
      </c>
      <c r="B110" s="40" t="str">
        <f ca="1">INDEX(リバース占い!BM:BM, MATCH(A110, リバース占い!BA:BA, 0))</f>
        <v>雨天</v>
      </c>
      <c r="C110" s="41" t="str">
        <f ca="1">INDEX(リバース占い!BN:BN, MATCH(A110, リバース占い!BA:BA, 0))</f>
        <v>カルマの精算。過去の執着をすべて洗い流し、次の春への準備を整える。</v>
      </c>
      <c r="D110" s="41" t="e">
        <f ca="1">INDEX(リバース占い!BO:BO, MATCH(C110, リバース占い!BC:BC, 0))</f>
        <v>#N/A</v>
      </c>
      <c r="E110" s="41" t="e">
        <f ca="1">INDEX(リバース占い!BP:BP, MATCH(D110, リバース占い!BD:BD, 0))</f>
        <v>#N/A</v>
      </c>
      <c r="F110" s="41" t="e">
        <f ca="1">INDEX(リバース占い!BQ:BQ, MATCH(E110, リバース占い!BE:BE, 0))</f>
        <v>#N/A</v>
      </c>
      <c r="G110" s="41" t="e">
        <f ca="1">INDEX(リバース占い!BR:BR, MATCH(F110, リバース占い!BF:BF, 0))</f>
        <v>#N/A</v>
      </c>
      <c r="H110" s="41" t="e">
        <f ca="1">INDEX(リバース占い!BS:BS, MATCH(G110, リバース占い!BG:BG, 0))</f>
        <v>#N/A</v>
      </c>
      <c r="I110" s="41" t="e">
        <f ca="1">INDEX(リバース占い!BT:BT, MATCH(H110, リバース占い!BH:BH, 0))</f>
        <v>#N/A</v>
      </c>
      <c r="J110" s="41" t="e">
        <f ca="1">INDEX(リバース占い!BU:BU, MATCH(I110, リバース占い!BL:BL, 0))</f>
        <v>#N/A</v>
      </c>
      <c r="K110" s="2" t="str">
        <f ca="1">INDEX(リバース占い!BF:BF, MATCH($A110, リバース占い!$BA:$BA, 0))</f>
        <v>半会</v>
      </c>
      <c r="L110" s="2" t="str">
        <f ca="1">INDEX(リバース占い!BG:BG, MATCH($A110, リバース占い!$BA:$BA, 0))</f>
        <v>律音</v>
      </c>
      <c r="M110" s="2" t="str">
        <f ca="1">INDEX(リバース占い!BH:BH, MATCH($A110, リバース占い!$BA:$BA, 0))</f>
        <v>準方位</v>
      </c>
      <c r="N110" s="36" t="str">
        <f t="shared" ca="1" si="11"/>
        <v>シナジー</v>
      </c>
      <c r="O110" s="36" t="str">
        <f t="shared" ca="1" si="11"/>
        <v>リスタート</v>
      </c>
      <c r="P110" s="36" t="str">
        <f t="shared" ca="1" si="11"/>
        <v>スクラム</v>
      </c>
      <c r="Q110" s="3" t="str">
        <f ca="1">INDEX(リバース占い!BI:BI, MATCH($A110, リバース占い!$BA:$BA, 0))</f>
        <v/>
      </c>
      <c r="R110" s="3" t="str">
        <f ca="1">INDEX(リバース占い!BJ:BJ, MATCH($A110, リバース占い!$BA:$BA, 0))</f>
        <v/>
      </c>
      <c r="S110" s="3" t="str">
        <f ca="1">INDEX(リバース占い!BK:BK, MATCH($A110, リバース占い!$BA:$BA, 0))</f>
        <v>丙辛干合</v>
      </c>
      <c r="T110" s="2" t="e">
        <f t="shared" ca="1" si="12"/>
        <v>#N/A</v>
      </c>
      <c r="U110" s="2" t="e">
        <f t="shared" ca="1" si="12"/>
        <v>#N/A</v>
      </c>
      <c r="V110" s="2" t="str">
        <f t="shared" ca="1" si="12"/>
        <v>デレ化</v>
      </c>
    </row>
    <row r="111" spans="1:22" ht="21">
      <c r="A111" s="45">
        <f t="shared" ca="1" si="13"/>
        <v>46225</v>
      </c>
      <c r="B111" s="40" t="str">
        <f ca="1">INDEX(リバース占い!BM:BM, MATCH(A111, リバース占い!BA:BA, 0))</f>
        <v>起天</v>
      </c>
      <c r="C111" s="41" t="str">
        <f ca="1">INDEX(リバース占い!BN:BN, MATCH(A111, リバース占い!BA:BA, 0))</f>
        <v>運命の幕開け。過去を断ち切り新しい種をまく開拓期。</v>
      </c>
      <c r="D111" s="41" t="e">
        <f ca="1">INDEX(リバース占い!BO:BO, MATCH(C111, リバース占い!BC:BC, 0))</f>
        <v>#N/A</v>
      </c>
      <c r="E111" s="41" t="e">
        <f ca="1">INDEX(リバース占い!BP:BP, MATCH(D111, リバース占い!BD:BD, 0))</f>
        <v>#N/A</v>
      </c>
      <c r="F111" s="41" t="e">
        <f ca="1">INDEX(リバース占い!BQ:BQ, MATCH(E111, リバース占い!BE:BE, 0))</f>
        <v>#N/A</v>
      </c>
      <c r="G111" s="41" t="e">
        <f ca="1">INDEX(リバース占い!BR:BR, MATCH(F111, リバース占い!BF:BF, 0))</f>
        <v>#N/A</v>
      </c>
      <c r="H111" s="41" t="e">
        <f ca="1">INDEX(リバース占い!BS:BS, MATCH(G111, リバース占い!BG:BG, 0))</f>
        <v>#N/A</v>
      </c>
      <c r="I111" s="41" t="e">
        <f ca="1">INDEX(リバース占い!BT:BT, MATCH(H111, リバース占い!BH:BH, 0))</f>
        <v>#N/A</v>
      </c>
      <c r="J111" s="41" t="e">
        <f ca="1">INDEX(リバース占い!BU:BU, MATCH(I111, リバース占い!BL:BL, 0))</f>
        <v>#N/A</v>
      </c>
      <c r="K111" s="2" t="str">
        <f ca="1">INDEX(リバース占い!BF:BF, MATCH($A111, リバース占い!$BA:$BA, 0))</f>
        <v>破</v>
      </c>
      <c r="L111" s="2" t="str">
        <f ca="1">INDEX(リバース占い!BG:BG, MATCH($A111, リバース占い!$BA:$BA, 0))</f>
        <v>準方位</v>
      </c>
      <c r="M111" s="2" t="str">
        <f ca="1">INDEX(リバース占い!BH:BH, MATCH($A111, リバース占い!$BA:$BA, 0))</f>
        <v>自刑</v>
      </c>
      <c r="N111" s="36" t="str">
        <f t="shared" ca="1" si="11"/>
        <v>フリーズ</v>
      </c>
      <c r="O111" s="36" t="str">
        <f t="shared" ca="1" si="11"/>
        <v>スクラム</v>
      </c>
      <c r="P111" s="36" t="str">
        <f t="shared" ca="1" si="11"/>
        <v>セルフバトル</v>
      </c>
      <c r="Q111" s="3" t="str">
        <f ca="1">INDEX(リバース占い!BI:BI, MATCH($A111, リバース占い!$BA:$BA, 0))</f>
        <v/>
      </c>
      <c r="R111" s="3" t="str">
        <f ca="1">INDEX(リバース占い!BJ:BJ, MATCH($A111, リバース占い!$BA:$BA, 0))</f>
        <v/>
      </c>
      <c r="S111" s="3" t="str">
        <f ca="1">INDEX(リバース占い!BK:BK, MATCH($A111, リバース占い!$BA:$BA, 0))</f>
        <v/>
      </c>
      <c r="T111" s="2" t="e">
        <f t="shared" ca="1" si="12"/>
        <v>#N/A</v>
      </c>
      <c r="U111" s="2" t="e">
        <f t="shared" ca="1" si="12"/>
        <v>#N/A</v>
      </c>
      <c r="V111" s="2" t="e">
        <f t="shared" ca="1" si="12"/>
        <v>#N/A</v>
      </c>
    </row>
    <row r="112" spans="1:22" ht="21">
      <c r="A112" s="45">
        <f t="shared" ca="1" si="13"/>
        <v>46226</v>
      </c>
      <c r="B112" s="40" t="str">
        <f ca="1">INDEX(リバース占い!BM:BM, MATCH(A112, リバース占い!BA:BA, 0))</f>
        <v>吉祥天</v>
      </c>
      <c r="C112" s="41" t="str">
        <f ca="1">INDEX(リバース占い!BN:BN, MATCH(A112, リバース占い!BA:BA, 0))</f>
        <v>まいた種が芽吹き、周囲の支援を受けて着実に育つ時期。</v>
      </c>
      <c r="D112" s="41" t="e">
        <f ca="1">INDEX(リバース占い!BO:BO, MATCH(C112, リバース占い!BC:BC, 0))</f>
        <v>#N/A</v>
      </c>
      <c r="E112" s="41" t="e">
        <f ca="1">INDEX(リバース占い!BP:BP, MATCH(D112, リバース占い!BD:BD, 0))</f>
        <v>#N/A</v>
      </c>
      <c r="F112" s="41" t="e">
        <f ca="1">INDEX(リバース占い!BQ:BQ, MATCH(E112, リバース占い!BE:BE, 0))</f>
        <v>#N/A</v>
      </c>
      <c r="G112" s="41" t="e">
        <f ca="1">INDEX(リバース占い!BR:BR, MATCH(F112, リバース占い!BF:BF, 0))</f>
        <v>#N/A</v>
      </c>
      <c r="H112" s="41" t="e">
        <f ca="1">INDEX(リバース占い!BS:BS, MATCH(G112, リバース占い!BG:BG, 0))</f>
        <v>#N/A</v>
      </c>
      <c r="I112" s="41" t="e">
        <f ca="1">INDEX(リバース占い!BT:BT, MATCH(H112, リバース占い!BH:BH, 0))</f>
        <v>#N/A</v>
      </c>
      <c r="J112" s="41" t="e">
        <f ca="1">INDEX(リバース占い!BU:BU, MATCH(I112, リバース占い!BL:BL, 0))</f>
        <v>#N/A</v>
      </c>
      <c r="K112" s="2" t="str">
        <f ca="1">INDEX(リバース占い!BF:BF, MATCH($A112, リバース占い!$BA:$BA, 0))</f>
        <v>－</v>
      </c>
      <c r="L112" s="2" t="str">
        <f ca="1">INDEX(リバース占い!BG:BG, MATCH($A112, リバース占い!$BA:$BA, 0))</f>
        <v>準方位</v>
      </c>
      <c r="M112" s="2" t="str">
        <f ca="1">INDEX(リバース占い!BH:BH, MATCH($A112, リバース占い!$BA:$BA, 0))</f>
        <v>害</v>
      </c>
      <c r="N112" s="36" t="str">
        <f t="shared" ca="1" si="11"/>
        <v>－</v>
      </c>
      <c r="O112" s="36" t="str">
        <f t="shared" ca="1" si="11"/>
        <v>スクラム</v>
      </c>
      <c r="P112" s="36" t="str">
        <f t="shared" ca="1" si="11"/>
        <v>ストレス</v>
      </c>
      <c r="Q112" s="3" t="str">
        <f ca="1">INDEX(リバース占い!BI:BI, MATCH($A112, リバース占い!$BA:$BA, 0))</f>
        <v/>
      </c>
      <c r="R112" s="3" t="str">
        <f ca="1">INDEX(リバース占い!BJ:BJ, MATCH($A112, リバース占い!$BA:$BA, 0))</f>
        <v/>
      </c>
      <c r="S112" s="3" t="str">
        <f ca="1">INDEX(リバース占い!BK:BK, MATCH($A112, リバース占い!$BA:$BA, 0))</f>
        <v/>
      </c>
      <c r="T112" s="2" t="e">
        <f t="shared" ca="1" si="12"/>
        <v>#N/A</v>
      </c>
      <c r="U112" s="2" t="e">
        <f t="shared" ca="1" si="12"/>
        <v>#N/A</v>
      </c>
      <c r="V112" s="2" t="e">
        <f t="shared" ca="1" si="12"/>
        <v>#N/A</v>
      </c>
    </row>
    <row r="113" spans="1:22" ht="21">
      <c r="A113" s="45">
        <f t="shared" ca="1" si="13"/>
        <v>46227</v>
      </c>
      <c r="B113" s="40" t="str">
        <f ca="1">INDEX(リバース占い!BM:BM, MATCH(A113, リバース占い!BA:BA, 0))</f>
        <v>弁財天</v>
      </c>
      <c r="C113" s="41" t="str">
        <f ca="1">INDEX(リバース占い!BN:BN, MATCH(A113, リバース占い!BA:BA, 0))</f>
        <v>才能がパッと花開き、今後の人生を左右する重要な決定を下す発展期。</v>
      </c>
      <c r="D113" s="41" t="e">
        <f ca="1">INDEX(リバース占い!BO:BO, MATCH(C113, リバース占い!BC:BC, 0))</f>
        <v>#N/A</v>
      </c>
      <c r="E113" s="41" t="e">
        <f ca="1">INDEX(リバース占い!BP:BP, MATCH(D113, リバース占い!BD:BD, 0))</f>
        <v>#N/A</v>
      </c>
      <c r="F113" s="41" t="e">
        <f ca="1">INDEX(リバース占い!BQ:BQ, MATCH(E113, リバース占い!BE:BE, 0))</f>
        <v>#N/A</v>
      </c>
      <c r="G113" s="41" t="e">
        <f ca="1">INDEX(リバース占い!BR:BR, MATCH(F113, リバース占い!BF:BF, 0))</f>
        <v>#N/A</v>
      </c>
      <c r="H113" s="41" t="e">
        <f ca="1">INDEX(リバース占い!BS:BS, MATCH(G113, リバース占い!BG:BG, 0))</f>
        <v>#N/A</v>
      </c>
      <c r="I113" s="41" t="e">
        <f ca="1">INDEX(リバース占い!BT:BT, MATCH(H113, リバース占い!BH:BH, 0))</f>
        <v>#N/A</v>
      </c>
      <c r="J113" s="41" t="e">
        <f ca="1">INDEX(リバース占い!BU:BU, MATCH(I113, リバース占い!BL:BL, 0))</f>
        <v>#N/A</v>
      </c>
      <c r="K113" s="2" t="str">
        <f ca="1">INDEX(リバース占い!BF:BF, MATCH($A113, リバース占い!$BA:$BA, 0))</f>
        <v>準方位</v>
      </c>
      <c r="L113" s="2" t="str">
        <f ca="1">INDEX(リバース占い!BG:BG, MATCH($A113, リバース占い!$BA:$BA, 0))</f>
        <v>害</v>
      </c>
      <c r="M113" s="2" t="str">
        <f ca="1">INDEX(リバース占い!BH:BH, MATCH($A113, リバース占い!$BA:$BA, 0))</f>
        <v>－</v>
      </c>
      <c r="N113" s="36" t="str">
        <f t="shared" ca="1" si="11"/>
        <v>スクラム</v>
      </c>
      <c r="O113" s="36" t="str">
        <f t="shared" ca="1" si="11"/>
        <v>ストレス</v>
      </c>
      <c r="P113" s="36" t="str">
        <f t="shared" ca="1" si="11"/>
        <v>－</v>
      </c>
      <c r="Q113" s="3" t="str">
        <f ca="1">INDEX(リバース占い!BI:BI, MATCH($A113, リバース占い!$BA:$BA, 0))</f>
        <v/>
      </c>
      <c r="R113" s="3" t="str">
        <f ca="1">INDEX(リバース占い!BJ:BJ, MATCH($A113, リバース占い!$BA:$BA, 0))</f>
        <v/>
      </c>
      <c r="S113" s="3" t="str">
        <f ca="1">INDEX(リバース占い!BK:BK, MATCH($A113, リバース占い!$BA:$BA, 0))</f>
        <v/>
      </c>
      <c r="T113" s="2" t="e">
        <f t="shared" ca="1" si="12"/>
        <v>#N/A</v>
      </c>
      <c r="U113" s="2" t="e">
        <f t="shared" ca="1" si="12"/>
        <v>#N/A</v>
      </c>
      <c r="V113" s="2" t="e">
        <f t="shared" ca="1" si="12"/>
        <v>#N/A</v>
      </c>
    </row>
    <row r="114" spans="1:22" ht="21">
      <c r="A114" s="45">
        <f t="shared" ca="1" si="13"/>
        <v>46228</v>
      </c>
      <c r="B114" s="40" t="str">
        <f ca="1">INDEX(リバース占い!BM:BM, MATCH(A114, リバース占い!BA:BA, 0))</f>
        <v>曇天</v>
      </c>
      <c r="C114" s="41" t="str">
        <f ca="1">INDEX(リバース占い!BN:BN, MATCH(A114, リバース占い!BA:BA, 0))</f>
        <v>運気の勢いに心身が追いつかない小休止。自己治癒の時期。</v>
      </c>
      <c r="D114" s="41" t="e">
        <f ca="1">INDEX(リバース占い!BO:BO, MATCH(C114, リバース占い!BC:BC, 0))</f>
        <v>#N/A</v>
      </c>
      <c r="E114" s="41" t="e">
        <f ca="1">INDEX(リバース占い!BP:BP, MATCH(D114, リバース占い!BD:BD, 0))</f>
        <v>#N/A</v>
      </c>
      <c r="F114" s="41" t="e">
        <f ca="1">INDEX(リバース占い!BQ:BQ, MATCH(E114, リバース占い!BE:BE, 0))</f>
        <v>#N/A</v>
      </c>
      <c r="G114" s="41" t="e">
        <f ca="1">INDEX(リバース占い!BR:BR, MATCH(F114, リバース占い!BF:BF, 0))</f>
        <v>#N/A</v>
      </c>
      <c r="H114" s="41" t="e">
        <f ca="1">INDEX(リバース占い!BS:BS, MATCH(G114, リバース占い!BG:BG, 0))</f>
        <v>#N/A</v>
      </c>
      <c r="I114" s="41" t="e">
        <f ca="1">INDEX(リバース占い!BT:BT, MATCH(H114, リバース占い!BH:BH, 0))</f>
        <v>#N/A</v>
      </c>
      <c r="J114" s="41" t="e">
        <f ca="1">INDEX(リバース占い!BU:BU, MATCH(I114, リバース占い!BL:BL, 0))</f>
        <v>#N/A</v>
      </c>
      <c r="K114" s="2" t="str">
        <f ca="1">INDEX(リバース占い!BF:BF, MATCH($A114, リバース占い!$BA:$BA, 0))</f>
        <v>同</v>
      </c>
      <c r="L114" s="2" t="str">
        <f ca="1">INDEX(リバース占い!BG:BG, MATCH($A114, リバース占い!$BA:$BA, 0))</f>
        <v>半会</v>
      </c>
      <c r="M114" s="2" t="str">
        <f ca="1">INDEX(リバース占い!BH:BH, MATCH($A114, リバース占い!$BA:$BA, 0))</f>
        <v>破</v>
      </c>
      <c r="N114" s="36" t="str">
        <f t="shared" ca="1" si="11"/>
        <v>ブースト</v>
      </c>
      <c r="O114" s="36" t="str">
        <f t="shared" ca="1" si="11"/>
        <v>シナジー</v>
      </c>
      <c r="P114" s="36" t="str">
        <f t="shared" ca="1" si="11"/>
        <v>フリーズ</v>
      </c>
      <c r="Q114" s="3" t="str">
        <f ca="1">INDEX(リバース占い!BI:BI, MATCH($A114, リバース占い!$BA:$BA, 0))</f>
        <v/>
      </c>
      <c r="R114" s="3" t="str">
        <f ca="1">INDEX(リバース占い!BJ:BJ, MATCH($A114, リバース占い!$BA:$BA, 0))</f>
        <v/>
      </c>
      <c r="S114" s="3" t="str">
        <f ca="1">INDEX(リバース占い!BK:BK, MATCH($A114, リバース占い!$BA:$BA, 0))</f>
        <v/>
      </c>
      <c r="T114" s="2" t="e">
        <f t="shared" ca="1" si="12"/>
        <v>#N/A</v>
      </c>
      <c r="U114" s="2" t="e">
        <f t="shared" ca="1" si="12"/>
        <v>#N/A</v>
      </c>
      <c r="V114" s="2" t="e">
        <f t="shared" ca="1" si="12"/>
        <v>#N/A</v>
      </c>
    </row>
    <row r="115" spans="1:22" ht="21">
      <c r="A115" s="45">
        <f t="shared" ca="1" si="13"/>
        <v>46229</v>
      </c>
      <c r="B115" s="40" t="str">
        <f ca="1">INDEX(リバース占い!BM:BM, MATCH(A115, リバース占い!BA:BA, 0))</f>
        <v>韋駄天</v>
      </c>
      <c r="C115" s="41" t="str">
        <f ca="1">INDEX(リバース占い!BN:BN, MATCH(A115, リバース占い!BA:BA, 0))</f>
        <v>運気絶頂。これまでの努力が実を結び、最高のスポットライトを浴びる。</v>
      </c>
      <c r="D115" s="41" t="e">
        <f ca="1">INDEX(リバース占い!BO:BO, MATCH(C115, リバース占い!BC:BC, 0))</f>
        <v>#N/A</v>
      </c>
      <c r="E115" s="41" t="e">
        <f ca="1">INDEX(リバース占い!BP:BP, MATCH(D115, リバース占い!BD:BD, 0))</f>
        <v>#N/A</v>
      </c>
      <c r="F115" s="41" t="e">
        <f ca="1">INDEX(リバース占い!BQ:BQ, MATCH(E115, リバース占い!BE:BE, 0))</f>
        <v>#N/A</v>
      </c>
      <c r="G115" s="41" t="e">
        <f ca="1">INDEX(リバース占い!BR:BR, MATCH(F115, リバース占い!BF:BF, 0))</f>
        <v>#N/A</v>
      </c>
      <c r="H115" s="41" t="e">
        <f ca="1">INDEX(リバース占い!BS:BS, MATCH(G115, リバース占い!BG:BG, 0))</f>
        <v>#N/A</v>
      </c>
      <c r="I115" s="41" t="e">
        <f ca="1">INDEX(リバース占い!BT:BT, MATCH(H115, リバース占い!BH:BH, 0))</f>
        <v>#N/A</v>
      </c>
      <c r="J115" s="41" t="e">
        <f ca="1">INDEX(リバース占い!BU:BU, MATCH(I115, リバース占い!BL:BL, 0))</f>
        <v>#N/A</v>
      </c>
      <c r="K115" s="2" t="str">
        <f ca="1">INDEX(リバース占い!BF:BF, MATCH($A115, リバース占い!$BA:$BA, 0))</f>
        <v>支合</v>
      </c>
      <c r="L115" s="2" t="str">
        <f ca="1">INDEX(リバース占い!BG:BG, MATCH($A115, リバース占い!$BA:$BA, 0))</f>
        <v>－</v>
      </c>
      <c r="M115" s="2" t="str">
        <f ca="1">INDEX(リバース占い!BH:BH, MATCH($A115, リバース占い!$BA:$BA, 0))</f>
        <v>大半会</v>
      </c>
      <c r="N115" s="36" t="str">
        <f t="shared" ca="1" si="11"/>
        <v>バランス</v>
      </c>
      <c r="O115" s="36" t="str">
        <f t="shared" ca="1" si="11"/>
        <v>－</v>
      </c>
      <c r="P115" s="36" t="str">
        <f t="shared" ca="1" si="11"/>
        <v>フィーバー</v>
      </c>
      <c r="Q115" s="3" t="str">
        <f ca="1">INDEX(リバース占い!BI:BI, MATCH($A115, リバース占い!$BA:$BA, 0))</f>
        <v/>
      </c>
      <c r="R115" s="3" t="str">
        <f ca="1">INDEX(リバース占い!BJ:BJ, MATCH($A115, リバース占い!$BA:$BA, 0))</f>
        <v>丙辛干合</v>
      </c>
      <c r="S115" s="3" t="str">
        <f ca="1">INDEX(リバース占い!BK:BK, MATCH($A115, リバース占い!$BA:$BA, 0))</f>
        <v/>
      </c>
      <c r="T115" s="2" t="e">
        <f t="shared" ca="1" si="12"/>
        <v>#N/A</v>
      </c>
      <c r="U115" s="2" t="str">
        <f t="shared" ca="1" si="12"/>
        <v>デレ化</v>
      </c>
      <c r="V115" s="2" t="e">
        <f t="shared" ca="1" si="12"/>
        <v>#N/A</v>
      </c>
    </row>
    <row r="116" spans="1:22" ht="21">
      <c r="A116" s="45">
        <f t="shared" ca="1" si="13"/>
        <v>46230</v>
      </c>
      <c r="B116" s="40" t="str">
        <f ca="1">INDEX(リバース占い!BM:BM, MATCH(A116, リバース占い!BA:BA, 0))</f>
        <v>伏魔天</v>
      </c>
      <c r="C116" s="41" t="str">
        <f ca="1">INDEX(リバース占い!BN:BN, MATCH(A116, リバース占い!BA:BA, 0))</f>
        <v>強すぎる運気の反動で迷いや摩擦が生じる。理性と現状維持が必要な嵐。</v>
      </c>
      <c r="D116" s="41" t="e">
        <f ca="1">INDEX(リバース占い!BO:BO, MATCH(C116, リバース占い!BC:BC, 0))</f>
        <v>#N/A</v>
      </c>
      <c r="E116" s="41" t="e">
        <f ca="1">INDEX(リバース占い!BP:BP, MATCH(D116, リバース占い!BD:BD, 0))</f>
        <v>#N/A</v>
      </c>
      <c r="F116" s="41" t="e">
        <f ca="1">INDEX(リバース占い!BQ:BQ, MATCH(E116, リバース占い!BE:BE, 0))</f>
        <v>#N/A</v>
      </c>
      <c r="G116" s="41" t="e">
        <f ca="1">INDEX(リバース占い!BR:BR, MATCH(F116, リバース占い!BF:BF, 0))</f>
        <v>#N/A</v>
      </c>
      <c r="H116" s="41" t="e">
        <f ca="1">INDEX(リバース占い!BS:BS, MATCH(G116, リバース占い!BG:BG, 0))</f>
        <v>#N/A</v>
      </c>
      <c r="I116" s="41" t="e">
        <f ca="1">INDEX(リバース占い!BT:BT, MATCH(H116, リバース占い!BH:BH, 0))</f>
        <v>#N/A</v>
      </c>
      <c r="J116" s="41" t="e">
        <f ca="1">INDEX(リバース占い!BU:BU, MATCH(I116, リバース占い!BL:BL, 0))</f>
        <v>#N/A</v>
      </c>
      <c r="K116" s="2" t="str">
        <f ca="1">INDEX(リバース占い!BF:BF, MATCH($A116, リバース占い!$BA:$BA, 0))</f>
        <v>－</v>
      </c>
      <c r="L116" s="2" t="str">
        <f ca="1">INDEX(リバース占い!BG:BG, MATCH($A116, リバース占い!$BA:$BA, 0))</f>
        <v>天剋地冲</v>
      </c>
      <c r="M116" s="2" t="str">
        <f ca="1">INDEX(リバース占い!BH:BH, MATCH($A116, リバース占い!$BA:$BA, 0))</f>
        <v>－</v>
      </c>
      <c r="N116" s="36" t="str">
        <f t="shared" ca="1" si="11"/>
        <v>－</v>
      </c>
      <c r="O116" s="36" t="str">
        <f t="shared" ca="1" si="11"/>
        <v>ビックバン</v>
      </c>
      <c r="P116" s="36" t="str">
        <f t="shared" ca="1" si="11"/>
        <v>－</v>
      </c>
      <c r="Q116" s="3" t="str">
        <f ca="1">INDEX(リバース占い!BI:BI, MATCH($A116, リバース占い!$BA:$BA, 0))</f>
        <v/>
      </c>
      <c r="R116" s="3" t="str">
        <f ca="1">INDEX(リバース占い!BJ:BJ, MATCH($A116, リバース占い!$BA:$BA, 0))</f>
        <v/>
      </c>
      <c r="S116" s="3" t="str">
        <f ca="1">INDEX(リバース占い!BK:BK, MATCH($A116, リバース占い!$BA:$BA, 0))</f>
        <v/>
      </c>
      <c r="T116" s="2" t="e">
        <f t="shared" ca="1" si="12"/>
        <v>#N/A</v>
      </c>
      <c r="U116" s="2" t="e">
        <f t="shared" ca="1" si="12"/>
        <v>#N/A</v>
      </c>
      <c r="V116" s="2" t="e">
        <f t="shared" ca="1" si="12"/>
        <v>#N/A</v>
      </c>
    </row>
    <row r="117" spans="1:22" ht="21">
      <c r="A117" s="45">
        <f t="shared" ca="1" si="13"/>
        <v>46231</v>
      </c>
      <c r="B117" s="40" t="str">
        <f ca="1">INDEX(リバース占い!BM:BM, MATCH(A117, リバース占い!BA:BA, 0))</f>
        <v>有頂天</v>
      </c>
      <c r="C117" s="41" t="str">
        <f ca="1">INDEX(リバース占い!BN:BN, MATCH(A117, リバース占い!BA:BA, 0))</f>
        <v>第2の絶頂期。過去の縁が繋がり、周囲を巻き込み大きな成果を出す。</v>
      </c>
      <c r="D117" s="41" t="e">
        <f ca="1">INDEX(リバース占い!BO:BO, MATCH(C117, リバース占い!BC:BC, 0))</f>
        <v>#N/A</v>
      </c>
      <c r="E117" s="41" t="e">
        <f ca="1">INDEX(リバース占い!BP:BP, MATCH(D117, リバース占い!BD:BD, 0))</f>
        <v>#N/A</v>
      </c>
      <c r="F117" s="41" t="e">
        <f ca="1">INDEX(リバース占い!BQ:BQ, MATCH(E117, リバース占い!BE:BE, 0))</f>
        <v>#N/A</v>
      </c>
      <c r="G117" s="41" t="e">
        <f ca="1">INDEX(リバース占い!BR:BR, MATCH(F117, リバース占い!BF:BF, 0))</f>
        <v>#N/A</v>
      </c>
      <c r="H117" s="41" t="e">
        <f ca="1">INDEX(リバース占い!BS:BS, MATCH(G117, リバース占い!BG:BG, 0))</f>
        <v>#N/A</v>
      </c>
      <c r="I117" s="41" t="e">
        <f ca="1">INDEX(リバース占い!BT:BT, MATCH(H117, リバース占い!BH:BH, 0))</f>
        <v>#N/A</v>
      </c>
      <c r="J117" s="41" t="e">
        <f ca="1">INDEX(リバース占い!BU:BU, MATCH(I117, リバース占い!BL:BL, 0))</f>
        <v>#N/A</v>
      </c>
      <c r="K117" s="2" t="str">
        <f ca="1">INDEX(リバース占い!BF:BF, MATCH($A117, リバース占い!$BA:$BA, 0))</f>
        <v>刑</v>
      </c>
      <c r="L117" s="2" t="str">
        <f ca="1">INDEX(リバース占い!BG:BG, MATCH($A117, リバース占い!$BA:$BA, 0))</f>
        <v>－</v>
      </c>
      <c r="M117" s="2" t="str">
        <f ca="1">INDEX(リバース占い!BH:BH, MATCH($A117, リバース占い!$BA:$BA, 0))</f>
        <v>対冲</v>
      </c>
      <c r="N117" s="36" t="str">
        <f t="shared" ca="1" si="11"/>
        <v>バトル</v>
      </c>
      <c r="O117" s="36" t="str">
        <f t="shared" ca="1" si="11"/>
        <v>－</v>
      </c>
      <c r="P117" s="36" t="str">
        <f t="shared" ca="1" si="11"/>
        <v>クラッシュ</v>
      </c>
      <c r="Q117" s="3" t="str">
        <f ca="1">INDEX(リバース占い!BI:BI, MATCH($A117, リバース占い!$BA:$BA, 0))</f>
        <v>戊癸干合</v>
      </c>
      <c r="R117" s="3" t="str">
        <f ca="1">INDEX(リバース占い!BJ:BJ, MATCH($A117, リバース占い!$BA:$BA, 0))</f>
        <v/>
      </c>
      <c r="S117" s="3" t="str">
        <f ca="1">INDEX(リバース占い!BK:BK, MATCH($A117, リバース占い!$BA:$BA, 0))</f>
        <v/>
      </c>
      <c r="T117" s="2" t="str">
        <f t="shared" ca="1" si="12"/>
        <v>オトメ化</v>
      </c>
      <c r="U117" s="2" t="e">
        <f t="shared" ca="1" si="12"/>
        <v>#N/A</v>
      </c>
      <c r="V117" s="2" t="e">
        <f t="shared" ca="1" si="12"/>
        <v>#N/A</v>
      </c>
    </row>
    <row r="118" spans="1:22" ht="21">
      <c r="A118" s="45">
        <f t="shared" ca="1" si="13"/>
        <v>46232</v>
      </c>
      <c r="B118" s="40" t="str">
        <f ca="1">INDEX(リバース占い!BM:BM, MATCH(A118, リバース占い!BA:BA, 0))</f>
        <v>満天</v>
      </c>
      <c r="C118" s="41" t="str">
        <f ca="1">INDEX(リバース占い!BN:BN, MATCH(A118, リバース占い!BA:BA, 0))</f>
        <v>収穫の喜び。物質や人脈などあらゆる財を蓄積し、強固な基盤を作る。</v>
      </c>
      <c r="D118" s="41" t="e">
        <f ca="1">INDEX(リバース占い!BO:BO, MATCH(C118, リバース占い!BC:BC, 0))</f>
        <v>#N/A</v>
      </c>
      <c r="E118" s="41" t="e">
        <f ca="1">INDEX(リバース占い!BP:BP, MATCH(D118, リバース占い!BD:BD, 0))</f>
        <v>#N/A</v>
      </c>
      <c r="F118" s="41" t="e">
        <f ca="1">INDEX(リバース占い!BQ:BQ, MATCH(E118, リバース占い!BE:BE, 0))</f>
        <v>#N/A</v>
      </c>
      <c r="G118" s="41" t="e">
        <f ca="1">INDEX(リバース占い!BR:BR, MATCH(F118, リバース占い!BF:BF, 0))</f>
        <v>#N/A</v>
      </c>
      <c r="H118" s="41" t="e">
        <f ca="1">INDEX(リバース占い!BS:BS, MATCH(G118, リバース占い!BG:BG, 0))</f>
        <v>#N/A</v>
      </c>
      <c r="I118" s="41" t="e">
        <f ca="1">INDEX(リバース占い!BT:BT, MATCH(H118, リバース占い!BH:BH, 0))</f>
        <v>#N/A</v>
      </c>
      <c r="J118" s="41" t="e">
        <f ca="1">INDEX(リバース占い!BU:BU, MATCH(I118, リバース占い!BL:BL, 0))</f>
        <v>#N/A</v>
      </c>
      <c r="K118" s="2" t="str">
        <f ca="1">INDEX(リバース占い!BF:BF, MATCH($A118, リバース占い!$BA:$BA, 0))</f>
        <v>半会</v>
      </c>
      <c r="L118" s="2" t="str">
        <f ca="1">INDEX(リバース占い!BG:BG, MATCH($A118, リバース占い!$BA:$BA, 0))</f>
        <v>半会</v>
      </c>
      <c r="M118" s="2" t="str">
        <f ca="1">INDEX(リバース占い!BH:BH, MATCH($A118, リバース占い!$BA:$BA, 0))</f>
        <v>支合</v>
      </c>
      <c r="N118" s="36" t="str">
        <f t="shared" ca="1" si="11"/>
        <v>シナジー</v>
      </c>
      <c r="O118" s="36" t="str">
        <f t="shared" ca="1" si="11"/>
        <v>シナジー</v>
      </c>
      <c r="P118" s="36" t="str">
        <f t="shared" ca="1" si="11"/>
        <v>バランス</v>
      </c>
      <c r="Q118" s="3" t="str">
        <f ca="1">INDEX(リバース占い!BI:BI, MATCH($A118, リバース占い!$BA:$BA, 0))</f>
        <v/>
      </c>
      <c r="R118" s="3" t="str">
        <f ca="1">INDEX(リバース占い!BJ:BJ, MATCH($A118, リバース占い!$BA:$BA, 0))</f>
        <v/>
      </c>
      <c r="S118" s="3" t="str">
        <f ca="1">INDEX(リバース占い!BK:BK, MATCH($A118, リバース占い!$BA:$BA, 0))</f>
        <v/>
      </c>
      <c r="T118" s="2" t="e">
        <f t="shared" ca="1" si="12"/>
        <v>#N/A</v>
      </c>
      <c r="U118" s="2" t="e">
        <f t="shared" ca="1" si="12"/>
        <v>#N/A</v>
      </c>
      <c r="V118" s="2" t="e">
        <f t="shared" ca="1" si="12"/>
        <v>#N/A</v>
      </c>
    </row>
    <row r="119" spans="1:22" ht="21">
      <c r="A119" s="45">
        <f t="shared" ca="1" si="13"/>
        <v>46233</v>
      </c>
      <c r="B119" s="40" t="str">
        <f ca="1">INDEX(リバース占い!BM:BM, MATCH(A119, リバース占い!BA:BA, 0))</f>
        <v>静天</v>
      </c>
      <c r="C119" s="41" t="str">
        <f ca="1">INDEX(リバース占い!BN:BN, MATCH(A119, リバース占い!BA:BA, 0))</f>
        <v>成果が出揃う。精神的な安定と充実の中で平和に人生を俯瞰する時期。</v>
      </c>
      <c r="D119" s="41" t="e">
        <f ca="1">INDEX(リバース占い!BO:BO, MATCH(C119, リバース占い!BC:BC, 0))</f>
        <v>#N/A</v>
      </c>
      <c r="E119" s="41" t="e">
        <f ca="1">INDEX(リバース占い!BP:BP, MATCH(D119, リバース占い!BD:BD, 0))</f>
        <v>#N/A</v>
      </c>
      <c r="F119" s="41" t="e">
        <f ca="1">INDEX(リバース占い!BQ:BQ, MATCH(E119, リバース占い!BE:BE, 0))</f>
        <v>#N/A</v>
      </c>
      <c r="G119" s="41" t="e">
        <f ca="1">INDEX(リバース占い!BR:BR, MATCH(F119, リバース占い!BF:BF, 0))</f>
        <v>#N/A</v>
      </c>
      <c r="H119" s="41" t="e">
        <f ca="1">INDEX(リバース占い!BS:BS, MATCH(G119, リバース占い!BG:BG, 0))</f>
        <v>#N/A</v>
      </c>
      <c r="I119" s="41" t="e">
        <f ca="1">INDEX(リバース占い!BT:BT, MATCH(H119, リバース占い!BH:BH, 0))</f>
        <v>#N/A</v>
      </c>
      <c r="J119" s="41" t="e">
        <f ca="1">INDEX(リバース占い!BU:BU, MATCH(I119, リバース占い!BL:BL, 0))</f>
        <v>#N/A</v>
      </c>
      <c r="K119" s="2" t="str">
        <f ca="1">INDEX(リバース占い!BF:BF, MATCH($A119, リバース占い!$BA:$BA, 0))</f>
        <v>－</v>
      </c>
      <c r="L119" s="2" t="str">
        <f ca="1">INDEX(リバース占い!BG:BG, MATCH($A119, リバース占い!$BA:$BA, 0))</f>
        <v>支合</v>
      </c>
      <c r="M119" s="2" t="str">
        <f ca="1">INDEX(リバース占い!BH:BH, MATCH($A119, リバース占い!$BA:$BA, 0))</f>
        <v>半会</v>
      </c>
      <c r="N119" s="36" t="str">
        <f t="shared" ca="1" si="11"/>
        <v>－</v>
      </c>
      <c r="O119" s="36" t="str">
        <f t="shared" ca="1" si="11"/>
        <v>バランス</v>
      </c>
      <c r="P119" s="36" t="str">
        <f t="shared" ca="1" si="11"/>
        <v>シナジー</v>
      </c>
      <c r="Q119" s="3" t="str">
        <f ca="1">INDEX(リバース占い!BI:BI, MATCH($A119, リバース占い!$BA:$BA, 0))</f>
        <v/>
      </c>
      <c r="R119" s="3" t="str">
        <f ca="1">INDEX(リバース占い!BJ:BJ, MATCH($A119, リバース占い!$BA:$BA, 0))</f>
        <v/>
      </c>
      <c r="S119" s="3" t="str">
        <f ca="1">INDEX(リバース占い!BK:BK, MATCH($A119, リバース占い!$BA:$BA, 0))</f>
        <v/>
      </c>
      <c r="T119" s="2" t="e">
        <f t="shared" ca="1" si="12"/>
        <v>#N/A</v>
      </c>
      <c r="U119" s="2" t="e">
        <f t="shared" ca="1" si="12"/>
        <v>#N/A</v>
      </c>
      <c r="V119" s="2" t="e">
        <f t="shared" ca="1" si="12"/>
        <v>#N/A</v>
      </c>
    </row>
    <row r="120" spans="1:22" ht="21">
      <c r="A120" s="45">
        <f t="shared" ca="1" si="13"/>
        <v>46234</v>
      </c>
      <c r="B120" s="40" t="str">
        <f ca="1">INDEX(リバース占い!BM:BM, MATCH(A120, リバース占い!BA:BA, 0))</f>
        <v>暗天</v>
      </c>
      <c r="C120" s="41" t="str">
        <f ca="1">INDEX(リバース占い!BN:BN, MATCH(A120, リバース占い!BA:BA, 0))</f>
        <v>運気下降（運の冬入り）。孤独を感じやすいが水面下の自己鍛錬が必要。</v>
      </c>
      <c r="D120" s="41" t="e">
        <f ca="1">INDEX(リバース占い!BO:BO, MATCH(C120, リバース占い!BC:BC, 0))</f>
        <v>#N/A</v>
      </c>
      <c r="E120" s="41" t="e">
        <f ca="1">INDEX(リバース占い!BP:BP, MATCH(D120, リバース占い!BD:BD, 0))</f>
        <v>#N/A</v>
      </c>
      <c r="F120" s="41" t="e">
        <f ca="1">INDEX(リバース占い!BQ:BQ, MATCH(E120, リバース占い!BE:BE, 0))</f>
        <v>#N/A</v>
      </c>
      <c r="G120" s="41" t="e">
        <f ca="1">INDEX(リバース占い!BR:BR, MATCH(F120, リバース占い!BF:BF, 0))</f>
        <v>#N/A</v>
      </c>
      <c r="H120" s="41" t="e">
        <f ca="1">INDEX(リバース占い!BS:BS, MATCH(G120, リバース占い!BG:BG, 0))</f>
        <v>#N/A</v>
      </c>
      <c r="I120" s="41" t="e">
        <f ca="1">INDEX(リバース占い!BT:BT, MATCH(H120, リバース占い!BH:BH, 0))</f>
        <v>#N/A</v>
      </c>
      <c r="J120" s="41" t="e">
        <f ca="1">INDEX(リバース占い!BU:BU, MATCH(I120, リバース占い!BL:BL, 0))</f>
        <v>#N/A</v>
      </c>
      <c r="K120" s="2" t="str">
        <f ca="1">INDEX(リバース占い!BF:BF, MATCH($A120, リバース占い!$BA:$BA, 0))</f>
        <v>対冲</v>
      </c>
      <c r="L120" s="2" t="str">
        <f ca="1">INDEX(リバース占い!BG:BG, MATCH($A120, リバース占い!$BA:$BA, 0))</f>
        <v>－</v>
      </c>
      <c r="M120" s="2" t="str">
        <f ca="1">INDEX(リバース占い!BH:BH, MATCH($A120, リバース占い!$BA:$BA, 0))</f>
        <v>－</v>
      </c>
      <c r="N120" s="36" t="str">
        <f t="shared" ca="1" si="11"/>
        <v>クラッシュ</v>
      </c>
      <c r="O120" s="36" t="str">
        <f t="shared" ca="1" si="11"/>
        <v>－</v>
      </c>
      <c r="P120" s="36" t="str">
        <f t="shared" ca="1" si="11"/>
        <v>－</v>
      </c>
      <c r="Q120" s="3" t="str">
        <f ca="1">INDEX(リバース占い!BI:BI, MATCH($A120, リバース占い!$BA:$BA, 0))</f>
        <v/>
      </c>
      <c r="R120" s="3" t="str">
        <f ca="1">INDEX(リバース占い!BJ:BJ, MATCH($A120, リバース占い!$BA:$BA, 0))</f>
        <v/>
      </c>
      <c r="S120" s="3" t="str">
        <f ca="1">INDEX(リバース占い!BK:BK, MATCH($A120, リバース占い!$BA:$BA, 0))</f>
        <v>丙辛干合</v>
      </c>
      <c r="T120" s="2" t="e">
        <f t="shared" ca="1" si="12"/>
        <v>#N/A</v>
      </c>
      <c r="U120" s="2" t="e">
        <f t="shared" ca="1" si="12"/>
        <v>#N/A</v>
      </c>
      <c r="V120" s="2" t="str">
        <f t="shared" ca="1" si="12"/>
        <v>デレ化</v>
      </c>
    </row>
    <row r="121" spans="1:22" ht="21">
      <c r="A121" s="45" t="str">
        <f t="shared" ca="1" si="13"/>
        <v/>
      </c>
      <c r="B121" s="40" t="e">
        <f ca="1">INDEX(リバース占い!BM:BM, MATCH(A121, リバース占い!BA:BA, 0))</f>
        <v>#N/A</v>
      </c>
      <c r="C121" s="41" t="e">
        <f ca="1">INDEX(リバース占い!BN:BN, MATCH(A121, リバース占い!BA:BA, 0))</f>
        <v>#N/A</v>
      </c>
      <c r="D121" s="41" t="e">
        <f ca="1">INDEX(リバース占い!BO:BO, MATCH(C121, リバース占い!BC:BC, 0))</f>
        <v>#N/A</v>
      </c>
      <c r="E121" s="41" t="e">
        <f ca="1">INDEX(リバース占い!BP:BP, MATCH(D121, リバース占い!BD:BD, 0))</f>
        <v>#N/A</v>
      </c>
      <c r="F121" s="41" t="e">
        <f ca="1">INDEX(リバース占い!BQ:BQ, MATCH(E121, リバース占い!BE:BE, 0))</f>
        <v>#N/A</v>
      </c>
      <c r="G121" s="41" t="e">
        <f ca="1">INDEX(リバース占い!BR:BR, MATCH(F121, リバース占い!BF:BF, 0))</f>
        <v>#N/A</v>
      </c>
      <c r="H121" s="41" t="e">
        <f ca="1">INDEX(リバース占い!BS:BS, MATCH(G121, リバース占い!BG:BG, 0))</f>
        <v>#N/A</v>
      </c>
      <c r="I121" s="41" t="e">
        <f ca="1">INDEX(リバース占い!BT:BT, MATCH(H121, リバース占い!BH:BH, 0))</f>
        <v>#N/A</v>
      </c>
      <c r="J121" s="41" t="e">
        <f ca="1">INDEX(リバース占い!BU:BU, MATCH(I121, リバース占い!BL:BL, 0))</f>
        <v>#N/A</v>
      </c>
      <c r="K121" s="2" t="e">
        <f ca="1">INDEX(リバース占い!BF:BF, MATCH($A121, リバース占い!$BA:$BA, 0))</f>
        <v>#N/A</v>
      </c>
      <c r="L121" s="2" t="e">
        <f ca="1">INDEX(リバース占い!BG:BG, MATCH($A121, リバース占い!$BA:$BA, 0))</f>
        <v>#N/A</v>
      </c>
      <c r="M121" s="2" t="e">
        <f ca="1">INDEX(リバース占い!BH:BH, MATCH($A121, リバース占い!$BA:$BA, 0))</f>
        <v>#N/A</v>
      </c>
      <c r="N121" s="36" t="e">
        <f t="shared" ca="1" si="11"/>
        <v>#N/A</v>
      </c>
      <c r="O121" s="36" t="e">
        <f t="shared" ca="1" si="11"/>
        <v>#N/A</v>
      </c>
      <c r="P121" s="36" t="e">
        <f t="shared" ca="1" si="11"/>
        <v>#N/A</v>
      </c>
      <c r="Q121" s="3" t="e">
        <f ca="1">INDEX(リバース占い!BI:BI, MATCH($A121, リバース占い!$BA:$BA, 0))</f>
        <v>#N/A</v>
      </c>
      <c r="R121" s="3" t="e">
        <f ca="1">INDEX(リバース占い!BJ:BJ, MATCH($A121, リバース占い!$BA:$BA, 0))</f>
        <v>#N/A</v>
      </c>
      <c r="S121" s="3" t="e">
        <f ca="1">INDEX(リバース占い!BK:BK, MATCH($A121, リバース占い!$BA:$BA, 0))</f>
        <v>#N/A</v>
      </c>
      <c r="T121" s="2" t="e">
        <f t="shared" ca="1" si="12"/>
        <v>#N/A</v>
      </c>
      <c r="U121" s="2" t="e">
        <f t="shared" ca="1" si="12"/>
        <v>#N/A</v>
      </c>
      <c r="V121" s="2" t="e">
        <f t="shared" ca="1" si="12"/>
        <v>#N/A</v>
      </c>
    </row>
    <row r="122" spans="1:22" ht="21">
      <c r="A122" s="45" t="str">
        <f t="shared" ca="1" si="13"/>
        <v/>
      </c>
      <c r="B122" s="40" t="e">
        <f ca="1">INDEX(リバース占い!BM:BM, MATCH(A122, リバース占い!BA:BA, 0))</f>
        <v>#N/A</v>
      </c>
      <c r="C122" s="41" t="e">
        <f ca="1">INDEX(リバース占い!BN:BN, MATCH(A122, リバース占い!BA:BA, 0))</f>
        <v>#N/A</v>
      </c>
      <c r="D122" s="41" t="e">
        <f ca="1">INDEX(リバース占い!BO:BO, MATCH(C122, リバース占い!BC:BC, 0))</f>
        <v>#N/A</v>
      </c>
      <c r="E122" s="41" t="e">
        <f ca="1">INDEX(リバース占い!BP:BP, MATCH(D122, リバース占い!BD:BD, 0))</f>
        <v>#N/A</v>
      </c>
      <c r="F122" s="41" t="e">
        <f ca="1">INDEX(リバース占い!BQ:BQ, MATCH(E122, リバース占い!BE:BE, 0))</f>
        <v>#N/A</v>
      </c>
      <c r="G122" s="41" t="e">
        <f ca="1">INDEX(リバース占い!BR:BR, MATCH(F122, リバース占い!BF:BF, 0))</f>
        <v>#N/A</v>
      </c>
      <c r="H122" s="41" t="e">
        <f ca="1">INDEX(リバース占い!BS:BS, MATCH(G122, リバース占い!BG:BG, 0))</f>
        <v>#N/A</v>
      </c>
      <c r="I122" s="41" t="e">
        <f ca="1">INDEX(リバース占い!BT:BT, MATCH(H122, リバース占い!BH:BH, 0))</f>
        <v>#N/A</v>
      </c>
      <c r="J122" s="41" t="e">
        <f ca="1">INDEX(リバース占い!BU:BU, MATCH(I122, リバース占い!BL:BL, 0))</f>
        <v>#N/A</v>
      </c>
      <c r="K122" s="2" t="e">
        <f ca="1">INDEX(リバース占い!BF:BF, MATCH($A122, リバース占い!$BA:$BA, 0))</f>
        <v>#N/A</v>
      </c>
      <c r="L122" s="2" t="e">
        <f ca="1">INDEX(リバース占い!BG:BG, MATCH($A122, リバース占い!$BA:$BA, 0))</f>
        <v>#N/A</v>
      </c>
      <c r="M122" s="2" t="e">
        <f ca="1">INDEX(リバース占い!BH:BH, MATCH($A122, リバース占い!$BA:$BA, 0))</f>
        <v>#N/A</v>
      </c>
      <c r="N122" s="36" t="e">
        <f t="shared" ca="1" si="11"/>
        <v>#N/A</v>
      </c>
      <c r="O122" s="36" t="e">
        <f t="shared" ca="1" si="11"/>
        <v>#N/A</v>
      </c>
      <c r="P122" s="36" t="e">
        <f t="shared" ca="1" si="11"/>
        <v>#N/A</v>
      </c>
      <c r="Q122" s="3" t="e">
        <f ca="1">INDEX(リバース占い!BI:BI, MATCH($A122, リバース占い!$BA:$BA, 0))</f>
        <v>#N/A</v>
      </c>
      <c r="R122" s="3" t="e">
        <f ca="1">INDEX(リバース占い!BJ:BJ, MATCH($A122, リバース占い!$BA:$BA, 0))</f>
        <v>#N/A</v>
      </c>
      <c r="S122" s="3" t="e">
        <f ca="1">INDEX(リバース占い!BK:BK, MATCH($A122, リバース占い!$BA:$BA, 0))</f>
        <v>#N/A</v>
      </c>
      <c r="T122" s="2" t="e">
        <f t="shared" ca="1" si="12"/>
        <v>#N/A</v>
      </c>
      <c r="U122" s="2" t="e">
        <f t="shared" ca="1" si="12"/>
        <v>#N/A</v>
      </c>
      <c r="V122" s="2" t="e">
        <f t="shared" ca="1" si="12"/>
        <v>#N/A</v>
      </c>
    </row>
    <row r="123" spans="1:22" ht="21">
      <c r="A123" s="45" t="str">
        <f t="shared" ca="1" si="13"/>
        <v/>
      </c>
      <c r="B123" s="40" t="e">
        <f ca="1">INDEX(リバース占い!BM:BM, MATCH(A123, リバース占い!BA:BA, 0))</f>
        <v>#N/A</v>
      </c>
      <c r="C123" s="41" t="e">
        <f ca="1">INDEX(リバース占い!BN:BN, MATCH(A123, リバース占い!BA:BA, 0))</f>
        <v>#N/A</v>
      </c>
      <c r="D123" s="41" t="e">
        <f ca="1">INDEX(リバース占い!BO:BO, MATCH(C123, リバース占い!BC:BC, 0))</f>
        <v>#N/A</v>
      </c>
      <c r="E123" s="41" t="e">
        <f ca="1">INDEX(リバース占い!BP:BP, MATCH(D123, リバース占い!BD:BD, 0))</f>
        <v>#N/A</v>
      </c>
      <c r="F123" s="41" t="e">
        <f ca="1">INDEX(リバース占い!BQ:BQ, MATCH(E123, リバース占い!BE:BE, 0))</f>
        <v>#N/A</v>
      </c>
      <c r="G123" s="41" t="e">
        <f ca="1">INDEX(リバース占い!BR:BR, MATCH(F123, リバース占い!BF:BF, 0))</f>
        <v>#N/A</v>
      </c>
      <c r="H123" s="41" t="e">
        <f ca="1">INDEX(リバース占い!BS:BS, MATCH(G123, リバース占い!BG:BG, 0))</f>
        <v>#N/A</v>
      </c>
      <c r="I123" s="41" t="e">
        <f ca="1">INDEX(リバース占い!BT:BT, MATCH(H123, リバース占い!BH:BH, 0))</f>
        <v>#N/A</v>
      </c>
      <c r="J123" s="41" t="e">
        <f ca="1">INDEX(リバース占い!BU:BU, MATCH(I123, リバース占い!BL:BL, 0))</f>
        <v>#N/A</v>
      </c>
      <c r="K123" s="2" t="e">
        <f ca="1">INDEX(リバース占い!BF:BF, MATCH($A123, リバース占い!$BA:$BA, 0))</f>
        <v>#N/A</v>
      </c>
      <c r="L123" s="2" t="e">
        <f ca="1">INDEX(リバース占い!BG:BG, MATCH($A123, リバース占い!$BA:$BA, 0))</f>
        <v>#N/A</v>
      </c>
      <c r="M123" s="2" t="e">
        <f ca="1">INDEX(リバース占い!BH:BH, MATCH($A123, リバース占い!$BA:$BA, 0))</f>
        <v>#N/A</v>
      </c>
      <c r="N123" s="36" t="e">
        <f t="shared" ca="1" si="11"/>
        <v>#N/A</v>
      </c>
      <c r="O123" s="36" t="e">
        <f t="shared" ca="1" si="11"/>
        <v>#N/A</v>
      </c>
      <c r="P123" s="36" t="e">
        <f t="shared" ca="1" si="11"/>
        <v>#N/A</v>
      </c>
      <c r="Q123" s="3" t="e">
        <f ca="1">INDEX(リバース占い!BI:BI, MATCH($A123, リバース占い!$BA:$BA, 0))</f>
        <v>#N/A</v>
      </c>
      <c r="R123" s="3" t="e">
        <f ca="1">INDEX(リバース占い!BJ:BJ, MATCH($A123, リバース占い!$BA:$BA, 0))</f>
        <v>#N/A</v>
      </c>
      <c r="S123" s="3" t="e">
        <f ca="1">INDEX(リバース占い!BK:BK, MATCH($A123, リバース占い!$BA:$BA, 0))</f>
        <v>#N/A</v>
      </c>
      <c r="T123" s="2" t="e">
        <f t="shared" ca="1" si="12"/>
        <v>#N/A</v>
      </c>
      <c r="U123" s="2" t="e">
        <f t="shared" ca="1" si="12"/>
        <v>#N/A</v>
      </c>
      <c r="V123" s="2" t="e">
        <f t="shared" ca="1" si="12"/>
        <v>#N/A</v>
      </c>
    </row>
    <row r="124" spans="1:22" ht="21">
      <c r="A124" s="45" t="str">
        <f t="shared" ca="1" si="13"/>
        <v/>
      </c>
      <c r="B124" s="40" t="e">
        <f ca="1">INDEX(リバース占い!BM:BM, MATCH(A124, リバース占い!BA:BA, 0))</f>
        <v>#N/A</v>
      </c>
      <c r="C124" s="41" t="e">
        <f ca="1">INDEX(リバース占い!BN:BN, MATCH(A124, リバース占い!BA:BA, 0))</f>
        <v>#N/A</v>
      </c>
      <c r="D124" s="41" t="e">
        <f ca="1">INDEX(リバース占い!BO:BO, MATCH(C124, リバース占い!BC:BC, 0))</f>
        <v>#N/A</v>
      </c>
      <c r="E124" s="41" t="e">
        <f ca="1">INDEX(リバース占い!BP:BP, MATCH(D124, リバース占い!BD:BD, 0))</f>
        <v>#N/A</v>
      </c>
      <c r="F124" s="41" t="e">
        <f ca="1">INDEX(リバース占い!BQ:BQ, MATCH(E124, リバース占い!BE:BE, 0))</f>
        <v>#N/A</v>
      </c>
      <c r="G124" s="41" t="e">
        <f ca="1">INDEX(リバース占い!BR:BR, MATCH(F124, リバース占い!BF:BF, 0))</f>
        <v>#N/A</v>
      </c>
      <c r="H124" s="41" t="e">
        <f ca="1">INDEX(リバース占い!BS:BS, MATCH(G124, リバース占い!BG:BG, 0))</f>
        <v>#N/A</v>
      </c>
      <c r="I124" s="41" t="e">
        <f ca="1">INDEX(リバース占い!BT:BT, MATCH(H124, リバース占い!BH:BH, 0))</f>
        <v>#N/A</v>
      </c>
      <c r="J124" s="41" t="e">
        <f ca="1">INDEX(リバース占い!BU:BU, MATCH(I124, リバース占い!BL:BL, 0))</f>
        <v>#N/A</v>
      </c>
      <c r="K124" s="2" t="e">
        <f ca="1">INDEX(リバース占い!BF:BF, MATCH($A124, リバース占い!$BA:$BA, 0))</f>
        <v>#N/A</v>
      </c>
      <c r="L124" s="2" t="e">
        <f ca="1">INDEX(リバース占い!BG:BG, MATCH($A124, リバース占い!$BA:$BA, 0))</f>
        <v>#N/A</v>
      </c>
      <c r="M124" s="2" t="e">
        <f ca="1">INDEX(リバース占い!BH:BH, MATCH($A124, リバース占い!$BA:$BA, 0))</f>
        <v>#N/A</v>
      </c>
      <c r="N124" s="36" t="e">
        <f t="shared" ca="1" si="11"/>
        <v>#N/A</v>
      </c>
      <c r="O124" s="36" t="e">
        <f t="shared" ca="1" si="11"/>
        <v>#N/A</v>
      </c>
      <c r="P124" s="36" t="e">
        <f t="shared" ca="1" si="11"/>
        <v>#N/A</v>
      </c>
      <c r="Q124" s="3" t="e">
        <f ca="1">INDEX(リバース占い!BI:BI, MATCH($A124, リバース占い!$BA:$BA, 0))</f>
        <v>#N/A</v>
      </c>
      <c r="R124" s="3" t="e">
        <f ca="1">INDEX(リバース占い!BJ:BJ, MATCH($A124, リバース占い!$BA:$BA, 0))</f>
        <v>#N/A</v>
      </c>
      <c r="S124" s="3" t="e">
        <f ca="1">INDEX(リバース占い!BK:BK, MATCH($A124, リバース占い!$BA:$BA, 0))</f>
        <v>#N/A</v>
      </c>
      <c r="T124" s="2" t="e">
        <f t="shared" ca="1" si="12"/>
        <v>#N/A</v>
      </c>
      <c r="U124" s="2" t="e">
        <f t="shared" ca="1" si="12"/>
        <v>#N/A</v>
      </c>
      <c r="V124" s="2" t="e">
        <f t="shared" ca="1" si="12"/>
        <v>#N/A</v>
      </c>
    </row>
    <row r="125" spans="1:22">
      <c r="N125" s="46"/>
      <c r="O125" s="46"/>
      <c r="P125" s="36"/>
      <c r="Q125" s="3" t="e">
        <f ca="1">INDEX(リバース占い!BI:BI, MATCH($A125, リバース占い!$BA:$BA, 0))</f>
        <v>#N/A</v>
      </c>
      <c r="R125" s="3" t="e">
        <f ca="1">INDEX(リバース占い!BJ:BJ, MATCH($A125, リバース占い!$BA:$BA, 0))</f>
        <v>#N/A</v>
      </c>
      <c r="S125" s="3" t="e">
        <f ca="1">INDEX(リバース占い!BK:BK, MATCH($A125, リバース占い!$BA:$BA, 0))</f>
        <v>#N/A</v>
      </c>
      <c r="T125" s="2" t="e">
        <f t="shared" ref="T125:V125" ca="1" si="14">VLOOKUP(Q125,$S$5:$U$10,3,FALSE)</f>
        <v>#N/A</v>
      </c>
      <c r="U125" s="2" t="e">
        <f t="shared" ca="1" si="14"/>
        <v>#N/A</v>
      </c>
      <c r="V125" s="2" t="e">
        <f t="shared" ca="1" si="14"/>
        <v>#N/A</v>
      </c>
    </row>
    <row r="128" spans="1:22" ht="67.5">
      <c r="B128" s="47" t="s">
        <v>122</v>
      </c>
      <c r="C128" s="47" t="s">
        <v>123</v>
      </c>
      <c r="D128" s="47" t="s">
        <v>124</v>
      </c>
      <c r="E128" s="47" t="s">
        <v>125</v>
      </c>
      <c r="F128" s="47" t="s">
        <v>126</v>
      </c>
      <c r="G128" s="47" t="s">
        <v>127</v>
      </c>
      <c r="H128" s="47" t="s">
        <v>128</v>
      </c>
      <c r="I128" s="47" t="s">
        <v>129</v>
      </c>
    </row>
    <row r="129" spans="2:9" ht="94.5">
      <c r="B129" s="48" t="s">
        <v>16</v>
      </c>
      <c r="C129" s="48" t="s">
        <v>17</v>
      </c>
      <c r="D129" s="48" t="s">
        <v>18</v>
      </c>
      <c r="E129" s="48" t="s">
        <v>130</v>
      </c>
      <c r="F129" s="48" t="s">
        <v>131</v>
      </c>
      <c r="G129" s="48" t="s">
        <v>132</v>
      </c>
      <c r="H129" s="48" t="s">
        <v>133</v>
      </c>
      <c r="I129" s="48" t="s">
        <v>134</v>
      </c>
    </row>
    <row r="130" spans="2:9" ht="60" customHeight="1">
      <c r="B130" s="48" t="s">
        <v>16</v>
      </c>
      <c r="C130" s="48" t="s">
        <v>17</v>
      </c>
      <c r="D130" s="48" t="s">
        <v>18</v>
      </c>
      <c r="E130" s="48" t="s">
        <v>135</v>
      </c>
      <c r="F130" s="48" t="s">
        <v>136</v>
      </c>
      <c r="G130" s="48" t="s">
        <v>137</v>
      </c>
      <c r="H130" s="48" t="s">
        <v>138</v>
      </c>
      <c r="I130" s="48" t="s">
        <v>139</v>
      </c>
    </row>
    <row r="131" spans="2:9" ht="94.5">
      <c r="B131" s="48" t="s">
        <v>16</v>
      </c>
      <c r="C131" s="48" t="s">
        <v>17</v>
      </c>
      <c r="D131" s="48" t="s">
        <v>18</v>
      </c>
      <c r="E131" s="48" t="s">
        <v>140</v>
      </c>
      <c r="F131" s="48" t="s">
        <v>141</v>
      </c>
      <c r="G131" s="48" t="s">
        <v>142</v>
      </c>
      <c r="H131" s="48" t="s">
        <v>143</v>
      </c>
      <c r="I131" s="48" t="s">
        <v>144</v>
      </c>
    </row>
    <row r="132" spans="2:9" ht="94.5">
      <c r="B132" s="48" t="s">
        <v>23</v>
      </c>
      <c r="C132" s="48" t="s">
        <v>24</v>
      </c>
      <c r="D132" s="48" t="s">
        <v>145</v>
      </c>
      <c r="E132" s="48" t="s">
        <v>130</v>
      </c>
      <c r="F132" s="48" t="s">
        <v>146</v>
      </c>
      <c r="G132" s="48" t="s">
        <v>147</v>
      </c>
      <c r="H132" s="48" t="s">
        <v>148</v>
      </c>
      <c r="I132" s="48" t="s">
        <v>149</v>
      </c>
    </row>
    <row r="133" spans="2:9" ht="94.5">
      <c r="B133" s="48" t="s">
        <v>23</v>
      </c>
      <c r="C133" s="48" t="s">
        <v>24</v>
      </c>
      <c r="D133" s="48" t="s">
        <v>145</v>
      </c>
      <c r="E133" s="48" t="s">
        <v>135</v>
      </c>
      <c r="F133" s="48" t="s">
        <v>150</v>
      </c>
      <c r="G133" s="48" t="s">
        <v>151</v>
      </c>
      <c r="H133" s="48" t="s">
        <v>152</v>
      </c>
      <c r="I133" s="48" t="s">
        <v>153</v>
      </c>
    </row>
    <row r="134" spans="2:9" ht="60" customHeight="1">
      <c r="B134" s="48" t="s">
        <v>23</v>
      </c>
      <c r="C134" s="48" t="s">
        <v>24</v>
      </c>
      <c r="D134" s="48" t="s">
        <v>145</v>
      </c>
      <c r="E134" s="48" t="s">
        <v>140</v>
      </c>
      <c r="F134" s="48" t="s">
        <v>154</v>
      </c>
      <c r="G134" s="48" t="s">
        <v>155</v>
      </c>
      <c r="H134" s="48" t="s">
        <v>156</v>
      </c>
      <c r="I134" s="48" t="s">
        <v>157</v>
      </c>
    </row>
    <row r="135" spans="2:9" ht="108">
      <c r="B135" s="48" t="s">
        <v>30</v>
      </c>
      <c r="C135" s="48" t="s">
        <v>31</v>
      </c>
      <c r="D135" s="48" t="s">
        <v>32</v>
      </c>
      <c r="E135" s="48" t="s">
        <v>130</v>
      </c>
      <c r="F135" s="48" t="s">
        <v>158</v>
      </c>
      <c r="G135" s="48" t="s">
        <v>159</v>
      </c>
      <c r="H135" s="48" t="s">
        <v>160</v>
      </c>
      <c r="I135" s="48" t="s">
        <v>161</v>
      </c>
    </row>
    <row r="136" spans="2:9" ht="94.5">
      <c r="B136" s="48" t="s">
        <v>30</v>
      </c>
      <c r="C136" s="48" t="s">
        <v>31</v>
      </c>
      <c r="D136" s="48" t="s">
        <v>32</v>
      </c>
      <c r="E136" s="48" t="s">
        <v>135</v>
      </c>
      <c r="F136" s="48" t="s">
        <v>162</v>
      </c>
      <c r="G136" s="48" t="s">
        <v>163</v>
      </c>
      <c r="H136" s="48" t="s">
        <v>164</v>
      </c>
      <c r="I136" s="48" t="s">
        <v>165</v>
      </c>
    </row>
    <row r="137" spans="2:9" ht="108">
      <c r="B137" s="48" t="s">
        <v>30</v>
      </c>
      <c r="C137" s="48" t="s">
        <v>31</v>
      </c>
      <c r="D137" s="48" t="s">
        <v>32</v>
      </c>
      <c r="E137" s="48" t="s">
        <v>140</v>
      </c>
      <c r="F137" s="48" t="s">
        <v>166</v>
      </c>
      <c r="G137" s="48" t="s">
        <v>167</v>
      </c>
      <c r="H137" s="48" t="s">
        <v>168</v>
      </c>
      <c r="I137" s="48" t="s">
        <v>169</v>
      </c>
    </row>
    <row r="138" spans="2:9" ht="108">
      <c r="B138" s="48" t="s">
        <v>37</v>
      </c>
      <c r="C138" s="48" t="s">
        <v>38</v>
      </c>
      <c r="D138" s="48" t="s">
        <v>39</v>
      </c>
      <c r="E138" s="48" t="s">
        <v>130</v>
      </c>
      <c r="F138" s="48" t="s">
        <v>170</v>
      </c>
      <c r="G138" s="48" t="s">
        <v>171</v>
      </c>
      <c r="H138" s="48" t="s">
        <v>172</v>
      </c>
      <c r="I138" s="48" t="s">
        <v>173</v>
      </c>
    </row>
    <row r="139" spans="2:9" ht="108">
      <c r="B139" s="48" t="s">
        <v>37</v>
      </c>
      <c r="C139" s="48" t="s">
        <v>38</v>
      </c>
      <c r="D139" s="48" t="s">
        <v>39</v>
      </c>
      <c r="E139" s="48" t="s">
        <v>135</v>
      </c>
      <c r="F139" s="48" t="s">
        <v>174</v>
      </c>
      <c r="G139" s="48" t="s">
        <v>175</v>
      </c>
      <c r="H139" s="48" t="s">
        <v>176</v>
      </c>
      <c r="I139" s="48" t="s">
        <v>177</v>
      </c>
    </row>
    <row r="140" spans="2:9" ht="108">
      <c r="B140" s="48" t="s">
        <v>37</v>
      </c>
      <c r="C140" s="48" t="s">
        <v>38</v>
      </c>
      <c r="D140" s="48" t="s">
        <v>39</v>
      </c>
      <c r="E140" s="48" t="s">
        <v>140</v>
      </c>
      <c r="F140" s="48" t="s">
        <v>178</v>
      </c>
      <c r="G140" s="48" t="s">
        <v>179</v>
      </c>
      <c r="H140" s="48" t="s">
        <v>180</v>
      </c>
      <c r="I140" s="48" t="s">
        <v>181</v>
      </c>
    </row>
    <row r="141" spans="2:9" ht="108">
      <c r="B141" s="48" t="s">
        <v>44</v>
      </c>
      <c r="C141" s="48" t="s">
        <v>45</v>
      </c>
      <c r="D141" s="48" t="s">
        <v>46</v>
      </c>
      <c r="E141" s="48" t="s">
        <v>130</v>
      </c>
      <c r="F141" s="48" t="s">
        <v>182</v>
      </c>
      <c r="G141" s="48" t="s">
        <v>183</v>
      </c>
      <c r="H141" s="48" t="s">
        <v>184</v>
      </c>
      <c r="I141" s="48" t="s">
        <v>185</v>
      </c>
    </row>
    <row r="142" spans="2:9" ht="108">
      <c r="B142" s="48" t="s">
        <v>44</v>
      </c>
      <c r="C142" s="48" t="s">
        <v>45</v>
      </c>
      <c r="D142" s="48" t="s">
        <v>46</v>
      </c>
      <c r="E142" s="48" t="s">
        <v>135</v>
      </c>
      <c r="F142" s="48" t="s">
        <v>186</v>
      </c>
      <c r="G142" s="48" t="s">
        <v>187</v>
      </c>
      <c r="H142" s="48" t="s">
        <v>188</v>
      </c>
      <c r="I142" s="48" t="s">
        <v>189</v>
      </c>
    </row>
    <row r="143" spans="2:9" ht="108">
      <c r="B143" s="48" t="s">
        <v>44</v>
      </c>
      <c r="C143" s="48" t="s">
        <v>45</v>
      </c>
      <c r="D143" s="48" t="s">
        <v>46</v>
      </c>
      <c r="E143" s="48" t="s">
        <v>140</v>
      </c>
      <c r="F143" s="48" t="s">
        <v>190</v>
      </c>
      <c r="G143" s="48" t="s">
        <v>191</v>
      </c>
      <c r="H143" s="48" t="s">
        <v>192</v>
      </c>
      <c r="I143" s="48" t="s">
        <v>193</v>
      </c>
    </row>
  </sheetData>
  <mergeCells count="113">
    <mergeCell ref="C120:J120"/>
    <mergeCell ref="C121:J121"/>
    <mergeCell ref="C122:J122"/>
    <mergeCell ref="C123:J123"/>
    <mergeCell ref="C124:J124"/>
    <mergeCell ref="C114:J114"/>
    <mergeCell ref="C115:J115"/>
    <mergeCell ref="C116:J116"/>
    <mergeCell ref="C117:J117"/>
    <mergeCell ref="C118:J118"/>
    <mergeCell ref="C119:J119"/>
    <mergeCell ref="C108:J108"/>
    <mergeCell ref="C109:J109"/>
    <mergeCell ref="C110:J110"/>
    <mergeCell ref="C111:J111"/>
    <mergeCell ref="C112:J112"/>
    <mergeCell ref="C113:J113"/>
    <mergeCell ref="C102:J102"/>
    <mergeCell ref="C103:J103"/>
    <mergeCell ref="C104:J104"/>
    <mergeCell ref="C105:J105"/>
    <mergeCell ref="C106:J106"/>
    <mergeCell ref="C107:J107"/>
    <mergeCell ref="C96:J96"/>
    <mergeCell ref="C97:J97"/>
    <mergeCell ref="C98:J98"/>
    <mergeCell ref="C99:J99"/>
    <mergeCell ref="C100:J100"/>
    <mergeCell ref="C101:J101"/>
    <mergeCell ref="C90:J90"/>
    <mergeCell ref="C91:J91"/>
    <mergeCell ref="C92:J92"/>
    <mergeCell ref="C93:J93"/>
    <mergeCell ref="C94:J94"/>
    <mergeCell ref="C95:J95"/>
    <mergeCell ref="C84:J84"/>
    <mergeCell ref="C85:J85"/>
    <mergeCell ref="C86:J86"/>
    <mergeCell ref="C87:J87"/>
    <mergeCell ref="C88:J88"/>
    <mergeCell ref="C89:J89"/>
    <mergeCell ref="C78:J78"/>
    <mergeCell ref="C79:J79"/>
    <mergeCell ref="C80:J80"/>
    <mergeCell ref="C81:J81"/>
    <mergeCell ref="C82:J82"/>
    <mergeCell ref="C83:J83"/>
    <mergeCell ref="C72:J72"/>
    <mergeCell ref="C73:J73"/>
    <mergeCell ref="C74:J74"/>
    <mergeCell ref="C75:J75"/>
    <mergeCell ref="C76:J76"/>
    <mergeCell ref="C77:J77"/>
    <mergeCell ref="C66:J66"/>
    <mergeCell ref="C67:J67"/>
    <mergeCell ref="C68:J68"/>
    <mergeCell ref="C69:J69"/>
    <mergeCell ref="C70:J70"/>
    <mergeCell ref="C71:J71"/>
    <mergeCell ref="C60:J60"/>
    <mergeCell ref="C61:J61"/>
    <mergeCell ref="C62:J62"/>
    <mergeCell ref="C63:J63"/>
    <mergeCell ref="C64:J64"/>
    <mergeCell ref="C65:J65"/>
    <mergeCell ref="C52:J52"/>
    <mergeCell ref="C53:J53"/>
    <mergeCell ref="C54:J54"/>
    <mergeCell ref="C55:J55"/>
    <mergeCell ref="C56:J56"/>
    <mergeCell ref="C57:J57"/>
    <mergeCell ref="C46:J46"/>
    <mergeCell ref="C47:J47"/>
    <mergeCell ref="C48:J48"/>
    <mergeCell ref="C49:J49"/>
    <mergeCell ref="C50:J50"/>
    <mergeCell ref="C51:J51"/>
    <mergeCell ref="C38:J38"/>
    <mergeCell ref="C39:J39"/>
    <mergeCell ref="C40:J40"/>
    <mergeCell ref="C41:J41"/>
    <mergeCell ref="C42:J42"/>
    <mergeCell ref="C45:J45"/>
    <mergeCell ref="C32:J32"/>
    <mergeCell ref="C33:J33"/>
    <mergeCell ref="C34:J34"/>
    <mergeCell ref="C35:J35"/>
    <mergeCell ref="C36:J36"/>
    <mergeCell ref="C37:J37"/>
    <mergeCell ref="A26:B26"/>
    <mergeCell ref="C26:J26"/>
    <mergeCell ref="A27:B27"/>
    <mergeCell ref="C27:J27"/>
    <mergeCell ref="C28:K28"/>
    <mergeCell ref="C31:J31"/>
    <mergeCell ref="B23:E23"/>
    <mergeCell ref="F23:H23"/>
    <mergeCell ref="A24:B24"/>
    <mergeCell ref="C24:J24"/>
    <mergeCell ref="A25:B25"/>
    <mergeCell ref="C25:J25"/>
    <mergeCell ref="B15:J15"/>
    <mergeCell ref="B16:J16"/>
    <mergeCell ref="B17:J17"/>
    <mergeCell ref="B18:J18"/>
    <mergeCell ref="B19:J19"/>
    <mergeCell ref="A22:K22"/>
    <mergeCell ref="A2:A3"/>
    <mergeCell ref="B7:J7"/>
    <mergeCell ref="B8:J8"/>
    <mergeCell ref="B9:J9"/>
    <mergeCell ref="B10:J10"/>
    <mergeCell ref="B11:J11"/>
  </mergeCells>
  <phoneticPr fontId="3"/>
  <pageMargins left="0.7" right="0.7" top="0.75" bottom="0.75" header="0.3" footer="0.3"/>
  <pageSetup paperSize="9" scale="45" fitToWidth="0"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X642"/>
  <sheetViews>
    <sheetView showGridLines="0" topLeftCell="AZ1" workbookViewId="0">
      <pane ySplit="1" topLeftCell="A51" activePane="bottomLeft" state="frozen"/>
      <selection activeCell="Q1" sqref="Q1:S1048576"/>
      <selection pane="bottomLeft" activeCell="Q1" sqref="Q1:S1048576"/>
    </sheetView>
  </sheetViews>
  <sheetFormatPr defaultColWidth="12.625" defaultRowHeight="15" customHeight="1"/>
  <cols>
    <col min="1" max="1" width="2.375" style="2" customWidth="1"/>
    <col min="2" max="2" width="1.75" style="2" customWidth="1"/>
    <col min="3" max="3" width="1.25" style="2" customWidth="1"/>
    <col min="4" max="4" width="1.125" style="2" customWidth="1"/>
    <col min="5" max="5" width="4.25" style="2" customWidth="1"/>
    <col min="6" max="6" width="14.625" style="2" customWidth="1"/>
    <col min="7" max="7" width="5.75" style="2" customWidth="1"/>
    <col min="8" max="8" width="6.125" style="2" customWidth="1"/>
    <col min="9" max="9" width="5.625" style="2" customWidth="1"/>
    <col min="10" max="12" width="4.5" style="2" customWidth="1"/>
    <col min="13" max="13" width="7.875" style="2" customWidth="1"/>
    <col min="14" max="14" width="8.25" style="2" customWidth="1"/>
    <col min="15" max="16" width="4.5" style="2" customWidth="1"/>
    <col min="17" max="19" width="7.625" style="2" customWidth="1"/>
    <col min="20" max="20" width="14.25" style="2" customWidth="1"/>
    <col min="21" max="21" width="8.75" style="288" customWidth="1"/>
    <col min="22" max="22" width="13.375" style="2" customWidth="1"/>
    <col min="23" max="23" width="17.25" style="2" customWidth="1"/>
    <col min="24" max="24" width="12.375" style="289" customWidth="1"/>
    <col min="25" max="26" width="5.5" style="2" customWidth="1"/>
    <col min="27" max="28" width="12.375" style="289" customWidth="1"/>
    <col min="29" max="31" width="5.5" style="2" customWidth="1"/>
    <col min="32" max="32" width="8.875" style="2" customWidth="1"/>
    <col min="33" max="33" width="6.625" style="2" customWidth="1"/>
    <col min="34" max="34" width="4.625" style="2" customWidth="1"/>
    <col min="35" max="36" width="2.875" style="2" customWidth="1"/>
    <col min="37" max="37" width="4.75" style="2" customWidth="1"/>
    <col min="38" max="39" width="2.875" style="2" customWidth="1"/>
    <col min="40" max="42" width="4.5" style="2" customWidth="1"/>
    <col min="43" max="43" width="9.875" style="2" customWidth="1"/>
    <col min="44" max="46" width="7.625" style="2" customWidth="1"/>
    <col min="47" max="51" width="5.5" style="2" customWidth="1"/>
    <col min="52" max="52" width="2.875" style="2" customWidth="1"/>
    <col min="53" max="53" width="15.125" style="2" customWidth="1"/>
    <col min="54" max="54" width="16.875" style="2" customWidth="1"/>
    <col min="55" max="55" width="5.625" style="2" customWidth="1"/>
    <col min="56" max="56" width="7.25" style="2" customWidth="1"/>
    <col min="57" max="57" width="7.375" style="2" customWidth="1"/>
    <col min="58" max="58" width="7.125" style="2" customWidth="1"/>
    <col min="59" max="59" width="5.625" style="2" customWidth="1"/>
    <col min="60" max="60" width="10.875" style="2" customWidth="1"/>
    <col min="61" max="63" width="7.625" style="2" customWidth="1"/>
    <col min="64" max="64" width="8.625" style="2" customWidth="1"/>
    <col min="65" max="65" width="7.375" style="2" customWidth="1"/>
    <col min="66" max="66" width="5.25" style="2" customWidth="1"/>
    <col min="67" max="71" width="2.875" style="2" customWidth="1"/>
    <col min="72" max="72" width="2.125" style="2" customWidth="1"/>
    <col min="73" max="73" width="4.125" style="2" customWidth="1"/>
    <col min="74" max="74" width="2.375" style="2" customWidth="1"/>
    <col min="75" max="75" width="13.5" style="2" customWidth="1"/>
    <col min="76" max="76" width="10.75" style="2" customWidth="1"/>
    <col min="77" max="77" width="4.25" style="2" customWidth="1"/>
    <col min="78" max="78" width="3.875" style="2" customWidth="1"/>
    <col min="79" max="79" width="13" style="2" customWidth="1"/>
    <col min="80" max="80" width="10.5" style="2" customWidth="1"/>
    <col min="81" max="81" width="17" style="2" customWidth="1"/>
    <col min="82" max="82" width="45.5" style="2" customWidth="1"/>
    <col min="83" max="83" width="5.625" style="2" customWidth="1"/>
    <col min="84" max="84" width="4" style="2" customWidth="1"/>
    <col min="85" max="85" width="9.875" style="2" customWidth="1"/>
    <col min="86" max="91" width="4.125" style="2" customWidth="1"/>
    <col min="92" max="128" width="5.5" style="2" customWidth="1"/>
    <col min="129" max="16384" width="12.625" style="2"/>
  </cols>
  <sheetData>
    <row r="1" spans="1:128" ht="9.75" customHeight="1">
      <c r="A1" s="49"/>
      <c r="B1" s="49"/>
      <c r="C1" s="49"/>
      <c r="D1" s="50"/>
      <c r="E1" s="51"/>
      <c r="F1" s="51"/>
      <c r="G1" s="51"/>
      <c r="H1" s="51"/>
      <c r="I1" s="51"/>
      <c r="J1" s="51"/>
      <c r="K1" s="51"/>
      <c r="L1" s="51"/>
      <c r="M1" s="50"/>
      <c r="N1" s="49"/>
      <c r="O1" s="49"/>
      <c r="P1" s="49"/>
      <c r="Q1" s="49"/>
      <c r="R1" s="49"/>
      <c r="S1" s="49"/>
      <c r="T1" s="49"/>
      <c r="U1" s="52"/>
      <c r="V1" s="49"/>
      <c r="W1" s="49"/>
      <c r="X1" s="53"/>
      <c r="Y1" s="49"/>
      <c r="Z1" s="49"/>
      <c r="AA1" s="53"/>
      <c r="AB1" s="53"/>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49"/>
      <c r="CH1" s="49"/>
      <c r="CI1" s="49"/>
      <c r="CJ1" s="49"/>
      <c r="CK1" s="49"/>
      <c r="CL1" s="49"/>
      <c r="CM1" s="49"/>
      <c r="CN1" s="49"/>
      <c r="CO1" s="49"/>
      <c r="CP1" s="49"/>
      <c r="CQ1" s="49"/>
      <c r="CR1" s="49"/>
      <c r="CS1" s="49"/>
      <c r="CT1" s="49"/>
      <c r="CU1" s="50"/>
      <c r="CV1" s="49"/>
      <c r="CW1" s="49"/>
      <c r="CX1" s="49"/>
      <c r="CY1" s="49"/>
      <c r="CZ1" s="49"/>
      <c r="DA1" s="49"/>
      <c r="DB1" s="49"/>
      <c r="DC1" s="49"/>
      <c r="DD1" s="49"/>
      <c r="DE1" s="49"/>
      <c r="DF1" s="49"/>
      <c r="DG1" s="49"/>
      <c r="DH1" s="49"/>
      <c r="DI1" s="49"/>
      <c r="DJ1" s="49"/>
      <c r="DK1" s="49"/>
      <c r="DL1" s="49"/>
      <c r="DM1" s="49"/>
      <c r="DN1" s="49"/>
      <c r="DO1" s="49"/>
      <c r="DP1" s="49"/>
      <c r="DQ1" s="49"/>
      <c r="DR1" s="49"/>
      <c r="DS1" s="49"/>
      <c r="DT1" s="49"/>
      <c r="DU1" s="49"/>
      <c r="DV1" s="49"/>
      <c r="DW1" s="49"/>
      <c r="DX1" s="49"/>
    </row>
    <row r="2" spans="1:128" ht="13.5" customHeight="1">
      <c r="A2" s="49"/>
      <c r="B2" s="49"/>
      <c r="C2" s="49"/>
      <c r="D2" s="49"/>
      <c r="E2" s="54" t="s">
        <v>194</v>
      </c>
      <c r="F2" s="55"/>
      <c r="G2" s="55"/>
      <c r="H2" s="56"/>
      <c r="I2" s="57" t="s">
        <v>195</v>
      </c>
      <c r="J2" s="58"/>
      <c r="K2" s="59" t="s">
        <v>196</v>
      </c>
      <c r="L2" s="59" t="s">
        <v>197</v>
      </c>
      <c r="M2" s="59" t="s">
        <v>198</v>
      </c>
      <c r="N2" s="53"/>
      <c r="O2" s="60">
        <v>28828</v>
      </c>
      <c r="P2" s="60"/>
      <c r="Q2" s="60"/>
      <c r="R2" s="60"/>
      <c r="S2" s="60"/>
      <c r="T2" s="61"/>
      <c r="U2" s="62"/>
      <c r="V2" s="61"/>
      <c r="W2" s="61"/>
      <c r="X2" s="61"/>
      <c r="Y2" s="61"/>
      <c r="Z2" s="63"/>
      <c r="AA2" s="61"/>
      <c r="AB2" s="61"/>
      <c r="AC2" s="61"/>
      <c r="AD2" s="63"/>
      <c r="AE2" s="60"/>
      <c r="AF2" s="60"/>
      <c r="AG2" s="60"/>
      <c r="AH2" s="60"/>
      <c r="AI2" s="64"/>
      <c r="AJ2" s="65" t="s">
        <v>199</v>
      </c>
      <c r="AK2" s="66"/>
      <c r="AL2" s="66"/>
      <c r="AM2" s="66"/>
      <c r="AN2" s="66"/>
      <c r="AO2" s="66"/>
      <c r="AP2" s="66"/>
      <c r="AQ2" s="49"/>
      <c r="AR2" s="60"/>
      <c r="AS2" s="60"/>
      <c r="AT2" s="60"/>
      <c r="AU2" s="67"/>
      <c r="AV2" s="68"/>
      <c r="AW2" s="63"/>
      <c r="AX2" s="63"/>
      <c r="AY2" s="63"/>
      <c r="AZ2" s="49"/>
      <c r="BA2" s="49"/>
      <c r="BB2" s="49"/>
      <c r="BC2" s="49"/>
      <c r="BD2" s="49"/>
      <c r="BE2" s="49"/>
      <c r="BF2" s="49"/>
      <c r="BG2" s="49"/>
      <c r="BH2" s="49"/>
      <c r="BI2" s="60"/>
      <c r="BJ2" s="60"/>
      <c r="BK2" s="60"/>
      <c r="BL2" s="49"/>
      <c r="BM2" s="49"/>
      <c r="BN2" s="49"/>
      <c r="BO2" s="49"/>
      <c r="BP2" s="49"/>
      <c r="BQ2" s="49"/>
      <c r="BR2" s="49"/>
      <c r="BS2" s="49"/>
      <c r="BT2" s="49"/>
      <c r="BU2" s="49"/>
      <c r="BV2" s="49"/>
      <c r="BW2" s="63"/>
      <c r="BX2" s="63"/>
      <c r="BY2" s="63"/>
      <c r="BZ2" s="63"/>
      <c r="CA2" s="69"/>
      <c r="CB2" s="69"/>
      <c r="CC2" s="70"/>
      <c r="CD2" s="68"/>
      <c r="CE2" s="63"/>
      <c r="CF2" s="63"/>
      <c r="CG2" s="63"/>
      <c r="CH2" s="49"/>
      <c r="CI2" s="49"/>
      <c r="CJ2" s="49"/>
      <c r="CK2" s="49"/>
      <c r="CL2" s="49"/>
      <c r="CM2" s="49"/>
      <c r="CN2" s="49"/>
      <c r="CO2" s="49"/>
      <c r="CP2" s="49"/>
      <c r="CQ2" s="49"/>
      <c r="CR2" s="49"/>
      <c r="CS2" s="49"/>
      <c r="CT2" s="49"/>
      <c r="CU2" s="61"/>
      <c r="CV2" s="61"/>
      <c r="CW2" s="61"/>
      <c r="CX2" s="61"/>
      <c r="CY2" s="61"/>
      <c r="CZ2" s="61"/>
      <c r="DA2" s="61"/>
      <c r="DB2" s="61"/>
      <c r="DC2" s="61"/>
      <c r="DD2" s="61"/>
      <c r="DE2" s="61"/>
      <c r="DF2" s="61"/>
      <c r="DG2" s="61"/>
      <c r="DH2" s="63"/>
      <c r="DI2" s="67"/>
      <c r="DJ2" s="68"/>
      <c r="DK2" s="68"/>
      <c r="DL2" s="63"/>
      <c r="DM2" s="63"/>
      <c r="DN2" s="63"/>
      <c r="DO2" s="63"/>
      <c r="DP2" s="63"/>
      <c r="DQ2" s="67"/>
      <c r="DR2" s="68"/>
      <c r="DS2" s="63"/>
      <c r="DT2" s="63"/>
      <c r="DU2" s="63"/>
      <c r="DV2" s="49"/>
      <c r="DW2" s="49"/>
      <c r="DX2" s="49"/>
    </row>
    <row r="3" spans="1:128" ht="18.75" customHeight="1">
      <c r="A3" s="49"/>
      <c r="B3" s="49"/>
      <c r="C3" s="49"/>
      <c r="D3" s="49"/>
      <c r="E3" s="71"/>
      <c r="F3" s="72"/>
      <c r="G3" s="72"/>
      <c r="H3" s="73"/>
      <c r="I3" s="74">
        <v>1981</v>
      </c>
      <c r="J3" s="75"/>
      <c r="K3" s="76">
        <v>9</v>
      </c>
      <c r="L3" s="76">
        <v>7</v>
      </c>
      <c r="M3" s="77" t="s">
        <v>200</v>
      </c>
      <c r="N3" s="49"/>
      <c r="O3" s="60"/>
      <c r="P3" s="60"/>
      <c r="Q3" s="60"/>
      <c r="R3" s="60"/>
      <c r="S3" s="60"/>
      <c r="T3" s="49"/>
      <c r="U3" s="52"/>
      <c r="V3" s="49"/>
      <c r="W3" s="49"/>
      <c r="X3" s="53"/>
      <c r="Y3" s="49"/>
      <c r="Z3" s="63"/>
      <c r="AA3" s="53"/>
      <c r="AB3" s="53"/>
      <c r="AC3" s="49"/>
      <c r="AD3" s="63"/>
      <c r="AE3" s="60"/>
      <c r="AF3" s="60"/>
      <c r="AG3" s="60"/>
      <c r="AH3" s="60"/>
      <c r="AI3" s="64"/>
      <c r="AJ3" s="78" t="s">
        <v>201</v>
      </c>
      <c r="AK3" s="79" t="s">
        <v>202</v>
      </c>
      <c r="AL3" s="80" t="s">
        <v>203</v>
      </c>
      <c r="AM3" s="81"/>
      <c r="AN3" s="82" t="s">
        <v>204</v>
      </c>
      <c r="AO3" s="82" t="s">
        <v>205</v>
      </c>
      <c r="AP3" s="83" t="s">
        <v>206</v>
      </c>
      <c r="AQ3" s="84" t="s">
        <v>207</v>
      </c>
      <c r="AR3" s="60"/>
      <c r="AS3" s="60"/>
      <c r="AT3" s="60"/>
      <c r="AU3" s="63"/>
      <c r="AV3" s="63"/>
      <c r="AW3" s="63"/>
      <c r="AX3" s="63"/>
      <c r="AY3" s="49"/>
      <c r="AZ3" s="49"/>
      <c r="BA3" s="49"/>
      <c r="BB3" s="49"/>
      <c r="BC3" s="49"/>
      <c r="BD3" s="49"/>
      <c r="BE3" s="49"/>
      <c r="BF3" s="49"/>
      <c r="BG3" s="49"/>
      <c r="BH3" s="49"/>
      <c r="BI3" s="60"/>
      <c r="BJ3" s="60"/>
      <c r="BK3" s="60"/>
      <c r="BL3" s="49"/>
      <c r="BM3" s="49"/>
      <c r="BN3" s="49"/>
      <c r="BO3" s="49"/>
      <c r="BP3" s="49"/>
      <c r="BQ3" s="49"/>
      <c r="BR3" s="49"/>
      <c r="BS3" s="49"/>
      <c r="BT3" s="49"/>
      <c r="BU3" s="49"/>
      <c r="BV3" s="49"/>
      <c r="BW3" s="63"/>
      <c r="BX3" s="63"/>
      <c r="BY3" s="63"/>
      <c r="BZ3" s="63"/>
      <c r="CA3" s="85"/>
      <c r="CB3" s="85"/>
      <c r="CC3" s="85"/>
      <c r="CD3" s="86"/>
      <c r="CE3" s="67"/>
      <c r="CF3" s="68"/>
      <c r="CG3" s="63"/>
      <c r="CH3" s="49"/>
      <c r="CI3" s="49"/>
      <c r="CJ3" s="49"/>
      <c r="CK3" s="49"/>
      <c r="CL3" s="49"/>
      <c r="CM3" s="49"/>
      <c r="CN3" s="49"/>
      <c r="CO3" s="49"/>
      <c r="CP3" s="49"/>
      <c r="CQ3" s="49"/>
      <c r="CR3" s="49"/>
      <c r="CS3" s="49"/>
      <c r="CT3" s="49"/>
      <c r="CU3" s="49"/>
      <c r="CV3" s="49"/>
      <c r="CW3" s="49"/>
      <c r="CX3" s="49"/>
      <c r="CY3" s="49"/>
      <c r="CZ3" s="67"/>
      <c r="DA3" s="68"/>
      <c r="DB3" s="49"/>
      <c r="DC3" s="49"/>
      <c r="DD3" s="49"/>
      <c r="DE3" s="49"/>
      <c r="DF3" s="49"/>
      <c r="DG3" s="49"/>
      <c r="DH3" s="63"/>
      <c r="DI3" s="67"/>
      <c r="DJ3" s="68"/>
      <c r="DK3" s="68"/>
      <c r="DL3" s="63"/>
      <c r="DM3" s="63"/>
      <c r="DN3" s="67"/>
      <c r="DO3" s="68"/>
      <c r="DP3" s="63"/>
      <c r="DQ3" s="63"/>
      <c r="DR3" s="63"/>
      <c r="DS3" s="63"/>
      <c r="DT3" s="63"/>
      <c r="DU3" s="49"/>
      <c r="DV3" s="49"/>
      <c r="DW3" s="49"/>
      <c r="DX3" s="49"/>
    </row>
    <row r="4" spans="1:128" ht="6" customHeight="1">
      <c r="A4" s="49"/>
      <c r="B4" s="49"/>
      <c r="C4" s="49"/>
      <c r="D4" s="49"/>
      <c r="E4" s="49"/>
      <c r="F4" s="49"/>
      <c r="G4" s="49"/>
      <c r="H4" s="49"/>
      <c r="I4" s="49"/>
      <c r="J4" s="49"/>
      <c r="K4" s="49"/>
      <c r="L4" s="49"/>
      <c r="M4" s="49"/>
      <c r="N4" s="49"/>
      <c r="O4" s="49"/>
      <c r="P4" s="49"/>
      <c r="Q4" s="49"/>
      <c r="R4" s="49"/>
      <c r="S4" s="49"/>
      <c r="T4" s="49"/>
      <c r="U4" s="52"/>
      <c r="V4" s="49"/>
      <c r="W4" s="49"/>
      <c r="X4" s="53"/>
      <c r="Y4" s="49"/>
      <c r="Z4" s="63"/>
      <c r="AA4" s="53"/>
      <c r="AB4" s="53"/>
      <c r="AC4" s="49"/>
      <c r="AD4" s="63"/>
      <c r="AE4" s="63"/>
      <c r="AF4" s="49"/>
      <c r="AG4" s="49"/>
      <c r="AH4" s="49"/>
      <c r="AI4" s="49"/>
      <c r="AJ4" s="87"/>
      <c r="AK4" s="88"/>
      <c r="AL4" s="89"/>
      <c r="AM4" s="90"/>
      <c r="AN4" s="88"/>
      <c r="AO4" s="91"/>
      <c r="AP4" s="88"/>
      <c r="AQ4" s="92"/>
      <c r="AR4" s="49"/>
      <c r="AS4" s="49"/>
      <c r="AT4" s="49"/>
      <c r="AU4" s="63"/>
      <c r="AV4" s="63"/>
      <c r="AW4" s="63"/>
      <c r="AX4" s="63"/>
      <c r="AY4" s="63"/>
      <c r="AZ4" s="49"/>
      <c r="BA4" s="49"/>
      <c r="BB4" s="49"/>
      <c r="BC4" s="49"/>
      <c r="BD4" s="49"/>
      <c r="BE4" s="49"/>
      <c r="BF4" s="49"/>
      <c r="BG4" s="49"/>
      <c r="BH4" s="49"/>
      <c r="BI4" s="49"/>
      <c r="BJ4" s="49"/>
      <c r="BK4" s="49"/>
      <c r="BL4" s="49"/>
      <c r="BM4" s="49"/>
      <c r="BN4" s="49"/>
      <c r="BO4" s="49"/>
      <c r="BP4" s="49"/>
      <c r="BQ4" s="49"/>
      <c r="BR4" s="49"/>
      <c r="BS4" s="49"/>
      <c r="BT4" s="49"/>
      <c r="BU4" s="49"/>
      <c r="BV4" s="49"/>
      <c r="BW4" s="63"/>
      <c r="BX4" s="63"/>
      <c r="BY4" s="63"/>
      <c r="BZ4" s="63"/>
      <c r="CA4" s="93"/>
      <c r="CB4" s="93"/>
      <c r="CC4" s="94"/>
      <c r="CD4" s="68"/>
      <c r="CE4" s="67"/>
      <c r="CF4" s="68"/>
      <c r="CG4" s="63"/>
      <c r="CH4" s="49"/>
      <c r="CI4" s="49"/>
      <c r="CJ4" s="49"/>
      <c r="CK4" s="49"/>
      <c r="CL4" s="49"/>
      <c r="CM4" s="49"/>
      <c r="CN4" s="49"/>
      <c r="CO4" s="49"/>
      <c r="CP4" s="49"/>
      <c r="CQ4" s="49"/>
      <c r="CR4" s="49"/>
      <c r="CS4" s="95"/>
      <c r="CT4" s="49"/>
      <c r="CU4" s="49"/>
      <c r="CV4" s="49"/>
      <c r="CW4" s="49"/>
      <c r="CX4" s="49"/>
      <c r="CY4" s="49"/>
      <c r="CZ4" s="49"/>
      <c r="DA4" s="49"/>
      <c r="DB4" s="49"/>
      <c r="DC4" s="49"/>
      <c r="DD4" s="49"/>
      <c r="DE4" s="49"/>
      <c r="DF4" s="49"/>
      <c r="DG4" s="49"/>
      <c r="DH4" s="63"/>
      <c r="DI4" s="63"/>
      <c r="DJ4" s="63"/>
      <c r="DK4" s="63"/>
      <c r="DL4" s="63"/>
      <c r="DM4" s="63"/>
      <c r="DN4" s="63"/>
      <c r="DO4" s="63"/>
      <c r="DP4" s="63"/>
      <c r="DQ4" s="63"/>
      <c r="DR4" s="63"/>
      <c r="DS4" s="63"/>
      <c r="DT4" s="63"/>
      <c r="DU4" s="63"/>
      <c r="DV4" s="49"/>
      <c r="DW4" s="49"/>
      <c r="DX4" s="49"/>
    </row>
    <row r="5" spans="1:128" ht="18" customHeight="1">
      <c r="A5" s="49"/>
      <c r="B5" s="49"/>
      <c r="C5" s="49"/>
      <c r="D5" s="49"/>
      <c r="E5" s="96"/>
      <c r="F5" s="97">
        <f>I139</f>
        <v>25</v>
      </c>
      <c r="G5" s="97">
        <f>I141</f>
        <v>33</v>
      </c>
      <c r="H5" s="97">
        <f>H137</f>
        <v>58</v>
      </c>
      <c r="I5" s="98"/>
      <c r="J5" s="99"/>
      <c r="K5" s="73"/>
      <c r="L5" s="99" t="str">
        <f>I129</f>
        <v>調舒星</v>
      </c>
      <c r="M5" s="73"/>
      <c r="N5" s="99">
        <f>VLOOKUP(I133,$BQ$191:$BT$202,2,FALSE)</f>
        <v>0</v>
      </c>
      <c r="O5" s="73"/>
      <c r="P5" s="49"/>
      <c r="Q5" s="49"/>
      <c r="R5" s="49"/>
      <c r="S5" s="49"/>
      <c r="T5" s="49"/>
      <c r="U5" s="52"/>
      <c r="V5" s="49"/>
      <c r="W5" s="49"/>
      <c r="X5" s="53"/>
      <c r="Y5" s="49"/>
      <c r="Z5" s="49"/>
      <c r="AA5" s="53"/>
      <c r="AB5" s="53"/>
      <c r="AC5" s="49"/>
      <c r="AD5" s="49"/>
      <c r="AE5" s="49"/>
      <c r="AF5" s="100"/>
      <c r="AG5" s="101" t="str">
        <f>VLOOKUP(LEFT(L5,3),$AN$220:$AO$229,2,FALSE)</f>
        <v>火</v>
      </c>
      <c r="AH5" s="100"/>
      <c r="AI5" s="63"/>
      <c r="AJ5" s="102" t="str">
        <f t="shared" ref="AJ5:AJ14" si="0">VLOOKUP(AL5&amp;$F$6,$A$155:$D$254,4,FALSE)</f>
        <v>甲</v>
      </c>
      <c r="AK5" s="103">
        <f t="shared" ref="AK5:AK14" si="1">HLOOKUP(AJ5,$BV$136:$CG$146,11,FALSE)</f>
        <v>0</v>
      </c>
      <c r="AL5" s="104" t="str">
        <f>B150</f>
        <v>車騎星</v>
      </c>
      <c r="AM5" s="105"/>
      <c r="AN5" s="106">
        <f t="shared" ref="AN5:AN14" si="2">ROUND(HLOOKUP(AJ5,$BV$147:$CG$157,11,FALSE)/$CH$157*100/IF(AK5=0,1,AK5),0)</f>
        <v>0</v>
      </c>
      <c r="AO5" s="100">
        <f t="shared" ref="AO5:AO14" si="3">ROUND(HLOOKUP(AJ5,$BV$147:$CG$157,11,FALSE)/$CH$157*100/IF(AK5=0,1,AK5),0)*AK5</f>
        <v>0</v>
      </c>
      <c r="AP5" s="103">
        <f t="shared" ref="AP5:AP14" si="4">ROUND(HLOOKUP(AJ5,$BV$147:$CG$155,9,FALSE)/$CH$155*100,0)</f>
        <v>0</v>
      </c>
      <c r="AQ5" s="107">
        <f>[1]意識と無意識!G4</f>
        <v>0</v>
      </c>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c r="BW5" s="63" t="s">
        <v>208</v>
      </c>
      <c r="BX5" s="63" t="s">
        <v>198</v>
      </c>
      <c r="BY5" s="63"/>
      <c r="BZ5" s="108"/>
      <c r="CA5" s="63"/>
      <c r="CB5" s="63"/>
      <c r="CC5" s="63"/>
      <c r="CD5" s="109"/>
      <c r="CE5" s="67"/>
      <c r="CF5" s="68"/>
      <c r="CG5" s="63"/>
      <c r="CH5" s="63"/>
      <c r="CI5" s="49"/>
      <c r="CJ5" s="49"/>
      <c r="CK5" s="49"/>
      <c r="CL5" s="49"/>
      <c r="CM5" s="49"/>
      <c r="CN5" s="49"/>
      <c r="CO5" s="49"/>
      <c r="CP5" s="49"/>
      <c r="CQ5" s="49"/>
      <c r="CR5" s="49"/>
      <c r="CS5" s="49"/>
      <c r="CT5" s="49"/>
      <c r="CU5" s="49"/>
      <c r="CV5" s="49"/>
      <c r="CW5" s="49"/>
      <c r="CX5" s="49"/>
      <c r="CY5" s="49"/>
      <c r="CZ5" s="49"/>
      <c r="DA5" s="49"/>
      <c r="DB5" s="49"/>
      <c r="DC5" s="49"/>
      <c r="DD5" s="49"/>
      <c r="DE5" s="49"/>
      <c r="DF5" s="49"/>
      <c r="DG5" s="49"/>
      <c r="DH5" s="49"/>
      <c r="DI5" s="49"/>
      <c r="DJ5" s="49"/>
      <c r="DK5" s="49"/>
      <c r="DL5" s="49"/>
      <c r="DM5" s="49"/>
      <c r="DN5" s="49"/>
      <c r="DO5" s="49"/>
      <c r="DP5" s="49"/>
      <c r="DQ5" s="49"/>
      <c r="DR5" s="49"/>
      <c r="DS5" s="49"/>
      <c r="DT5" s="49"/>
      <c r="DU5" s="49"/>
      <c r="DV5" s="49"/>
      <c r="DW5" s="49"/>
      <c r="DX5" s="49"/>
    </row>
    <row r="6" spans="1:128" ht="18" customHeight="1">
      <c r="A6" s="49"/>
      <c r="B6" s="49"/>
      <c r="C6" s="49"/>
      <c r="D6" s="49"/>
      <c r="E6" s="110" t="str">
        <f>IF(F5&lt;11,"戌",IF(F5&lt;21,"申",IF(F5&lt;31,"午",IF(F5&lt;41,"辰",IF(F5&lt;51,"寅","子")))))</f>
        <v>午</v>
      </c>
      <c r="F6" s="111" t="str">
        <f>VLOOKUP($F$5,$AG$140:$AN$200,8,FALSE)</f>
        <v>戊</v>
      </c>
      <c r="G6" s="111" t="str">
        <f>VLOOKUP($G$5,$AG$140:$AN$200,8,FALSE)</f>
        <v>丙</v>
      </c>
      <c r="H6" s="111" t="str">
        <f>VLOOKUP($H$5,$AG$140:$AN$200,8,FALSE)</f>
        <v>辛</v>
      </c>
      <c r="I6" s="49"/>
      <c r="J6" s="99" t="str">
        <f>IF(AL202=1,G130,IF(AL202=2,G131,G132))</f>
        <v>司禄星</v>
      </c>
      <c r="K6" s="73"/>
      <c r="L6" s="99" t="str">
        <f>IF(AM202=1,H130,IF(AM202=2,H131,H132))</f>
        <v>鳳閣星</v>
      </c>
      <c r="M6" s="73"/>
      <c r="N6" s="99" t="str">
        <f>IF(AN202=1,I130,IF(AN202=2,I131,I132))</f>
        <v>調舒星</v>
      </c>
      <c r="O6" s="73"/>
      <c r="P6" s="49"/>
      <c r="Q6" s="49"/>
      <c r="R6" s="49"/>
      <c r="S6" s="49"/>
      <c r="T6" s="49"/>
      <c r="U6" s="52"/>
      <c r="V6" s="49" t="s">
        <v>209</v>
      </c>
      <c r="W6" s="49" t="s">
        <v>210</v>
      </c>
      <c r="X6" s="53"/>
      <c r="Y6" s="49"/>
      <c r="Z6" s="49"/>
      <c r="AA6" s="53"/>
      <c r="AB6" s="53"/>
      <c r="AC6" s="49"/>
      <c r="AD6" s="49"/>
      <c r="AE6" s="49"/>
      <c r="AF6" s="112" t="str">
        <f>VLOOKUP(LEFT(J6,3),$AN$220:$AO$229,2,FALSE)</f>
        <v>土</v>
      </c>
      <c r="AG6" s="101" t="str">
        <f>VLOOKUP(LEFT(L6,3),AN$220:$AO$229,2,FALSE)</f>
        <v>火</v>
      </c>
      <c r="AH6" s="112" t="str">
        <f>VLOOKUP(LEFT(N6,3),$AN$220:$AO$229,2,FALSE)</f>
        <v>火</v>
      </c>
      <c r="AI6" s="113"/>
      <c r="AJ6" s="114" t="str">
        <f t="shared" si="0"/>
        <v>乙</v>
      </c>
      <c r="AK6" s="115">
        <f t="shared" si="1"/>
        <v>0</v>
      </c>
      <c r="AL6" s="116" t="str">
        <f>B149</f>
        <v>牽牛星</v>
      </c>
      <c r="AM6" s="117"/>
      <c r="AN6" s="118">
        <f t="shared" si="2"/>
        <v>0</v>
      </c>
      <c r="AO6" s="119">
        <f t="shared" si="3"/>
        <v>0</v>
      </c>
      <c r="AP6" s="115">
        <f t="shared" si="4"/>
        <v>0</v>
      </c>
      <c r="AQ6" s="120">
        <f>[1]意識と無意識!G5</f>
        <v>0</v>
      </c>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121">
        <f>[1]五指裏干支占い!D2</f>
        <v>29836</v>
      </c>
      <c r="BX6" s="122" t="str">
        <f>[1]五指裏干支占い!E2</f>
        <v>男</v>
      </c>
      <c r="BY6" s="123"/>
      <c r="BZ6" s="63"/>
      <c r="CA6" s="63"/>
      <c r="CB6" s="63"/>
      <c r="CC6" s="63"/>
      <c r="CD6" s="109"/>
      <c r="CE6" s="67"/>
      <c r="CF6" s="68"/>
      <c r="CG6" s="63"/>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124"/>
      <c r="DK6" s="49"/>
      <c r="DL6" s="49"/>
      <c r="DM6" s="49"/>
      <c r="DN6" s="49"/>
      <c r="DO6" s="49"/>
      <c r="DP6" s="49"/>
      <c r="DQ6" s="49"/>
      <c r="DR6" s="49"/>
      <c r="DS6" s="49"/>
      <c r="DT6" s="49"/>
      <c r="DU6" s="49"/>
      <c r="DV6" s="49"/>
      <c r="DW6" s="49"/>
      <c r="DX6" s="49"/>
    </row>
    <row r="7" spans="1:128" ht="18" customHeight="1">
      <c r="A7" s="49"/>
      <c r="B7" s="49"/>
      <c r="C7" s="49"/>
      <c r="D7" s="49"/>
      <c r="E7" s="69" t="str">
        <f>IF(F5&lt;11,"亥",IF(F5&lt;21,"酉",IF(F5&lt;31,"未",IF(F5&lt;41,"巳",IF(F5&lt;51,"卯","丑")))))</f>
        <v>未</v>
      </c>
      <c r="F7" s="111" t="str">
        <f>VLOOKUP($F$5,$AG$140:$AM$199,6,FALSE)</f>
        <v>子</v>
      </c>
      <c r="G7" s="111" t="str">
        <f>VLOOKUP($G$5,$AG$140:$AM$199,6,FALSE)</f>
        <v>申</v>
      </c>
      <c r="H7" s="111" t="str">
        <f>VLOOKUP($H$5,$AG$140:$AM$199,6,FALSE)</f>
        <v>酉</v>
      </c>
      <c r="I7" s="49"/>
      <c r="J7" s="99">
        <f>VLOOKUP(G133,$BQ$191:$BT$202,2,FALSE)</f>
        <v>0</v>
      </c>
      <c r="K7" s="73"/>
      <c r="L7" s="99" t="str">
        <f>H129</f>
        <v>龍高星</v>
      </c>
      <c r="M7" s="73"/>
      <c r="N7" s="99">
        <f>VLOOKUP(H133,$BQ$191:$BT$202,2,FALSE)</f>
        <v>0</v>
      </c>
      <c r="O7" s="73"/>
      <c r="P7" s="49"/>
      <c r="Q7" s="49"/>
      <c r="R7" s="49"/>
      <c r="S7" s="49"/>
      <c r="T7" s="49"/>
      <c r="U7" s="52"/>
      <c r="V7" s="53" t="s">
        <v>211</v>
      </c>
      <c r="W7" s="53" t="s">
        <v>212</v>
      </c>
      <c r="X7" s="53"/>
      <c r="Y7" s="49"/>
      <c r="Z7" s="49"/>
      <c r="AA7" s="53"/>
      <c r="AB7" s="53"/>
      <c r="AC7" s="49"/>
      <c r="AD7" s="49"/>
      <c r="AE7" s="49"/>
      <c r="AF7" s="100"/>
      <c r="AG7" s="101" t="str">
        <f>VLOOKUP(LEFT(L7,3),$AN$220:$AO$229,2,FALSE)</f>
        <v>水</v>
      </c>
      <c r="AH7" s="100"/>
      <c r="AI7" s="63"/>
      <c r="AJ7" s="102" t="str">
        <f t="shared" si="0"/>
        <v>丙</v>
      </c>
      <c r="AK7" s="103">
        <f t="shared" si="1"/>
        <v>1</v>
      </c>
      <c r="AL7" s="104" t="str">
        <f>B152</f>
        <v>龍高星</v>
      </c>
      <c r="AM7" s="105"/>
      <c r="AN7" s="106">
        <f t="shared" si="2"/>
        <v>6</v>
      </c>
      <c r="AO7" s="106">
        <f t="shared" si="3"/>
        <v>6</v>
      </c>
      <c r="AP7" s="103">
        <f t="shared" si="4"/>
        <v>6</v>
      </c>
      <c r="AQ7" s="107">
        <f>[1]意識と無意識!G6</f>
        <v>5</v>
      </c>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c r="BS7" s="49"/>
      <c r="BT7" s="63"/>
      <c r="BU7" s="49"/>
      <c r="BV7" s="49"/>
      <c r="BW7" s="63"/>
      <c r="BX7" s="63"/>
      <c r="BY7" s="123"/>
      <c r="BZ7" s="63"/>
      <c r="CA7" s="63"/>
      <c r="CB7" s="63"/>
      <c r="CC7" s="63"/>
      <c r="CD7" s="63"/>
      <c r="CE7" s="63"/>
      <c r="CF7" s="63"/>
      <c r="CG7" s="63"/>
      <c r="CH7" s="49"/>
      <c r="CI7" s="49"/>
      <c r="CJ7" s="49"/>
      <c r="CK7" s="49"/>
      <c r="CL7" s="49"/>
      <c r="CM7" s="49"/>
      <c r="CN7" s="49"/>
      <c r="CO7" s="49"/>
      <c r="CP7" s="49"/>
      <c r="CQ7" s="49"/>
      <c r="CR7" s="49"/>
      <c r="CS7" s="49"/>
      <c r="CT7" s="49"/>
      <c r="CU7" s="49"/>
      <c r="CV7" s="49"/>
      <c r="CW7" s="49"/>
      <c r="CX7" s="49"/>
      <c r="CY7" s="49"/>
      <c r="CZ7" s="49"/>
      <c r="DA7" s="49"/>
      <c r="DB7" s="49"/>
      <c r="DC7" s="49"/>
      <c r="DD7" s="49"/>
      <c r="DE7" s="49"/>
      <c r="DF7" s="49"/>
      <c r="DG7" s="49"/>
      <c r="DH7" s="49"/>
      <c r="DI7" s="49"/>
      <c r="DJ7" s="49"/>
      <c r="DK7" s="49"/>
      <c r="DL7" s="49"/>
      <c r="DM7" s="49"/>
      <c r="DN7" s="49"/>
      <c r="DO7" s="49"/>
      <c r="DP7" s="49"/>
      <c r="DQ7" s="49"/>
      <c r="DR7" s="49"/>
      <c r="DS7" s="49"/>
      <c r="DT7" s="49"/>
      <c r="DU7" s="49"/>
      <c r="DV7" s="49"/>
      <c r="DW7" s="49"/>
      <c r="DX7" s="49"/>
    </row>
    <row r="8" spans="1:128" ht="28.5" customHeight="1">
      <c r="A8" s="49"/>
      <c r="B8" s="49"/>
      <c r="C8" s="49"/>
      <c r="D8" s="49"/>
      <c r="E8" s="125" t="str">
        <f>E6&amp;E7</f>
        <v>午未</v>
      </c>
      <c r="F8" s="111" t="str">
        <f>IF(VLOOKUP($F$5,$AG$140:$BT$200,9,FALSE)="","-",VLOOKUP($F$5,$AG$140:$BT$200,9,FALSE))</f>
        <v>-</v>
      </c>
      <c r="G8" s="111" t="str">
        <f>IF(VLOOKUP($G$5,$AG$140:$BT$200,9,FALSE)="","-",VLOOKUP($G$5,$AG$140:$BT$200,9,FALSE))</f>
        <v>戊</v>
      </c>
      <c r="H8" s="111" t="str">
        <f>IF(VLOOKUP($H$5,$AG$140:$BT$200,9,FALSE)="","-",VLOOKUP($H$5,$AG$140:$BT$200,9,FALSE))</f>
        <v>-</v>
      </c>
      <c r="I8" s="49"/>
      <c r="J8" s="49"/>
      <c r="K8" s="49" t="s">
        <v>213</v>
      </c>
      <c r="L8" s="49"/>
      <c r="M8" s="49"/>
      <c r="N8" s="49"/>
      <c r="O8" s="49" t="s">
        <v>214</v>
      </c>
      <c r="P8" s="49"/>
      <c r="Q8" s="49"/>
      <c r="R8" s="49"/>
      <c r="S8" s="49"/>
      <c r="T8" s="49"/>
      <c r="U8" s="52"/>
      <c r="V8" s="53" t="s">
        <v>215</v>
      </c>
      <c r="W8" s="53" t="s">
        <v>216</v>
      </c>
      <c r="X8" s="53"/>
      <c r="Y8" s="49"/>
      <c r="Z8" s="49"/>
      <c r="AA8" s="53"/>
      <c r="AB8" s="53"/>
      <c r="AC8" s="49"/>
      <c r="AD8" s="49"/>
      <c r="AE8" s="49"/>
      <c r="AF8" s="126" t="s">
        <v>217</v>
      </c>
      <c r="AG8" s="127"/>
      <c r="AH8" s="49" t="str">
        <f>IF(LEFT(BT138,3)="",O120,LEFT(BT138,3))</f>
        <v>司禄星</v>
      </c>
      <c r="AI8" s="49"/>
      <c r="AJ8" s="128" t="str">
        <f t="shared" si="0"/>
        <v>丁</v>
      </c>
      <c r="AK8" s="129">
        <f t="shared" si="1"/>
        <v>0</v>
      </c>
      <c r="AL8" s="130" t="str">
        <f>B151</f>
        <v>玉堂星</v>
      </c>
      <c r="AM8" s="131"/>
      <c r="AN8" s="119">
        <f t="shared" si="2"/>
        <v>0</v>
      </c>
      <c r="AO8" s="119">
        <f t="shared" si="3"/>
        <v>0</v>
      </c>
      <c r="AP8" s="129">
        <f t="shared" si="4"/>
        <v>0</v>
      </c>
      <c r="AQ8" s="120">
        <f>[1]意識と無意識!G7</f>
        <v>0</v>
      </c>
      <c r="AR8" s="49"/>
      <c r="AS8" s="49"/>
      <c r="AT8" s="49"/>
      <c r="AU8" s="49"/>
      <c r="AV8" s="49"/>
      <c r="AW8" s="49"/>
      <c r="AX8" s="49"/>
      <c r="AY8" s="49"/>
      <c r="AZ8" s="49"/>
      <c r="BA8" s="49"/>
      <c r="BB8" s="49"/>
      <c r="BC8" s="49"/>
      <c r="BD8" s="49"/>
      <c r="BE8" s="49"/>
      <c r="BF8" s="49"/>
      <c r="BG8" s="49"/>
      <c r="BH8" s="49"/>
      <c r="BI8" s="49"/>
      <c r="BJ8" s="49"/>
      <c r="BK8" s="49"/>
      <c r="BL8" s="49"/>
      <c r="BM8" s="49"/>
      <c r="BN8" s="49"/>
      <c r="BO8" s="49"/>
      <c r="BP8" s="49"/>
      <c r="BQ8" s="49"/>
      <c r="BR8" s="49"/>
      <c r="BS8" s="49"/>
      <c r="BT8" s="49"/>
      <c r="BU8" s="49"/>
      <c r="BV8" s="49"/>
      <c r="BW8" s="132"/>
      <c r="BX8" s="85"/>
      <c r="BY8" s="63"/>
      <c r="BZ8" s="63"/>
      <c r="CA8" s="132"/>
      <c r="CB8" s="132"/>
      <c r="CC8" s="132"/>
      <c r="CD8" s="85"/>
      <c r="CE8" s="63"/>
      <c r="CF8" s="63"/>
      <c r="CG8" s="63"/>
      <c r="CH8" s="49"/>
      <c r="CI8" s="49"/>
      <c r="CJ8" s="49"/>
      <c r="CK8" s="49"/>
      <c r="CL8" s="49"/>
      <c r="CM8" s="49"/>
      <c r="CN8" s="49"/>
      <c r="CO8" s="49"/>
      <c r="CP8" s="49"/>
      <c r="CQ8" s="49"/>
      <c r="CR8" s="49"/>
      <c r="CS8" s="49"/>
      <c r="CT8" s="49"/>
      <c r="CU8" s="49"/>
      <c r="CV8" s="49"/>
      <c r="CW8" s="49"/>
      <c r="CX8" s="49"/>
      <c r="CY8" s="49"/>
      <c r="CZ8" s="49"/>
      <c r="DA8" s="49"/>
      <c r="DB8" s="49"/>
      <c r="DC8" s="49"/>
      <c r="DD8" s="49"/>
      <c r="DE8" s="49"/>
      <c r="DF8" s="49"/>
      <c r="DG8" s="49"/>
      <c r="DH8" s="49"/>
      <c r="DI8" s="49"/>
      <c r="DJ8" s="49"/>
      <c r="DK8" s="49"/>
      <c r="DL8" s="49"/>
      <c r="DM8" s="49"/>
      <c r="DN8" s="49"/>
      <c r="DO8" s="49"/>
      <c r="DP8" s="49"/>
      <c r="DQ8" s="49"/>
      <c r="DR8" s="49"/>
      <c r="DS8" s="49"/>
      <c r="DT8" s="49"/>
      <c r="DU8" s="49"/>
      <c r="DV8" s="49"/>
      <c r="DW8" s="49"/>
      <c r="DX8" s="49"/>
    </row>
    <row r="9" spans="1:128" ht="18" customHeight="1">
      <c r="A9" s="49"/>
      <c r="B9" s="49"/>
      <c r="C9" s="49"/>
      <c r="D9" s="49"/>
      <c r="E9" s="133"/>
      <c r="F9" s="111" t="str">
        <f>IF(VLOOKUP($F$5,$AG$140:$BT$200,10,FALSE)="","-",VLOOKUP($F$5,$AG$140:$BT$200,10,FALSE))</f>
        <v>-</v>
      </c>
      <c r="G9" s="111" t="str">
        <f>IF(VLOOKUP($G$5,$AG$140:$BT$200,10,FALSE)="","-",VLOOKUP($G$5,$AG$140:$BT$200,10,FALSE))</f>
        <v>壬</v>
      </c>
      <c r="H9" s="111" t="str">
        <f>IF(VLOOKUP($H$5,$AG$140:$BT$200,10,FALSE)="","-",VLOOKUP($H$5,$AG$140:$BT$200,10,FALSE))</f>
        <v>-</v>
      </c>
      <c r="I9" s="49"/>
      <c r="J9" s="134" t="e">
        <f>M126&amp;N126</f>
        <v>#N/A</v>
      </c>
      <c r="K9" s="63" t="e">
        <f>IF(N126="×","",HLOOKUP(RIGHT(J9,1),BV147:CG154,8,FALSE)&amp;" -")</f>
        <v>#N/A</v>
      </c>
      <c r="L9" s="100" t="e">
        <f>P126&amp;AF126</f>
        <v>#N/A</v>
      </c>
      <c r="M9" s="53" t="e">
        <f>IF(AF126="×","",HLOOKUP(RIGHT(L9,1),BV147:CG154,8,FALSE))</f>
        <v>#N/A</v>
      </c>
      <c r="N9" s="100" t="e">
        <f>AH126&amp;AI126</f>
        <v>#N/A</v>
      </c>
      <c r="O9" s="53" t="e">
        <f>IF(AI126="×","",HLOOKUP(RIGHT(N9,1),BV147:CG154,8,FALSE)&amp;" -")</f>
        <v>#N/A</v>
      </c>
      <c r="P9" s="100" t="e">
        <f>AK126&amp;AL126</f>
        <v>#N/A</v>
      </c>
      <c r="Q9" s="135"/>
      <c r="R9" s="135"/>
      <c r="S9" s="135"/>
      <c r="T9" s="49"/>
      <c r="U9" s="52"/>
      <c r="V9" s="53" t="s">
        <v>218</v>
      </c>
      <c r="W9" s="53" t="s">
        <v>219</v>
      </c>
      <c r="X9" s="53"/>
      <c r="Y9" s="49"/>
      <c r="Z9" s="49"/>
      <c r="AA9" s="53"/>
      <c r="AB9" s="53"/>
      <c r="AC9" s="49"/>
      <c r="AD9" s="49"/>
      <c r="AE9" s="49"/>
      <c r="AF9" s="53" t="e">
        <f>IF(AL126="×","",HLOOKUP(AL126,BV147:CG154,8,FALSE)&amp;" -")</f>
        <v>#N/A</v>
      </c>
      <c r="AG9" s="63"/>
      <c r="AH9" s="49"/>
      <c r="AI9" s="49"/>
      <c r="AJ9" s="136" t="str">
        <f t="shared" si="0"/>
        <v>戊</v>
      </c>
      <c r="AK9" s="137">
        <f t="shared" si="1"/>
        <v>2</v>
      </c>
      <c r="AL9" s="138" t="str">
        <f>B144</f>
        <v>貫索星</v>
      </c>
      <c r="AM9" s="139"/>
      <c r="AN9" s="106">
        <f t="shared" si="2"/>
        <v>6</v>
      </c>
      <c r="AO9" s="106">
        <f t="shared" si="3"/>
        <v>12</v>
      </c>
      <c r="AP9" s="137">
        <f t="shared" si="4"/>
        <v>6</v>
      </c>
      <c r="AQ9" s="107">
        <f>[1]意識と無意識!G8</f>
        <v>2</v>
      </c>
      <c r="AR9" s="135"/>
      <c r="AS9" s="135"/>
      <c r="AT9" s="135"/>
      <c r="AU9" s="49"/>
      <c r="AV9" s="49"/>
      <c r="AW9" s="49"/>
      <c r="AX9" s="49"/>
      <c r="AY9" s="49"/>
      <c r="AZ9" s="49"/>
      <c r="BA9" s="49"/>
      <c r="BB9" s="49"/>
      <c r="BC9" s="49"/>
      <c r="BD9" s="49"/>
      <c r="BE9" s="49"/>
      <c r="BF9" s="49"/>
      <c r="BG9" s="49"/>
      <c r="BH9" s="49"/>
      <c r="BI9" s="135"/>
      <c r="BJ9" s="135"/>
      <c r="BK9" s="135"/>
      <c r="BL9" s="49"/>
      <c r="BM9" s="49"/>
      <c r="BN9" s="49"/>
      <c r="BO9" s="49"/>
      <c r="BP9" s="49"/>
      <c r="BQ9" s="49"/>
      <c r="BR9" s="49"/>
      <c r="BS9" s="49"/>
      <c r="BT9" s="49"/>
      <c r="BU9" s="49"/>
      <c r="BV9" s="49"/>
      <c r="BW9" s="140"/>
      <c r="BX9" s="63"/>
      <c r="BY9" s="141"/>
      <c r="BZ9" s="63"/>
      <c r="CA9" s="140"/>
      <c r="CB9" s="140"/>
      <c r="CC9" s="140"/>
      <c r="CD9" s="142"/>
      <c r="CE9" s="141"/>
      <c r="CF9" s="63"/>
      <c r="CG9" s="63"/>
      <c r="CH9" s="49"/>
      <c r="CI9" s="49"/>
      <c r="CJ9" s="49"/>
      <c r="CK9" s="49"/>
      <c r="CL9" s="49"/>
      <c r="CM9" s="49"/>
      <c r="CN9" s="49"/>
      <c r="CO9" s="49"/>
      <c r="CP9" s="49"/>
      <c r="CQ9" s="63"/>
      <c r="CR9" s="49"/>
      <c r="CS9" s="49"/>
      <c r="CT9" s="49"/>
      <c r="CU9" s="49"/>
      <c r="CV9" s="49"/>
      <c r="CW9" s="49"/>
      <c r="CX9" s="49"/>
      <c r="CY9" s="49"/>
      <c r="CZ9" s="49"/>
      <c r="DA9" s="49"/>
      <c r="DB9" s="49"/>
      <c r="DC9" s="49"/>
      <c r="DD9" s="49"/>
      <c r="DE9" s="49"/>
      <c r="DF9" s="49"/>
      <c r="DG9" s="49"/>
      <c r="DH9" s="49"/>
      <c r="DI9" s="49"/>
      <c r="DJ9" s="49"/>
      <c r="DK9" s="49"/>
      <c r="DL9" s="49"/>
      <c r="DM9" s="49"/>
      <c r="DN9" s="49"/>
      <c r="DO9" s="49"/>
      <c r="DP9" s="49"/>
      <c r="DQ9" s="49"/>
      <c r="DR9" s="49"/>
      <c r="DS9" s="49"/>
      <c r="DT9" s="49"/>
      <c r="DU9" s="49"/>
      <c r="DV9" s="49"/>
      <c r="DW9" s="49"/>
      <c r="DX9" s="49"/>
    </row>
    <row r="10" spans="1:128" ht="18" customHeight="1">
      <c r="A10" s="49"/>
      <c r="B10" s="49"/>
      <c r="C10" s="49"/>
      <c r="D10" s="49"/>
      <c r="E10" s="133"/>
      <c r="F10" s="111" t="str">
        <f>VLOOKUP($F$5,$AG$140:$BT$200,11,FALSE)</f>
        <v>癸</v>
      </c>
      <c r="G10" s="111" t="str">
        <f>VLOOKUP($G$5,$AG$140:$BT$200,11,FALSE)</f>
        <v>庚</v>
      </c>
      <c r="H10" s="111" t="str">
        <f>VLOOKUP($H$5,$AG$140:$BT$200,11,FALSE)</f>
        <v>辛</v>
      </c>
      <c r="I10" s="49"/>
      <c r="J10" s="143"/>
      <c r="K10" s="144"/>
      <c r="L10" s="144" t="s">
        <v>220</v>
      </c>
      <c r="M10" s="144" t="s">
        <v>221</v>
      </c>
      <c r="N10" s="144" t="s">
        <v>220</v>
      </c>
      <c r="O10" s="144"/>
      <c r="P10" s="144"/>
      <c r="Q10" s="144"/>
      <c r="R10" s="144"/>
      <c r="S10" s="144"/>
      <c r="T10" s="49"/>
      <c r="U10" s="52"/>
      <c r="V10" s="53" t="s">
        <v>222</v>
      </c>
      <c r="W10" s="53" t="s">
        <v>223</v>
      </c>
      <c r="X10" s="53"/>
      <c r="Y10" s="49"/>
      <c r="Z10" s="49"/>
      <c r="AA10" s="53"/>
      <c r="AB10" s="53"/>
      <c r="AC10" s="49"/>
      <c r="AD10" s="49"/>
      <c r="AE10" s="49"/>
      <c r="AF10" s="144" t="s">
        <v>224</v>
      </c>
      <c r="AG10" s="144"/>
      <c r="AH10" s="49"/>
      <c r="AI10" s="49"/>
      <c r="AJ10" s="114" t="str">
        <f t="shared" si="0"/>
        <v>己</v>
      </c>
      <c r="AK10" s="115">
        <f t="shared" si="1"/>
        <v>0</v>
      </c>
      <c r="AL10" s="116" t="str">
        <f>B143</f>
        <v>石門星</v>
      </c>
      <c r="AM10" s="117"/>
      <c r="AN10" s="119">
        <f t="shared" si="2"/>
        <v>0</v>
      </c>
      <c r="AO10" s="119">
        <f t="shared" si="3"/>
        <v>0</v>
      </c>
      <c r="AP10" s="115">
        <f t="shared" si="4"/>
        <v>0</v>
      </c>
      <c r="AQ10" s="120">
        <f>[1]意識と無意識!G9</f>
        <v>0</v>
      </c>
      <c r="AR10" s="144"/>
      <c r="AS10" s="144"/>
      <c r="AT10" s="144"/>
      <c r="AU10" s="49"/>
      <c r="AV10" s="49"/>
      <c r="AW10" s="49"/>
      <c r="AX10" s="49"/>
      <c r="AY10" s="49"/>
      <c r="AZ10" s="49"/>
      <c r="BA10" s="49"/>
      <c r="BB10" s="49"/>
      <c r="BC10" s="49"/>
      <c r="BD10" s="49"/>
      <c r="BE10" s="49"/>
      <c r="BF10" s="49"/>
      <c r="BG10" s="49"/>
      <c r="BH10" s="49"/>
      <c r="BI10" s="144"/>
      <c r="BJ10" s="144"/>
      <c r="BK10" s="144"/>
      <c r="BL10" s="49"/>
      <c r="BM10" s="49"/>
      <c r="BN10" s="49"/>
      <c r="BO10" s="49"/>
      <c r="BP10" s="49"/>
      <c r="BQ10" s="49"/>
      <c r="BR10" s="49"/>
      <c r="BS10" s="49"/>
      <c r="BT10" s="49"/>
      <c r="BU10" s="49"/>
      <c r="BV10" s="49"/>
      <c r="BW10" s="49"/>
      <c r="BX10" s="49"/>
      <c r="BY10" s="49"/>
      <c r="BZ10" s="140"/>
      <c r="CA10" s="49"/>
      <c r="CB10" s="49"/>
      <c r="CC10" s="49"/>
      <c r="CD10" s="49"/>
      <c r="CE10" s="49"/>
      <c r="CF10" s="49"/>
      <c r="CG10" s="49"/>
      <c r="CH10" s="49"/>
      <c r="CI10" s="49"/>
      <c r="CJ10" s="49"/>
      <c r="CK10" s="49"/>
      <c r="CL10" s="49"/>
      <c r="CM10" s="49"/>
      <c r="CN10" s="49"/>
      <c r="CO10" s="49"/>
      <c r="CP10" s="49"/>
      <c r="CQ10" s="63"/>
      <c r="CR10" s="49"/>
      <c r="CS10" s="49"/>
      <c r="CT10" s="49"/>
      <c r="CU10" s="49"/>
      <c r="CV10" s="49"/>
      <c r="CW10" s="49"/>
      <c r="CX10" s="49"/>
      <c r="CY10" s="49"/>
      <c r="CZ10" s="49"/>
      <c r="DA10" s="49"/>
      <c r="DB10" s="49"/>
      <c r="DC10" s="49"/>
      <c r="DD10" s="49"/>
      <c r="DE10" s="49"/>
      <c r="DF10" s="49"/>
      <c r="DG10" s="49"/>
      <c r="DH10" s="49"/>
      <c r="DI10" s="49"/>
      <c r="DJ10" s="49"/>
      <c r="DK10" s="49"/>
      <c r="DL10" s="49"/>
      <c r="DM10" s="49"/>
      <c r="DN10" s="49"/>
      <c r="DO10" s="49"/>
      <c r="DP10" s="49"/>
      <c r="DQ10" s="49"/>
      <c r="DR10" s="49"/>
      <c r="DS10" s="49"/>
      <c r="DT10" s="49"/>
      <c r="DU10" s="49"/>
      <c r="DV10" s="49"/>
      <c r="DW10" s="49"/>
      <c r="DX10" s="49"/>
    </row>
    <row r="11" spans="1:128" ht="18" customHeight="1">
      <c r="A11" s="49"/>
      <c r="B11" s="49"/>
      <c r="C11" s="49"/>
      <c r="D11" s="49"/>
      <c r="E11" s="50" t="str">
        <f>E8&amp;H11&amp;G11</f>
        <v>午未</v>
      </c>
      <c r="F11" s="49"/>
      <c r="G11" s="145" t="str">
        <f>IF(OR(E6=G7,E7=G7),"生月天中殺","")</f>
        <v/>
      </c>
      <c r="H11" s="146" t="str">
        <f>IF(E6=H7,"生年天中殺",IF(E7=H7,"生年天中殺",""))</f>
        <v/>
      </c>
      <c r="I11" s="49"/>
      <c r="J11" s="63" t="s">
        <v>225</v>
      </c>
      <c r="K11" s="63"/>
      <c r="L11" s="100" t="e">
        <f>P128&amp;AF128</f>
        <v>#N/A</v>
      </c>
      <c r="M11" s="53" t="e">
        <f>HLOOKUP(RIGHT(L11,1),BV147:CG154,8,FALSE)&amp;" -"</f>
        <v>#N/A</v>
      </c>
      <c r="N11" s="100" t="str">
        <f>AH128&amp;AI128</f>
        <v>丁0</v>
      </c>
      <c r="O11" s="53" t="e">
        <f>HLOOKUP(RIGHT(N11,1),BV147:CG154,8,FALSE)</f>
        <v>#N/A</v>
      </c>
      <c r="P11" s="100" t="e">
        <f>AK128&amp;AL128</f>
        <v>#N/A</v>
      </c>
      <c r="Q11" s="135"/>
      <c r="R11" s="135"/>
      <c r="S11" s="135"/>
      <c r="T11" s="49"/>
      <c r="U11" s="52"/>
      <c r="V11" s="53" t="s">
        <v>226</v>
      </c>
      <c r="W11" s="53" t="s">
        <v>227</v>
      </c>
      <c r="X11" s="53"/>
      <c r="Y11" s="49"/>
      <c r="Z11" s="63"/>
      <c r="AA11" s="53"/>
      <c r="AB11" s="53"/>
      <c r="AC11" s="49"/>
      <c r="AD11" s="63"/>
      <c r="AE11" s="49"/>
      <c r="AF11" s="53" t="e">
        <f>IF(AL128="×","",HLOOKUP(AL128,BV147:CG154,8,FALSE)&amp;" -")</f>
        <v>#N/A</v>
      </c>
      <c r="AG11" s="100" t="e">
        <f>AN128&amp;AO128</f>
        <v>#N/A</v>
      </c>
      <c r="AH11" s="53" t="e">
        <f>IF(AO128="×","",HLOOKUP(AO128,BV147:CG154,8,FALSE))</f>
        <v>#N/A</v>
      </c>
      <c r="AI11" s="53"/>
      <c r="AJ11" s="102" t="str">
        <f t="shared" si="0"/>
        <v>庚</v>
      </c>
      <c r="AK11" s="103">
        <f t="shared" si="1"/>
        <v>1</v>
      </c>
      <c r="AL11" s="104" t="str">
        <f>B146</f>
        <v>鳳閣星</v>
      </c>
      <c r="AM11" s="105"/>
      <c r="AN11" s="106">
        <f t="shared" si="2"/>
        <v>16</v>
      </c>
      <c r="AO11" s="106">
        <f t="shared" si="3"/>
        <v>16</v>
      </c>
      <c r="AP11" s="103">
        <f t="shared" si="4"/>
        <v>16</v>
      </c>
      <c r="AQ11" s="107">
        <f>[1]意識と無意識!G10</f>
        <v>1</v>
      </c>
      <c r="AR11" s="135"/>
      <c r="AS11" s="135"/>
      <c r="AT11" s="135"/>
      <c r="AU11" s="49"/>
      <c r="AV11" s="49"/>
      <c r="AW11" s="49"/>
      <c r="AX11" s="49"/>
      <c r="AY11" s="49"/>
      <c r="AZ11" s="49"/>
      <c r="BA11" s="49"/>
      <c r="BB11" s="49"/>
      <c r="BC11" s="49"/>
      <c r="BD11" s="49"/>
      <c r="BE11" s="49"/>
      <c r="BF11" s="49"/>
      <c r="BG11" s="49"/>
      <c r="BH11" s="49"/>
      <c r="BI11" s="135"/>
      <c r="BJ11" s="135"/>
      <c r="BK11" s="135"/>
      <c r="BL11" s="49"/>
      <c r="BM11" s="49"/>
      <c r="BN11" s="49"/>
      <c r="BO11" s="49"/>
      <c r="BP11" s="49"/>
      <c r="BQ11" s="49"/>
      <c r="BR11" s="49"/>
      <c r="BS11" s="49"/>
      <c r="BT11" s="49"/>
      <c r="BU11" s="49"/>
      <c r="BV11" s="49"/>
      <c r="BW11" s="147"/>
      <c r="BX11" s="148"/>
      <c r="BY11" s="149"/>
      <c r="BZ11" s="140"/>
      <c r="CA11" s="149"/>
      <c r="CB11" s="149"/>
      <c r="CC11" s="149"/>
      <c r="CD11" s="148"/>
      <c r="CE11" s="149"/>
      <c r="CF11" s="50">
        <v>1</v>
      </c>
      <c r="CG11" s="49"/>
      <c r="CH11" s="49"/>
      <c r="CI11" s="49"/>
      <c r="CJ11" s="49"/>
      <c r="CK11" s="49"/>
      <c r="CL11" s="49"/>
      <c r="CM11" s="49"/>
      <c r="CN11" s="49"/>
      <c r="CO11" s="49"/>
      <c r="CP11" s="49"/>
      <c r="CQ11" s="63"/>
      <c r="CR11" s="49"/>
      <c r="CS11" s="49"/>
      <c r="CT11" s="49"/>
      <c r="CU11" s="49"/>
      <c r="CV11" s="49"/>
      <c r="CW11" s="49"/>
      <c r="CX11" s="49"/>
      <c r="CY11" s="49"/>
      <c r="CZ11" s="49"/>
      <c r="DA11" s="49"/>
      <c r="DB11" s="49"/>
      <c r="DC11" s="49"/>
      <c r="DD11" s="49"/>
      <c r="DE11" s="49"/>
      <c r="DF11" s="49"/>
      <c r="DG11" s="49"/>
      <c r="DH11" s="63"/>
      <c r="DI11" s="49"/>
      <c r="DJ11" s="49"/>
      <c r="DK11" s="49"/>
      <c r="DL11" s="49"/>
      <c r="DM11" s="49"/>
      <c r="DN11" s="49"/>
      <c r="DO11" s="49"/>
      <c r="DP11" s="49"/>
      <c r="DQ11" s="49"/>
      <c r="DR11" s="49"/>
      <c r="DS11" s="49"/>
      <c r="DT11" s="49"/>
      <c r="DU11" s="49"/>
      <c r="DV11" s="49"/>
      <c r="DW11" s="49"/>
      <c r="DX11" s="49"/>
    </row>
    <row r="12" spans="1:128" ht="18" customHeight="1">
      <c r="A12" s="49"/>
      <c r="B12" s="49"/>
      <c r="C12" s="49"/>
      <c r="D12" s="49"/>
      <c r="E12" s="49"/>
      <c r="F12" s="49"/>
      <c r="G12" s="68"/>
      <c r="H12" s="68"/>
      <c r="I12" s="49"/>
      <c r="J12" s="63"/>
      <c r="K12" s="63"/>
      <c r="L12" s="63"/>
      <c r="M12" s="63"/>
      <c r="N12" s="63" t="s">
        <v>228</v>
      </c>
      <c r="O12" s="63"/>
      <c r="P12" s="63" t="s">
        <v>229</v>
      </c>
      <c r="Q12" s="63"/>
      <c r="R12" s="63"/>
      <c r="S12" s="63"/>
      <c r="T12" s="49"/>
      <c r="U12" s="52"/>
      <c r="V12" s="53" t="s">
        <v>230</v>
      </c>
      <c r="W12" s="53" t="s">
        <v>231</v>
      </c>
      <c r="X12" s="53"/>
      <c r="Y12" s="49"/>
      <c r="Z12" s="63"/>
      <c r="AA12" s="53"/>
      <c r="AB12" s="53"/>
      <c r="AC12" s="49"/>
      <c r="AD12" s="63"/>
      <c r="AE12" s="49"/>
      <c r="AF12" s="63"/>
      <c r="AG12" s="63"/>
      <c r="AH12" s="49"/>
      <c r="AI12" s="49"/>
      <c r="AJ12" s="128" t="str">
        <f t="shared" si="0"/>
        <v>辛</v>
      </c>
      <c r="AK12" s="129">
        <f t="shared" si="1"/>
        <v>2</v>
      </c>
      <c r="AL12" s="130" t="str">
        <f>B145</f>
        <v>調舒星</v>
      </c>
      <c r="AM12" s="131"/>
      <c r="AN12" s="119">
        <f t="shared" si="2"/>
        <v>20</v>
      </c>
      <c r="AO12" s="119">
        <f t="shared" si="3"/>
        <v>40</v>
      </c>
      <c r="AP12" s="129">
        <f t="shared" si="4"/>
        <v>42</v>
      </c>
      <c r="AQ12" s="120">
        <f>[1]意識と無意識!G11</f>
        <v>1</v>
      </c>
      <c r="AR12" s="63"/>
      <c r="AS12" s="63"/>
      <c r="AT12" s="63"/>
      <c r="AU12" s="49"/>
      <c r="AV12" s="49"/>
      <c r="AW12" s="49"/>
      <c r="AX12" s="49"/>
      <c r="AY12" s="49"/>
      <c r="AZ12" s="49"/>
      <c r="BA12" s="49"/>
      <c r="BB12" s="49"/>
      <c r="BC12" s="49"/>
      <c r="BD12" s="49"/>
      <c r="BE12" s="49"/>
      <c r="BF12" s="49"/>
      <c r="BG12" s="49"/>
      <c r="BH12" s="49"/>
      <c r="BI12" s="63"/>
      <c r="BJ12" s="63"/>
      <c r="BK12" s="63"/>
      <c r="BL12" s="49"/>
      <c r="BM12" s="49"/>
      <c r="BN12" s="49"/>
      <c r="BO12" s="49"/>
      <c r="BP12" s="49"/>
      <c r="BQ12" s="49"/>
      <c r="BR12" s="49"/>
      <c r="BS12" s="49"/>
      <c r="BT12" s="49"/>
      <c r="BU12" s="49"/>
      <c r="BV12" s="49"/>
      <c r="BW12" s="147"/>
      <c r="BX12" s="148"/>
      <c r="BY12" s="149"/>
      <c r="BZ12" s="140"/>
      <c r="CA12" s="149"/>
      <c r="CB12" s="149"/>
      <c r="CC12" s="149"/>
      <c r="CD12" s="148"/>
      <c r="CE12" s="149"/>
      <c r="CF12" s="150">
        <v>2</v>
      </c>
      <c r="CG12" s="49"/>
      <c r="CH12" s="49"/>
      <c r="CI12" s="49"/>
      <c r="CJ12" s="49"/>
      <c r="CK12" s="49"/>
      <c r="CL12" s="49"/>
      <c r="CM12" s="49"/>
      <c r="CN12" s="49"/>
      <c r="CO12" s="49"/>
      <c r="CP12" s="49"/>
      <c r="CQ12" s="143"/>
      <c r="CR12" s="49"/>
      <c r="CS12" s="49"/>
      <c r="CT12" s="49"/>
      <c r="CU12" s="49"/>
      <c r="CV12" s="49"/>
      <c r="CW12" s="49"/>
      <c r="CX12" s="49"/>
      <c r="CY12" s="49"/>
      <c r="CZ12" s="49"/>
      <c r="DA12" s="49"/>
      <c r="DB12" s="49"/>
      <c r="DC12" s="49"/>
      <c r="DD12" s="49"/>
      <c r="DE12" s="49"/>
      <c r="DF12" s="49"/>
      <c r="DG12" s="49"/>
      <c r="DH12" s="63"/>
      <c r="DI12" s="49"/>
      <c r="DJ12" s="49"/>
      <c r="DK12" s="49"/>
      <c r="DL12" s="49"/>
      <c r="DM12" s="49"/>
      <c r="DN12" s="49"/>
      <c r="DO12" s="49"/>
      <c r="DP12" s="49"/>
      <c r="DQ12" s="49"/>
      <c r="DR12" s="49"/>
      <c r="DS12" s="49"/>
      <c r="DT12" s="49"/>
      <c r="DU12" s="49"/>
      <c r="DV12" s="49"/>
      <c r="DW12" s="49"/>
      <c r="DX12" s="49"/>
    </row>
    <row r="13" spans="1:128" ht="18" customHeight="1">
      <c r="A13" s="63"/>
      <c r="B13" s="63"/>
      <c r="C13" s="63"/>
      <c r="D13" s="63"/>
      <c r="E13" s="63"/>
      <c r="F13" s="151" t="str">
        <f>VLOOKUP(F5&amp;"+"&amp;G5,[1]大運!$H$45:$K$3644,2,FALSE)</f>
        <v>半会</v>
      </c>
      <c r="G13" s="151" t="str">
        <f>VLOOKUP(F5&amp;"+"&amp;H5,[1]大運!$H$45:$K$3644,2,FALSE)</f>
        <v>破</v>
      </c>
      <c r="H13" s="152" t="str">
        <f>VLOOKUP(H5&amp;"+"&amp;G5,[1]大運!$H$45:$K$3644,2,FALSE)</f>
        <v>準方位</v>
      </c>
      <c r="I13" s="153" t="str">
        <f>IF(I3&lt;1902,"誕生日が違います","")</f>
        <v/>
      </c>
      <c r="J13" s="68"/>
      <c r="K13" s="68"/>
      <c r="L13" s="68"/>
      <c r="M13" s="63"/>
      <c r="N13" s="100" t="str">
        <f>AI130</f>
        <v>戊</v>
      </c>
      <c r="O13" s="53" t="str">
        <f>HLOOKUP(RIGHT(N13,1),BV147:CG154,8,FALSE)&amp;" -"</f>
        <v>9 -</v>
      </c>
      <c r="P13" s="100" t="str">
        <f>AK130&amp;AL130</f>
        <v>辛0</v>
      </c>
      <c r="Q13" s="135"/>
      <c r="R13" s="135"/>
      <c r="S13" s="135"/>
      <c r="T13" s="63"/>
      <c r="U13" s="154"/>
      <c r="V13" s="53" t="s">
        <v>232</v>
      </c>
      <c r="W13" s="53" t="s">
        <v>233</v>
      </c>
      <c r="X13" s="53"/>
      <c r="Y13" s="63"/>
      <c r="Z13" s="63"/>
      <c r="AA13" s="53"/>
      <c r="AB13" s="53"/>
      <c r="AC13" s="63"/>
      <c r="AD13" s="63"/>
      <c r="AE13" s="63"/>
      <c r="AF13" s="53" t="e">
        <f>HLOOKUP(RIGHT(P13,1),BV147:CG154,8,FALSE)</f>
        <v>#N/A</v>
      </c>
      <c r="AG13" s="63"/>
      <c r="AH13" s="155"/>
      <c r="AI13" s="155"/>
      <c r="AJ13" s="136" t="str">
        <f t="shared" si="0"/>
        <v>壬</v>
      </c>
      <c r="AK13" s="137">
        <f t="shared" si="1"/>
        <v>1</v>
      </c>
      <c r="AL13" s="138" t="str">
        <f>B148</f>
        <v>禄存星</v>
      </c>
      <c r="AM13" s="139"/>
      <c r="AN13" s="106">
        <f t="shared" si="2"/>
        <v>17</v>
      </c>
      <c r="AO13" s="106">
        <f t="shared" si="3"/>
        <v>17</v>
      </c>
      <c r="AP13" s="137">
        <f t="shared" si="4"/>
        <v>18</v>
      </c>
      <c r="AQ13" s="107">
        <f>[1]意識と無意識!G12</f>
        <v>3</v>
      </c>
      <c r="AR13" s="135"/>
      <c r="AS13" s="135"/>
      <c r="AT13" s="135"/>
      <c r="AU13" s="63"/>
      <c r="AV13" s="63"/>
      <c r="AW13" s="63"/>
      <c r="AX13" s="63"/>
      <c r="AY13" s="63"/>
      <c r="AZ13" s="63"/>
      <c r="BA13" s="63"/>
      <c r="BB13" s="63"/>
      <c r="BC13" s="63"/>
      <c r="BD13" s="63"/>
      <c r="BE13" s="63"/>
      <c r="BF13" s="63"/>
      <c r="BG13" s="63"/>
      <c r="BH13" s="63"/>
      <c r="BI13" s="135"/>
      <c r="BJ13" s="135"/>
      <c r="BK13" s="135"/>
      <c r="BL13" s="63"/>
      <c r="BM13" s="63"/>
      <c r="BN13" s="63"/>
      <c r="BO13" s="63"/>
      <c r="BP13" s="63"/>
      <c r="BQ13" s="63"/>
      <c r="BR13" s="63"/>
      <c r="BS13" s="63"/>
      <c r="BT13" s="49"/>
      <c r="BU13" s="63"/>
      <c r="BV13" s="63"/>
      <c r="BW13" s="147"/>
      <c r="BX13" s="148"/>
      <c r="BY13" s="149"/>
      <c r="BZ13" s="140"/>
      <c r="CA13" s="149"/>
      <c r="CB13" s="149"/>
      <c r="CC13" s="149"/>
      <c r="CD13" s="148"/>
      <c r="CE13" s="149"/>
      <c r="CF13" s="50">
        <v>3</v>
      </c>
      <c r="CG13" s="63"/>
      <c r="CH13" s="49"/>
      <c r="CI13" s="63"/>
      <c r="CJ13" s="63"/>
      <c r="CK13" s="63"/>
      <c r="CL13" s="63"/>
      <c r="CM13" s="63"/>
      <c r="CN13" s="63"/>
      <c r="CO13" s="63"/>
      <c r="CP13" s="63"/>
      <c r="CQ13" s="14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49"/>
    </row>
    <row r="14" spans="1:128" ht="18" customHeight="1">
      <c r="A14" s="63"/>
      <c r="B14" s="63"/>
      <c r="C14" s="63"/>
      <c r="D14" s="63"/>
      <c r="E14" s="63"/>
      <c r="F14" s="63" t="str">
        <f>IF(OR(AND(MOD(F5,2)=0,G5-F5=1),AND(MOD(F5,2)=1,G5-F5=13),AND(MOD(F5,2)=0,H5-F5=1),AND(MOD(F5,2)=1,H5-F5=13)),"連唐","-")</f>
        <v>-</v>
      </c>
      <c r="G14" s="63" t="str">
        <f>IF(OR(AND(MOD(G5,2)=0,F5-G5=1),AND(MOD(G5,2)=1,F5-G5=13),AND(MOD(G5,2)=0,H5-G5=1),AND(MOD(G5,2)=1,H5-G5=13)),"連唐","-")</f>
        <v>-</v>
      </c>
      <c r="H14" s="63" t="str">
        <f>IF(OR(AND(MOD(H5,2)=0,F5-H5=1),AND(MOD(H5,2)=1,F5-H5=13),AND(MOD(H5,2)=0,G5-H5=1),AND(MOD(H5,2)=1,G5-H5=13)),"連唐","-")</f>
        <v>-</v>
      </c>
      <c r="I14" s="63"/>
      <c r="J14" s="63"/>
      <c r="K14" s="63"/>
      <c r="L14" s="63"/>
      <c r="M14" s="63"/>
      <c r="N14" s="63" t="s">
        <v>234</v>
      </c>
      <c r="O14" s="63"/>
      <c r="P14" s="63" t="s">
        <v>234</v>
      </c>
      <c r="Q14" s="63"/>
      <c r="R14" s="63"/>
      <c r="S14" s="63"/>
      <c r="T14" s="63"/>
      <c r="U14" s="154"/>
      <c r="V14" s="53" t="s">
        <v>235</v>
      </c>
      <c r="W14" s="53" t="s">
        <v>236</v>
      </c>
      <c r="X14" s="53"/>
      <c r="Y14" s="63"/>
      <c r="Z14" s="63"/>
      <c r="AA14" s="53"/>
      <c r="AB14" s="53"/>
      <c r="AC14" s="63"/>
      <c r="AD14" s="63"/>
      <c r="AE14" s="63"/>
      <c r="AF14" s="63"/>
      <c r="AG14" s="63"/>
      <c r="AH14" s="63"/>
      <c r="AI14" s="63"/>
      <c r="AJ14" s="114" t="str">
        <f t="shared" si="0"/>
        <v>癸</v>
      </c>
      <c r="AK14" s="115">
        <f t="shared" si="1"/>
        <v>1</v>
      </c>
      <c r="AL14" s="116" t="str">
        <f>B147</f>
        <v>司禄星</v>
      </c>
      <c r="AM14" s="117"/>
      <c r="AN14" s="119">
        <f t="shared" si="2"/>
        <v>11</v>
      </c>
      <c r="AO14" s="119">
        <f t="shared" si="3"/>
        <v>11</v>
      </c>
      <c r="AP14" s="115">
        <f t="shared" si="4"/>
        <v>11</v>
      </c>
      <c r="AQ14" s="120">
        <f>[1]意識と無意識!G13</f>
        <v>3</v>
      </c>
      <c r="AR14" s="63"/>
      <c r="AS14" s="63"/>
      <c r="AT14" s="63"/>
      <c r="AU14" s="63"/>
      <c r="AV14" s="63"/>
      <c r="AW14" s="63"/>
      <c r="AX14" s="63"/>
      <c r="AY14" s="49"/>
      <c r="AZ14" s="63"/>
      <c r="BA14" s="63"/>
      <c r="BB14" s="63"/>
      <c r="BC14" s="63"/>
      <c r="BD14" s="63"/>
      <c r="BE14" s="63"/>
      <c r="BF14" s="63"/>
      <c r="BG14" s="63"/>
      <c r="BH14" s="63"/>
      <c r="BI14" s="63"/>
      <c r="BJ14" s="63"/>
      <c r="BK14" s="63"/>
      <c r="BL14" s="63"/>
      <c r="BM14" s="63"/>
      <c r="BN14" s="63"/>
      <c r="BO14" s="63"/>
      <c r="BP14" s="63"/>
      <c r="BQ14" s="63"/>
      <c r="BR14" s="63"/>
      <c r="BS14" s="63"/>
      <c r="BT14" s="49"/>
      <c r="BU14" s="63"/>
      <c r="BV14" s="63"/>
      <c r="BW14" s="147"/>
      <c r="BX14" s="148"/>
      <c r="BY14" s="149"/>
      <c r="BZ14" s="140"/>
      <c r="CA14" s="149"/>
      <c r="CB14" s="149"/>
      <c r="CC14" s="149"/>
      <c r="CD14" s="148"/>
      <c r="CE14" s="149"/>
      <c r="CF14" s="150">
        <v>4</v>
      </c>
      <c r="CG14" s="63"/>
      <c r="CH14" s="49"/>
      <c r="CI14" s="63"/>
      <c r="CJ14" s="63"/>
      <c r="CK14" s="63"/>
      <c r="CL14" s="63"/>
      <c r="CM14" s="63"/>
      <c r="CN14" s="63"/>
      <c r="CO14" s="63"/>
      <c r="CP14" s="63"/>
      <c r="CQ14" s="156"/>
      <c r="CR14" s="149"/>
      <c r="CS14" s="143"/>
      <c r="CT14" s="143"/>
      <c r="CU14" s="63"/>
      <c r="CV14" s="63"/>
      <c r="CW14" s="63"/>
      <c r="CX14" s="63"/>
      <c r="CY14" s="63"/>
      <c r="CZ14" s="63"/>
      <c r="DA14" s="63"/>
      <c r="DB14" s="63"/>
      <c r="DC14" s="63"/>
      <c r="DD14" s="63"/>
      <c r="DE14" s="63"/>
      <c r="DF14" s="63"/>
      <c r="DG14" s="63"/>
      <c r="DH14" s="63"/>
      <c r="DI14" s="63"/>
      <c r="DJ14" s="63"/>
      <c r="DK14" s="63"/>
      <c r="DL14" s="63"/>
      <c r="DM14" s="63"/>
      <c r="DN14" s="63"/>
      <c r="DO14" s="63"/>
      <c r="DP14" s="49"/>
      <c r="DQ14" s="63"/>
      <c r="DR14" s="63"/>
      <c r="DS14" s="63"/>
      <c r="DT14" s="63"/>
      <c r="DU14" s="49"/>
      <c r="DV14" s="49"/>
      <c r="DW14" s="49"/>
      <c r="DX14" s="49"/>
    </row>
    <row r="15" spans="1:128" ht="18" customHeight="1">
      <c r="A15" s="63"/>
      <c r="B15" s="63"/>
      <c r="C15" s="63"/>
      <c r="D15" s="63"/>
      <c r="E15" s="63"/>
      <c r="F15" s="156"/>
      <c r="G15" s="63"/>
      <c r="H15" s="63"/>
      <c r="I15" s="63"/>
      <c r="J15" s="63"/>
      <c r="K15" s="63"/>
      <c r="L15" s="100" t="str">
        <f>P132&amp;AF132</f>
        <v>.</v>
      </c>
      <c r="M15" s="63" t="str">
        <f>IF(OR(AF132="×",AF132="."),"",HLOOKUP(AF132,BV147:CG154,8,FALSE)&amp;" -")</f>
        <v/>
      </c>
      <c r="N15" s="100" t="str">
        <f>AH132&amp;AI132</f>
        <v>.</v>
      </c>
      <c r="O15" s="53" t="str">
        <f>IF(OR(AI132="×",AI132=""),"",HLOOKUP(AI132,BV147:CG154,8,FALSE)&amp;" -")</f>
        <v/>
      </c>
      <c r="P15" s="100" t="e">
        <f>AK132&amp;AL132</f>
        <v>#N/A</v>
      </c>
      <c r="Q15" s="135"/>
      <c r="R15" s="135"/>
      <c r="S15" s="135"/>
      <c r="T15" s="157"/>
      <c r="U15" s="158"/>
      <c r="V15" s="159" t="s">
        <v>237</v>
      </c>
      <c r="W15" s="159" t="s">
        <v>238</v>
      </c>
      <c r="X15" s="159"/>
      <c r="Y15" s="63"/>
      <c r="Z15" s="63"/>
      <c r="AA15" s="159"/>
      <c r="AB15" s="159"/>
      <c r="AC15" s="63"/>
      <c r="AD15" s="63"/>
      <c r="AE15" s="63"/>
      <c r="AF15" s="53" t="e">
        <f>IF(OR(AL132="×",AL132="."),"",HLOOKUP(AL132,BV147:CG154,8,FALSE)&amp;" -")</f>
        <v>#N/A</v>
      </c>
      <c r="AG15" s="100" t="e">
        <f>AN132&amp;AO132</f>
        <v>#N/A</v>
      </c>
      <c r="AH15" s="53" t="e">
        <f>IF(OR(AO132="×",AO132="."),"",HLOOKUP(AO132,BV147:CG154,8,FALSE))</f>
        <v>#N/A</v>
      </c>
      <c r="AI15" s="53"/>
      <c r="AJ15" s="63"/>
      <c r="AK15" s="63">
        <f>10-COUNTIF(AK5:AK14,0)</f>
        <v>6</v>
      </c>
      <c r="AL15" s="67" t="s">
        <v>239</v>
      </c>
      <c r="AM15" s="68"/>
      <c r="AN15" s="63">
        <f>AP6+AP8+AP10+AP12+AP14</f>
        <v>53</v>
      </c>
      <c r="AO15" s="63" t="s">
        <v>240</v>
      </c>
      <c r="AP15" s="63">
        <f>AP5+AP7+AP9+AP11+AP13</f>
        <v>46</v>
      </c>
      <c r="AQ15" s="160">
        <f ca="1">SUM(BX17:BX26)</f>
        <v>161</v>
      </c>
      <c r="AR15" s="135"/>
      <c r="AS15" s="135"/>
      <c r="AT15" s="135"/>
      <c r="AU15" s="63"/>
      <c r="AV15" s="63"/>
      <c r="AW15" s="63"/>
      <c r="AX15" s="63"/>
      <c r="AY15" s="63"/>
      <c r="AZ15" s="63"/>
      <c r="BA15" s="63"/>
      <c r="BB15" s="63"/>
      <c r="BC15" s="63"/>
      <c r="BD15" s="63"/>
      <c r="BE15" s="63"/>
      <c r="BF15" s="63"/>
      <c r="BG15" s="63"/>
      <c r="BH15" s="63"/>
      <c r="BI15" s="135"/>
      <c r="BJ15" s="135"/>
      <c r="BK15" s="135"/>
      <c r="BL15" s="63"/>
      <c r="BM15" s="63"/>
      <c r="BN15" s="63"/>
      <c r="BO15" s="63"/>
      <c r="BP15" s="63"/>
      <c r="BQ15" s="63"/>
      <c r="BR15" s="63"/>
      <c r="BS15" s="63"/>
      <c r="BT15" s="49"/>
      <c r="BU15" s="49"/>
      <c r="BV15" s="63"/>
      <c r="BW15" s="147"/>
      <c r="BX15" s="148"/>
      <c r="BY15" s="149"/>
      <c r="BZ15" s="140"/>
      <c r="CA15" s="149"/>
      <c r="CB15" s="149"/>
      <c r="CC15" s="149"/>
      <c r="CD15" s="148"/>
      <c r="CE15" s="149"/>
      <c r="CF15" s="50">
        <v>5</v>
      </c>
      <c r="CG15" s="63"/>
      <c r="CH15" s="63"/>
      <c r="CI15" s="63"/>
      <c r="CJ15" s="63"/>
      <c r="CK15" s="63"/>
      <c r="CL15" s="63"/>
      <c r="CM15" s="63"/>
      <c r="CN15" s="63"/>
      <c r="CO15" s="63"/>
      <c r="CP15" s="156"/>
      <c r="CQ15" s="143"/>
      <c r="CR15" s="143"/>
      <c r="CS15" s="143"/>
      <c r="CT15" s="63"/>
      <c r="CU15" s="63"/>
      <c r="CV15" s="63"/>
      <c r="CW15" s="63"/>
      <c r="CX15" s="49"/>
      <c r="CY15" s="157"/>
      <c r="CZ15" s="157"/>
      <c r="DA15" s="157"/>
      <c r="DB15" s="157"/>
      <c r="DC15" s="157"/>
      <c r="DD15" s="157"/>
      <c r="DE15" s="157"/>
      <c r="DF15" s="157"/>
      <c r="DG15" s="63"/>
      <c r="DH15" s="63"/>
      <c r="DI15" s="63"/>
      <c r="DJ15" s="63"/>
      <c r="DK15" s="63"/>
      <c r="DL15" s="63"/>
      <c r="DM15" s="63"/>
      <c r="DN15" s="63"/>
      <c r="DO15" s="63"/>
      <c r="DP15" s="63"/>
      <c r="DQ15" s="63"/>
      <c r="DR15" s="63"/>
      <c r="DS15" s="63"/>
      <c r="DT15" s="63"/>
      <c r="DU15" s="63"/>
      <c r="DV15" s="63"/>
      <c r="DW15" s="63"/>
      <c r="DX15" s="63"/>
    </row>
    <row r="16" spans="1:128" ht="18" customHeight="1">
      <c r="A16" s="63"/>
      <c r="B16" s="63"/>
      <c r="C16" s="63"/>
      <c r="D16" s="143"/>
      <c r="E16" s="63"/>
      <c r="F16" s="63"/>
      <c r="G16" s="63"/>
      <c r="H16" s="63"/>
      <c r="I16" s="63"/>
      <c r="J16" s="63"/>
      <c r="K16" s="63"/>
      <c r="L16" s="161"/>
      <c r="M16" s="161"/>
      <c r="N16" s="161"/>
      <c r="O16" s="63"/>
      <c r="P16" s="63"/>
      <c r="Q16" s="63"/>
      <c r="R16" s="63"/>
      <c r="S16" s="63"/>
      <c r="T16" s="63"/>
      <c r="U16" s="154"/>
      <c r="V16" s="53" t="s">
        <v>241</v>
      </c>
      <c r="W16" s="53" t="s">
        <v>242</v>
      </c>
      <c r="X16" s="53"/>
      <c r="Y16" s="63"/>
      <c r="Z16" s="63"/>
      <c r="AA16" s="53"/>
      <c r="AB16" s="53"/>
      <c r="AC16" s="63"/>
      <c r="AD16" s="63"/>
      <c r="AE16" s="63"/>
      <c r="AF16" s="63"/>
      <c r="AG16" s="63"/>
      <c r="AH16" s="63"/>
      <c r="AI16" s="63"/>
      <c r="AJ16" s="63"/>
      <c r="AK16" s="63"/>
      <c r="AL16" s="63"/>
      <c r="AM16" s="63"/>
      <c r="AN16" s="63"/>
      <c r="AO16" s="63"/>
      <c r="AP16" s="63"/>
      <c r="AQ16" s="63"/>
      <c r="AR16" s="63"/>
      <c r="AS16" s="63"/>
      <c r="AT16" s="63"/>
      <c r="AU16" s="63"/>
      <c r="AV16" s="63"/>
      <c r="AW16" s="63"/>
      <c r="AX16" s="63"/>
      <c r="AY16" s="49"/>
      <c r="AZ16" s="63"/>
      <c r="BA16" s="63" t="s">
        <v>243</v>
      </c>
      <c r="BB16" s="63"/>
      <c r="BC16" s="63"/>
      <c r="BD16" s="63"/>
      <c r="BE16" s="63"/>
      <c r="BF16" s="63"/>
      <c r="BG16" s="63"/>
      <c r="BH16" s="63"/>
      <c r="BI16" s="63"/>
      <c r="BJ16" s="63"/>
      <c r="BK16" s="63"/>
      <c r="BL16" s="63"/>
      <c r="BM16" s="63"/>
      <c r="BN16" s="63"/>
      <c r="BO16" s="63"/>
      <c r="BP16" s="63"/>
      <c r="BQ16" s="63"/>
      <c r="BR16" s="63"/>
      <c r="BS16" s="63"/>
      <c r="BT16" s="49"/>
      <c r="BU16" s="63"/>
      <c r="BV16" s="63"/>
      <c r="BW16" s="147"/>
      <c r="BX16" s="148"/>
      <c r="BY16" s="149"/>
      <c r="BZ16" s="140"/>
      <c r="CA16" s="149" t="s">
        <v>244</v>
      </c>
      <c r="CB16" s="149" t="s">
        <v>245</v>
      </c>
      <c r="CC16" s="149" t="s">
        <v>246</v>
      </c>
      <c r="CD16" s="148"/>
      <c r="CE16" s="149"/>
      <c r="CF16" s="150">
        <v>6</v>
      </c>
      <c r="CG16" s="63"/>
      <c r="CH16" s="63"/>
      <c r="CI16" s="63"/>
      <c r="CJ16" s="63"/>
      <c r="CK16" s="63"/>
      <c r="CL16" s="63"/>
      <c r="CM16" s="63"/>
      <c r="CN16" s="63"/>
      <c r="CO16" s="63"/>
      <c r="CP16" s="67"/>
      <c r="CQ16" s="68"/>
      <c r="CR16" s="68"/>
      <c r="CS16" s="67"/>
      <c r="CT16" s="68"/>
      <c r="CU16" s="68"/>
      <c r="CV16" s="67"/>
      <c r="CW16" s="68"/>
      <c r="CX16" s="68"/>
      <c r="CY16" s="63"/>
      <c r="CZ16" s="63"/>
      <c r="DA16" s="63"/>
      <c r="DB16" s="63"/>
      <c r="DC16" s="63"/>
      <c r="DD16" s="63"/>
      <c r="DE16" s="63"/>
      <c r="DF16" s="63"/>
      <c r="DG16" s="63"/>
      <c r="DH16" s="63"/>
      <c r="DI16" s="63"/>
      <c r="DJ16" s="63"/>
      <c r="DK16" s="63"/>
      <c r="DL16" s="63"/>
      <c r="DM16" s="63"/>
      <c r="DN16" s="63"/>
      <c r="DO16" s="63"/>
      <c r="DP16" s="63"/>
      <c r="DQ16" s="63"/>
      <c r="DR16" s="63"/>
      <c r="DS16" s="63"/>
      <c r="DT16" s="63"/>
      <c r="DU16" s="49"/>
      <c r="DV16" s="63"/>
      <c r="DW16" s="63"/>
      <c r="DX16" s="63"/>
    </row>
    <row r="17" spans="1:128" ht="18" customHeight="1">
      <c r="A17" s="49"/>
      <c r="B17" s="49"/>
      <c r="C17" s="49"/>
      <c r="D17" s="143"/>
      <c r="E17" s="49"/>
      <c r="F17" s="100" t="str">
        <f>[1]大運!F6</f>
        <v>大１</v>
      </c>
      <c r="G17" s="100" t="str">
        <f>[1]大運!G6</f>
        <v>乙未</v>
      </c>
      <c r="H17" s="162">
        <f>[1]大運!H6</f>
        <v>1991</v>
      </c>
      <c r="I17" s="163">
        <f>[1]大運!I6</f>
        <v>10</v>
      </c>
      <c r="J17" s="164" t="str">
        <f>[1]大運!J6</f>
        <v>牽牛星</v>
      </c>
      <c r="K17" s="164" t="str">
        <f>[1]大運!K6</f>
        <v>天堂星</v>
      </c>
      <c r="L17" s="164" t="str">
        <f>[1]大運!L6</f>
        <v>害</v>
      </c>
      <c r="M17" s="164" t="str">
        <f>[1]大運!M6</f>
        <v>－</v>
      </c>
      <c r="N17" s="164" t="str">
        <f>[1]大運!N6</f>
        <v>－</v>
      </c>
      <c r="O17" s="164" t="str">
        <f>[1]大運!O6</f>
        <v>－殺</v>
      </c>
      <c r="P17" s="164" t="str">
        <f>[1]大運!P6</f>
        <v/>
      </c>
      <c r="Q17" s="165"/>
      <c r="R17" s="165"/>
      <c r="S17" s="165"/>
      <c r="T17" s="49"/>
      <c r="U17" s="52"/>
      <c r="V17" s="53" t="s">
        <v>247</v>
      </c>
      <c r="W17" s="53" t="s">
        <v>248</v>
      </c>
      <c r="X17" s="53"/>
      <c r="Y17" s="49"/>
      <c r="Z17" s="49"/>
      <c r="AA17" s="53"/>
      <c r="AB17" s="53"/>
      <c r="AC17" s="49"/>
      <c r="AD17" s="49"/>
      <c r="AE17" s="166" t="str">
        <f>RIGHT(AH17, 1)</f>
        <v>戌</v>
      </c>
      <c r="AF17" s="167">
        <f t="shared" ref="AF17:AF116" si="5">IF(OR($E$6=RIGHT(AM17,1),$E$7=RIGHT(AM17,1)),"殺",AG17-$I$3)</f>
        <v>1</v>
      </c>
      <c r="AG17" s="168">
        <f>I3+1</f>
        <v>1982</v>
      </c>
      <c r="AH17" s="169" t="str">
        <f>VLOOKUP(AM17,[1]大運!$B$31:$C$90,2,FALSE)</f>
        <v>壬戌</v>
      </c>
      <c r="AI17" s="170" t="str">
        <f>VLOOKUP($F$5&amp;"+"&amp;AM17,[1]大運!$H$45:$K$3644,3,FALSE)</f>
        <v>禄存星</v>
      </c>
      <c r="AJ17" s="73"/>
      <c r="AK17" s="170" t="str">
        <f>VLOOKUP($F$5&amp;"+"&amp;AM17,[1]大運!$H$45:$K$3644,4,FALSE)</f>
        <v>天庫星</v>
      </c>
      <c r="AL17" s="73"/>
      <c r="AM17" s="171">
        <f t="shared" ref="AM17:AM116" si="6">IF(MOD((AG17-1900+37),60)=0,60,MOD((AG17-1900+37),60))</f>
        <v>59</v>
      </c>
      <c r="AN17" s="164" t="str">
        <f>VLOOKUP($F$5&amp;"+"&amp;AM17,[1]大運!$H$45:$K$3644,2,FALSE)</f>
        <v>－</v>
      </c>
      <c r="AO17" s="164" t="str">
        <f>VLOOKUP($G$5&amp;"+"&amp;AM17,[1]大運!$H$45:$K$3644,2,FALSE)</f>
        <v>準方位</v>
      </c>
      <c r="AP17" s="164" t="str">
        <f>VLOOKUP($H$5&amp;"+"&amp;AM17,[1]大運!$H$45:$K$3644,2,FALSE)</f>
        <v>害</v>
      </c>
      <c r="AQ17" s="100" t="str">
        <f>IF(OR(RIGHT(AH17,1)=$E$6,RIGHT(AH17,1)=$E$7),"殺","")&amp;IF(ABS(RIGHT(AM17,1)-RIGHT($F$5,1))=5,"日","")&amp;IF(ABS(RIGHT(AM17,1)-RIGHT($G$5,1))=5,"月","")&amp;IF(ABS(RIGHT(AM17,1)-RIGHT($H$5,1))=5,"年","")</f>
        <v/>
      </c>
      <c r="AR17" s="172" t="str">
        <f>IF($AH17="","", IFERROR(IF(COUNTIF($F$6, MID("己庚辛壬癸甲乙丙丁戊", FIND(LEFT($AH17,1), "甲乙丙丁戊己庚辛壬癸"), 1))&gt;0, CHOOSE(INT((FIND(LEFT($AH17,1), "甲己乙庚丙辛丁壬戊癸")+1)/2), "甲己干合", "乙庚干合", "丙辛干合", "丁壬干合", "戊癸干合"), ""), ""))</f>
        <v/>
      </c>
      <c r="AS17" s="172" t="str">
        <f>IF($AH17="","", IFERROR(IF(COUNTIF($G$6, MID("己庚辛壬癸甲乙丙丁戊", FIND(LEFT($AH17,1), "甲乙丙丁戊己庚辛壬癸"), 1))&gt;0, CHOOSE(INT((FIND(LEFT($AH17,1), "甲己乙庚丙辛丁壬戊癸")+1)/2), "甲己干合", "乙庚干合", "丙辛干合", "丁壬干合", "戊癸干合"), ""), ""))</f>
        <v/>
      </c>
      <c r="AT17" s="172" t="str">
        <f>IF($AH17="","", IFERROR(IF(COUNTIF($H$6, MID("己庚辛壬癸甲乙丙丁戊", FIND(LEFT($AH17,1), "甲乙丙丁戊己庚辛壬癸"), 1))&gt;0, CHOOSE(INT((FIND(LEFT($AH17,1), "甲己乙庚丙辛丁壬戊癸")+1)/2), "甲己干合", "乙庚干合", "丙辛干合", "丁壬干合", "戊癸干合"), ""), ""))</f>
        <v/>
      </c>
      <c r="AU17" s="49" t="str">
        <f>INDEX('12運シート'!C:C, MATCH(1, INDEX(('12運シート'!A:A=TRIM($T$42)) * ('12運シート'!B:B=TRIM(RIGHT(AE17, 1))), 0), 0))</f>
        <v>緑生</v>
      </c>
      <c r="AV17" s="49" t="str">
        <f>INDEX('12運シート'!$E:$E, MATCH(1, INDEX((TRIM('12運シート'!$A:$A)=TRIM($T$42)) * (TRIM('12運シート'!$B:$B)=TRIM(AE17)), 0), 0))</f>
        <v>吉祥天</v>
      </c>
      <c r="AW17" s="49" t="str">
        <f>VLOOKUP(AV17,$V$6:$W$18, 2, FALSE)</f>
        <v>まいた種が芽吹き、周囲の支援を受けて着実に育つ時期。</v>
      </c>
      <c r="AX17" s="49"/>
      <c r="AY17" s="49"/>
      <c r="AZ17" s="166" t="str">
        <f ca="1">RIGHT(BC17, 1)</f>
        <v>亥</v>
      </c>
      <c r="BA17" s="173">
        <f ca="1">EOMONTH(TODAY(), -2) + 1</f>
        <v>46143</v>
      </c>
      <c r="BB17" s="174">
        <f t="shared" ref="BB17:BB112" ca="1" si="7">MOD(BA17 - DATE(2024, 1, 1), 60) + 1</f>
        <v>12</v>
      </c>
      <c r="BC17" s="174" t="str">
        <f ca="1">VLOOKUP(BB17,[1]大運!$B$31:$C$90,2,FALSE)</f>
        <v>乙亥</v>
      </c>
      <c r="BD17" s="174" t="str">
        <f ca="1">VLOOKUP($F$5 &amp; "+" &amp; (MOD(BA17 - DATE(2024, 1, 1), 60) + 1), [1]大運!$H$45:$K$3644, 3, FALSE)</f>
        <v>牽牛星</v>
      </c>
      <c r="BE17" s="174" t="str">
        <f ca="1">VLOOKUP($F$5 &amp; "+" &amp; (MOD(BA17 - DATE(2024, 1, 1), 60) + 1), [1]大運!$H$45:$K$3644, 4, FALSE)</f>
        <v>天馳星</v>
      </c>
      <c r="BF17" s="174" t="str">
        <f ca="1">VLOOKUP($F$5 &amp; "+" &amp; (MOD(BA17 - DATE(2024, 1, 1), 60) + 1), [1]大運!$H$45:$K$3644, 2, FALSE)</f>
        <v>準方位</v>
      </c>
      <c r="BG17" s="174" t="str">
        <f ca="1">VLOOKUP($G$5 &amp; "+" &amp; (MOD(BA17 - DATE(2024, 1, 1), 60) + 1), [1]大運!$H$45:$K$3644, 2, FALSE)</f>
        <v>害</v>
      </c>
      <c r="BH17" s="174" t="str">
        <f ca="1">VLOOKUP($H$5 &amp; "+" &amp; (MOD(BA17 - DATE(2024, 1, 1), 60) + 1), [1]大運!$H$45:$K$3644, 2, FALSE)</f>
        <v>－</v>
      </c>
      <c r="BI17" s="172" t="str">
        <f ca="1">IF($BC17="","", IFERROR(IF(COUNTIF($F$6, MID("己庚辛壬癸甲乙丙丁戊", FIND(LEFT($BC17,1), "甲乙丙丁戊己庚辛壬癸"), 1))&gt;0, CHOOSE(INT((FIND(LEFT($BC17,1), "甲己乙庚丙辛丁壬戊癸")+1)/2), "甲己干合", "乙庚干合", "丙辛干合", "丁壬干合", "戊癸干合"), ""), ""))</f>
        <v/>
      </c>
      <c r="BJ17" s="172" t="str">
        <f ca="1">IF($BC17="","", IFERROR(IF(COUNTIF($G$6, MID("己庚辛壬癸甲乙丙丁戊", FIND(LEFT($BC17,1), "甲乙丙丁戊己庚辛壬癸"), 1))&gt;0, CHOOSE(INT((FIND(LEFT($BC17,1), "甲己乙庚丙辛丁壬戊癸")+1)/2), "甲己干合", "乙庚干合", "丙辛干合", "丁壬干合", "戊癸干合"), ""), ""))</f>
        <v/>
      </c>
      <c r="BK17" s="172" t="str">
        <f ca="1">IF($BC17="","", IFERROR(IF(COUNTIF($H$6, MID("己庚辛壬癸甲乙丙丁戊", FIND(LEFT($BC17,1), "甲乙丙丁戊己庚辛壬癸"), 1))&gt;0, CHOOSE(INT((FIND(LEFT($BC17,1), "甲己乙庚丙辛丁壬戊癸")+1)/2), "甲己干合", "乙庚干合", "丙辛干合", "丁壬干合", "戊癸干合"), ""), ""))</f>
        <v/>
      </c>
      <c r="BL17" s="174" t="str">
        <f ca="1">INDEX('12運シート'!C:C, MATCH(1, INDEX(('12運シート'!A:A=TRIM($T$42)) * ('12運シート'!B:B=TRIM(RIGHT(AZ17, 1))), 0), 0))</f>
        <v>立花</v>
      </c>
      <c r="BM17" s="174" t="str">
        <f ca="1">INDEX('12運シート'!$E:$E, MATCH(1, INDEX((TRIM('12運シート'!$A:$A)=TRIM($T$42)) * (TRIM('12運シート'!$B:$B)=TRIM(AZ17)), 0), 0))</f>
        <v>弁財天</v>
      </c>
      <c r="BN17" s="49" t="str">
        <f ca="1">VLOOKUP(BM17,$V$6:$W$18, 2, FALSE)</f>
        <v>才能がパッと花開き、今後の人生を左右する重要な決定を下す発展期。</v>
      </c>
      <c r="BO17" s="174"/>
      <c r="BP17" s="174"/>
      <c r="BQ17" s="102" t="s">
        <v>249</v>
      </c>
      <c r="BR17" s="140"/>
      <c r="BS17" s="140"/>
      <c r="BT17" s="49">
        <f t="shared" ref="BT17:BT26" si="8">COUNTIF($F$6:$H$10, "*"&amp;BQ17&amp;"*")</f>
        <v>0</v>
      </c>
      <c r="BU17" s="63">
        <f ca="1">IFERROR(__xludf.DUMMYFUNCTION("IFERROR(VLOOKUP(""*""&amp;AQ17&amp;""*"", {""甲"",7,10,11,12,8,4,2,5,1,3,6,9;""乙"",4,8,12,11,10,7,9,6,3,1,5,2;""丙"",3,6,9,7,10,11,12,8,4,2,5,1;""丁"",1,5,2,4,8,12,11,10,7,9,6,3;""戊"",3,6,9,7,10,11,12,8,4,2,5,1;""己"",1,5,2,4,8,12,11,10,7,9,6,3;""庚"",2,5,1,3,6,9,7,10"&amp;",11,12,8,4;""辛"",9,6,3,1,5,2,4,8,12,11,10,7;""壬"",12,8,4,2,5,1,3,6,9,7,10,11;""癸"",11,10,7,9,6,3,1,5,2,4,8,12}, FIND(REGEXREPLACE($H$7,""[^子丑寅卯辰巳午未申酉戌亥]"",""""), ""子丑寅卯辰巳午未申酉戌亥"")+1, FALSE), 0)"),3)</f>
        <v>3</v>
      </c>
      <c r="BV17" s="49">
        <f ca="1">IFERROR(__xludf.DUMMYFUNCTION("IFERROR(VLOOKUP(""*""&amp;AQ17&amp;""*"", {""甲"",7,10,11,12,8,4,2,5,1,3,6,9;""乙"",4,8,12,11,10,7,9,6,3,1,5,2;""丙"",3,6,9,7,10,11,12,8,4,2,5,1;""丁"",1,5,2,4,8,12,11,10,7,9,6,3;""戊"",3,6,9,7,10,11,12,8,4,2,5,1;""己"",1,5,2,4,8,12,11,10,7,9,6,3;""庚"",2,5,1,3,6,9,7,10"&amp;",11,12,8,4;""辛"",9,6,3,1,5,2,4,8,12,11,10,7;""壬"",12,8,4,2,5,1,3,6,9,7,10,11;""癸"",11,10,7,9,6,3,1,5,2,4,8,12}, FIND(REGEXREPLACE($G$7,""[^子丑寅卯辰巳午未申酉戌亥]"",""""), ""子丑寅卯辰巳午未申酉戌亥"")+1, FALSE), 0)"),1)</f>
        <v>1</v>
      </c>
      <c r="BW17" s="147">
        <f ca="1">IFERROR(__xludf.DUMMYFUNCTION("IFERROR(VLOOKUP(""*""&amp;AQ17&amp;""*"", {""甲"",7,10,11,12,8,4,2,5,1,3,6,9;""乙"",4,8,12,11,10,7,9,6,3,1,5,2;""丙"",3,6,9,7,10,11,12,8,4,2,5,1;""丁"",1,5,2,4,8,12,11,10,7,9,6,3;""戊"",3,6,9,7,10,11,12,8,4,2,5,1;""己"",1,5,2,4,8,12,11,10,7,9,6,3;""庚"",2,5,1,3,6,9,7,10"&amp;",11,12,8,4;""辛"",9,6,3,1,5,2,4,8,12,11,10,7;""壬"",12,8,4,2,5,1,3,6,9,7,10,11;""癸"",11,10,7,9,6,3,1,5,2,4,8,12}, FIND(REGEXREPLACE($F$7,""[^子丑寅卯辰巳午未申酉戌亥]"",""""), ""子丑寅卯辰巳午未申酉戌亥"")+1, FALSE), 0)"),7)</f>
        <v>7</v>
      </c>
      <c r="BX17" s="175">
        <f t="shared" ref="BX17:BX26" ca="1" si="9">BT17 * (BU17 + BV17 + BW17)</f>
        <v>0</v>
      </c>
      <c r="BY17" s="149" t="s">
        <v>250</v>
      </c>
      <c r="BZ17" s="176">
        <f ca="1">SUM(BX17:BX18)</f>
        <v>0</v>
      </c>
      <c r="CA17" s="177">
        <f t="shared" ref="CA17:CA22" ca="1" si="10">BZ17/$BZ$22*100</f>
        <v>0</v>
      </c>
      <c r="CB17" s="177">
        <f t="shared" ref="CB17:CB22" ca="1" si="11">ROUND((BZ17 / MAX($BZ$17:$BZ$21)) * 10, 0)</f>
        <v>0</v>
      </c>
      <c r="CC17" s="178" t="s">
        <v>251</v>
      </c>
      <c r="CD17" s="179" t="s">
        <v>252</v>
      </c>
      <c r="CE17" s="149"/>
      <c r="CF17" s="50">
        <v>7</v>
      </c>
      <c r="CG17" s="49"/>
      <c r="CH17" s="49"/>
      <c r="CI17" s="49"/>
      <c r="CJ17" s="49"/>
      <c r="CK17" s="49"/>
      <c r="CL17" s="49"/>
      <c r="CM17" s="49"/>
      <c r="CN17" s="49"/>
      <c r="CO17" s="49"/>
      <c r="CP17" s="49"/>
      <c r="CQ17" s="180"/>
      <c r="CR17" s="68"/>
      <c r="CS17" s="68"/>
      <c r="CT17" s="180"/>
      <c r="CU17" s="68"/>
      <c r="CV17" s="68"/>
      <c r="CW17" s="180"/>
      <c r="CX17" s="68"/>
      <c r="CY17" s="68"/>
      <c r="CZ17" s="49"/>
      <c r="DA17" s="49"/>
      <c r="DB17" s="49"/>
      <c r="DC17" s="49"/>
      <c r="DD17" s="49"/>
      <c r="DE17" s="49"/>
      <c r="DF17" s="49"/>
      <c r="DG17" s="49"/>
      <c r="DH17" s="49"/>
      <c r="DI17" s="49"/>
      <c r="DJ17" s="49"/>
      <c r="DK17" s="49"/>
      <c r="DL17" s="49"/>
      <c r="DM17" s="49"/>
      <c r="DN17" s="49"/>
      <c r="DO17" s="49"/>
      <c r="DP17" s="49"/>
      <c r="DQ17" s="49"/>
      <c r="DR17" s="49"/>
      <c r="DS17" s="49"/>
      <c r="DT17" s="49"/>
      <c r="DU17" s="49"/>
      <c r="DV17" s="49"/>
      <c r="DW17" s="49"/>
      <c r="DX17" s="49"/>
    </row>
    <row r="18" spans="1:128" ht="18" customHeight="1">
      <c r="A18" s="49"/>
      <c r="B18" s="49"/>
      <c r="C18" s="49"/>
      <c r="D18" s="49"/>
      <c r="E18" s="49"/>
      <c r="F18" s="168" t="str">
        <f>[1]大運!F7</f>
        <v>大２</v>
      </c>
      <c r="G18" s="100" t="str">
        <f>[1]大運!G7</f>
        <v>甲午</v>
      </c>
      <c r="H18" s="162">
        <f>[1]大運!H7</f>
        <v>2001</v>
      </c>
      <c r="I18" s="163">
        <f>[1]大運!I7</f>
        <v>20</v>
      </c>
      <c r="J18" s="164" t="str">
        <f>[1]大運!J7</f>
        <v>車騎星</v>
      </c>
      <c r="K18" s="164" t="str">
        <f>[1]大運!K7</f>
        <v>天将星</v>
      </c>
      <c r="L18" s="164" t="str">
        <f>[1]大運!L7</f>
        <v>天剋地冲</v>
      </c>
      <c r="M18" s="164" t="str">
        <f>[1]大運!M7</f>
        <v>－</v>
      </c>
      <c r="N18" s="164" t="str">
        <f>[1]大運!N7</f>
        <v>－</v>
      </c>
      <c r="O18" s="164" t="str">
        <f>[1]大運!O7</f>
        <v>－殺</v>
      </c>
      <c r="P18" s="164" t="str">
        <f>[1]大運!P7</f>
        <v/>
      </c>
      <c r="Q18" s="165"/>
      <c r="R18" s="165"/>
      <c r="S18" s="165"/>
      <c r="T18" s="49"/>
      <c r="U18" s="52"/>
      <c r="V18" s="53" t="s">
        <v>253</v>
      </c>
      <c r="W18" s="53" t="s">
        <v>254</v>
      </c>
      <c r="X18" s="53"/>
      <c r="Y18" s="49"/>
      <c r="Z18" s="49"/>
      <c r="AA18" s="53"/>
      <c r="AB18" s="53"/>
      <c r="AC18" s="49"/>
      <c r="AD18" s="49"/>
      <c r="AE18" s="166" t="str">
        <f t="shared" ref="AE18:AE81" si="12">RIGHT(AH18, 1)</f>
        <v>亥</v>
      </c>
      <c r="AF18" s="167">
        <f t="shared" si="5"/>
        <v>2</v>
      </c>
      <c r="AG18" s="168">
        <f t="shared" ref="AG18:AG81" si="13">AG17+1</f>
        <v>1983</v>
      </c>
      <c r="AH18" s="100" t="str">
        <f>VLOOKUP(AM18,[1]大運!$B$31:$C$90,2,FALSE)</f>
        <v>癸亥</v>
      </c>
      <c r="AI18" s="99" t="str">
        <f>VLOOKUP($F$5&amp;"+"&amp;AM18,[1]大運!$H$45:$K$3644,3,FALSE)</f>
        <v>司禄星</v>
      </c>
      <c r="AJ18" s="73"/>
      <c r="AK18" s="99" t="str">
        <f>VLOOKUP($F$5&amp;"+"&amp;AM18,[1]大運!$H$45:$K$3644,4,FALSE)</f>
        <v>天馳星</v>
      </c>
      <c r="AL18" s="73"/>
      <c r="AM18" s="181">
        <f t="shared" si="6"/>
        <v>60</v>
      </c>
      <c r="AN18" s="164" t="str">
        <f>VLOOKUP($F$5&amp;"+"&amp;AM18,[1]大運!$H$45:$K$3644,2,FALSE)</f>
        <v>準方位</v>
      </c>
      <c r="AO18" s="164" t="str">
        <f>VLOOKUP($G$5&amp;"+"&amp;AM18,[1]大運!$H$45:$K$3644,2,FALSE)</f>
        <v>害</v>
      </c>
      <c r="AP18" s="164" t="str">
        <f>VLOOKUP($H$5&amp;"+"&amp;AM18,[1]大運!$H$45:$K$3644,2,FALSE)</f>
        <v>－</v>
      </c>
      <c r="AQ18" s="100" t="str">
        <f t="shared" ref="AQ18:AQ29" si="14">IF(OR(RIGHT(AH19,1)=$E$6,RIGHT(AH19,1)=$E$7),"殺","")&amp;IF(ABS(RIGHT(AM19,1)-RIGHT($F$5,1))=5,"日","")&amp;IF(ABS(RIGHT(AM19,1)-RIGHT($G$5,1))=5,"月","")&amp;IF(ABS(RIGHT(AM19,1)-RIGHT($H$5,1))=5,"年","")</f>
        <v/>
      </c>
      <c r="AR18" s="172" t="str">
        <f t="shared" ref="AR18:AR81" si="15">IF($AH18="","", IFERROR(IF(COUNTIF($F$6, MID("己庚辛壬癸甲乙丙丁戊", FIND(LEFT($AH18,1), "甲乙丙丁戊己庚辛壬癸"), 1))&gt;0, CHOOSE(INT((FIND(LEFT($AH18,1), "甲己乙庚丙辛丁壬戊癸")+1)/2), "甲己干合", "乙庚干合", "丙辛干合", "丁壬干合", "戊癸干合"), ""), ""))</f>
        <v>戊癸干合</v>
      </c>
      <c r="AS18" s="172" t="str">
        <f t="shared" ref="AS18:AS81" si="16">IF($AH18="","", IFERROR(IF(COUNTIF($G$6, MID("己庚辛壬癸甲乙丙丁戊", FIND(LEFT($AH18,1), "甲乙丙丁戊己庚辛壬癸"), 1))&gt;0, CHOOSE(INT((FIND(LEFT($AH18,1), "甲己乙庚丙辛丁壬戊癸")+1)/2), "甲己干合", "乙庚干合", "丙辛干合", "丁壬干合", "戊癸干合"), ""), ""))</f>
        <v/>
      </c>
      <c r="AT18" s="172" t="str">
        <f t="shared" ref="AT18:AT81" si="17">IF($AH18="","", IFERROR(IF(COUNTIF($H$6, MID("己庚辛壬癸甲乙丙丁戊", FIND(LEFT($AH18,1), "甲乙丙丁戊己庚辛壬癸"), 1))&gt;0, CHOOSE(INT((FIND(LEFT($AH18,1), "甲己乙庚丙辛丁壬戊癸")+1)/2), "甲己干合", "乙庚干合", "丙辛干合", "丁壬干合", "戊癸干合"), ""), ""))</f>
        <v/>
      </c>
      <c r="AU18" s="49" t="str">
        <f>INDEX('12運シート'!C:C, MATCH(1, INDEX(('12運シート'!A:A=TRIM($T$42)) * ('12運シート'!B:B=TRIM(RIGHT(AE18, 1))), 0), 0))</f>
        <v>立花</v>
      </c>
      <c r="AV18" s="49" t="str">
        <f>INDEX('12運シート'!$E:$E, MATCH(1, INDEX((TRIM('12運シート'!$A:$A)=TRIM($T$42)) * (TRIM('12運シート'!$B:$B)=TRIM(AE18)), 0), 0))</f>
        <v>弁財天</v>
      </c>
      <c r="AW18" s="49" t="str">
        <f t="shared" ref="AW18:AW81" si="18">VLOOKUP(AV18,$V$6:$W$18, 2, FALSE)</f>
        <v>才能がパッと花開き、今後の人生を左右する重要な決定を下す発展期。</v>
      </c>
      <c r="AX18" s="49"/>
      <c r="AY18" s="49"/>
      <c r="AZ18" s="166" t="str">
        <f t="shared" ref="AZ18:AZ81" ca="1" si="19">RIGHT(BC18, 1)</f>
        <v>子</v>
      </c>
      <c r="BA18" s="173">
        <f t="shared" ref="BA18:BA81" ca="1" si="20">BA17+1</f>
        <v>46144</v>
      </c>
      <c r="BB18" s="174">
        <f t="shared" ca="1" si="7"/>
        <v>13</v>
      </c>
      <c r="BC18" s="174" t="str">
        <f ca="1">VLOOKUP(BB18,[1]大運!$B$31:$C$90,2,FALSE)</f>
        <v>丙子</v>
      </c>
      <c r="BD18" s="174" t="str">
        <f ca="1">VLOOKUP($F$5 &amp; "+" &amp; (MOD(BA18 - DATE(2024, 1, 1), 60) + 1), [1]大運!$H$45:$K$3644, 3, FALSE)</f>
        <v>龍高星</v>
      </c>
      <c r="BE18" s="174" t="str">
        <f ca="1">VLOOKUP($F$5 &amp; "+" &amp; (MOD(BA18 - DATE(2024, 1, 1), 60) + 1), [1]大運!$H$45:$K$3644, 4, FALSE)</f>
        <v>天報星</v>
      </c>
      <c r="BF18" s="174" t="str">
        <f ca="1">VLOOKUP($F$5 &amp; "+" &amp; (MOD(BA18 - DATE(2024, 1, 1), 60) + 1), [1]大運!$H$45:$K$3644, 2, FALSE)</f>
        <v>同</v>
      </c>
      <c r="BG18" s="174" t="str">
        <f ca="1">VLOOKUP($G$5 &amp; "+" &amp; (MOD(BA18 - DATE(2024, 1, 1), 60) + 1), [1]大運!$H$45:$K$3644, 2, FALSE)</f>
        <v>大半会</v>
      </c>
      <c r="BH18" s="174" t="str">
        <f ca="1">VLOOKUP($H$5 &amp; "+" &amp; (MOD(BA18 - DATE(2024, 1, 1), 60) + 1), [1]大運!$H$45:$K$3644, 2, FALSE)</f>
        <v>破</v>
      </c>
      <c r="BI18" s="172" t="str">
        <f t="shared" ref="BI18:BI81" ca="1" si="21">IF($BC18="","", IFERROR(IF(COUNTIF($F$6, MID("己庚辛壬癸甲乙丙丁戊", FIND(LEFT($BC18,1), "甲乙丙丁戊己庚辛壬癸"), 1))&gt;0, CHOOSE(INT((FIND(LEFT($BC18,1), "甲己乙庚丙辛丁壬戊癸")+1)/2), "甲己干合", "乙庚干合", "丙辛干合", "丁壬干合", "戊癸干合"), ""), ""))</f>
        <v/>
      </c>
      <c r="BJ18" s="172" t="str">
        <f t="shared" ref="BJ18:BJ81" ca="1" si="22">IF($BC18="","", IFERROR(IF(COUNTIF($G$6, MID("己庚辛壬癸甲乙丙丁戊", FIND(LEFT($BC18,1), "甲乙丙丁戊己庚辛壬癸"), 1))&gt;0, CHOOSE(INT((FIND(LEFT($BC18,1), "甲己乙庚丙辛丁壬戊癸")+1)/2), "甲己干合", "乙庚干合", "丙辛干合", "丁壬干合", "戊癸干合"), ""), ""))</f>
        <v/>
      </c>
      <c r="BK18" s="172" t="str">
        <f t="shared" ref="BK18:BK81" ca="1" si="23">IF($BC18="","", IFERROR(IF(COUNTIF($H$6, MID("己庚辛壬癸甲乙丙丁戊", FIND(LEFT($BC18,1), "甲乙丙丁戊己庚辛壬癸"), 1))&gt;0, CHOOSE(INT((FIND(LEFT($BC18,1), "甲己乙庚丙辛丁壬戊癸")+1)/2), "甲己干合", "乙庚干合", "丙辛干合", "丁壬干合", "戊癸干合"), ""), ""))</f>
        <v>丙辛干合</v>
      </c>
      <c r="BL18" s="174" t="str">
        <f ca="1">INDEX('12運シート'!C:C, MATCH(1, INDEX(('12運シート'!A:A=TRIM($T$42)) * ('12運シート'!B:B=TRIM(RIGHT(AZ18, 1))), 0), 0))</f>
        <v>健弱</v>
      </c>
      <c r="BM18" s="174" t="str">
        <f ca="1">INDEX('12運シート'!$E:$E, MATCH(1, INDEX((TRIM('12運シート'!$A:$A)=TRIM($T$42)) * (TRIM('12運シート'!$B:$B)=TRIM(AZ18)), 0), 0))</f>
        <v>曇天</v>
      </c>
      <c r="BN18" s="49" t="str">
        <f t="shared" ref="BN18:BN81" ca="1" si="24">VLOOKUP(BM18,$V$6:$W$18, 2, FALSE)</f>
        <v>運気の勢いに心身が追いつかない小休止。自己治癒の時期。</v>
      </c>
      <c r="BO18" s="182"/>
      <c r="BP18" s="182"/>
      <c r="BQ18" s="114" t="s">
        <v>255</v>
      </c>
      <c r="BR18" s="140"/>
      <c r="BS18" s="140"/>
      <c r="BT18" s="49">
        <f t="shared" si="8"/>
        <v>0</v>
      </c>
      <c r="BU18" s="63">
        <f ca="1">IFERROR(__xludf.DUMMYFUNCTION("IFERROR(VLOOKUP(""*""&amp;AQ18&amp;""*"", {""甲"",7,10,11,12,8,4,2,5,1,3,6,9;""乙"",4,8,12,11,10,7,9,6,3,1,5,2;""丙"",3,6,9,7,10,11,12,8,4,2,5,1;""丁"",1,5,2,4,8,12,11,10,7,9,6,3;""戊"",3,6,9,7,10,11,12,8,4,2,5,1;""己"",1,5,2,4,8,12,11,10,7,9,6,3;""庚"",2,5,1,3,6,9,7,10"&amp;",11,12,8,4;""辛"",9,6,3,1,5,2,4,8,12,11,10,7;""壬"",12,8,4,2,5,1,3,6,9,7,10,11;""癸"",11,10,7,9,6,3,1,5,2,4,8,12}, FIND(REGEXREPLACE($H$7,""[^子丑寅卯辰巳午未申酉戌亥]"",""""), ""子丑寅卯辰巳午未申酉戌亥"")+1, FALSE), 0)"),1)</f>
        <v>1</v>
      </c>
      <c r="BV18" s="49">
        <f ca="1">IFERROR(__xludf.DUMMYFUNCTION("IFERROR(VLOOKUP(""*""&amp;AQ18&amp;""*"", {""甲"",7,10,11,12,8,4,2,5,1,3,6,9;""乙"",4,8,12,11,10,7,9,6,3,1,5,2;""丙"",3,6,9,7,10,11,12,8,4,2,5,1;""丁"",1,5,2,4,8,12,11,10,7,9,6,3;""戊"",3,6,9,7,10,11,12,8,4,2,5,1;""己"",1,5,2,4,8,12,11,10,7,9,6,3;""庚"",2,5,1,3,6,9,7,10"&amp;",11,12,8,4;""辛"",9,6,3,1,5,2,4,8,12,11,10,7;""壬"",12,8,4,2,5,1,3,6,9,7,10,11;""癸"",11,10,7,9,6,3,1,5,2,4,8,12}, FIND(REGEXREPLACE($G$7,""[^子丑寅卯辰巳午未申酉戌亥]"",""""), ""子丑寅卯辰巳午未申酉戌亥"")+1, FALSE), 0)"),3)</f>
        <v>3</v>
      </c>
      <c r="BW18" s="147">
        <f ca="1">IFERROR(__xludf.DUMMYFUNCTION("IFERROR(VLOOKUP(""*""&amp;AQ18&amp;""*"", {""甲"",7,10,11,12,8,4,2,5,1,3,6,9;""乙"",4,8,12,11,10,7,9,6,3,1,5,2;""丙"",3,6,9,7,10,11,12,8,4,2,5,1;""丁"",1,5,2,4,8,12,11,10,7,9,6,3;""戊"",3,6,9,7,10,11,12,8,4,2,5,1;""己"",1,5,2,4,8,12,11,10,7,9,6,3;""庚"",2,5,1,3,6,9,7,10"&amp;",11,12,8,4;""辛"",9,6,3,1,5,2,4,8,12,11,10,7;""壬"",12,8,4,2,5,1,3,6,9,7,10,11;""癸"",11,10,7,9,6,3,1,5,2,4,8,12}, FIND(REGEXREPLACE($F$7,""[^子丑寅卯辰巳午未申酉戌亥]"",""""), ""子丑寅卯辰巳午未申酉戌亥"")+1, FALSE), 0)"),4)</f>
        <v>4</v>
      </c>
      <c r="BX18" s="175">
        <f t="shared" ca="1" si="9"/>
        <v>0</v>
      </c>
      <c r="BY18" s="149" t="s">
        <v>256</v>
      </c>
      <c r="BZ18" s="176">
        <f ca="1">SUM(BX19:BX20)</f>
        <v>9</v>
      </c>
      <c r="CA18" s="177">
        <f t="shared" ca="1" si="10"/>
        <v>5.5900621118012426</v>
      </c>
      <c r="CB18" s="177">
        <f t="shared" ca="1" si="11"/>
        <v>1</v>
      </c>
      <c r="CC18" s="178" t="s">
        <v>257</v>
      </c>
      <c r="CD18" s="179" t="s">
        <v>258</v>
      </c>
      <c r="CE18" s="149"/>
      <c r="CF18" s="150">
        <v>8</v>
      </c>
      <c r="CG18" s="49"/>
      <c r="CH18" s="49"/>
      <c r="CI18" s="49"/>
      <c r="CJ18" s="49"/>
      <c r="CK18" s="49"/>
      <c r="CL18" s="49"/>
      <c r="CM18" s="49"/>
      <c r="CN18" s="49"/>
      <c r="CO18" s="49"/>
      <c r="CP18" s="49"/>
      <c r="CQ18" s="68"/>
      <c r="CR18" s="68"/>
      <c r="CS18" s="68"/>
      <c r="CT18" s="68"/>
      <c r="CU18" s="68"/>
      <c r="CV18" s="68"/>
      <c r="CW18" s="68"/>
      <c r="CX18" s="68"/>
      <c r="CY18" s="68"/>
      <c r="CZ18" s="49"/>
      <c r="DA18" s="49"/>
      <c r="DB18" s="49"/>
      <c r="DC18" s="49"/>
      <c r="DD18" s="49"/>
      <c r="DE18" s="49"/>
      <c r="DF18" s="49"/>
      <c r="DG18" s="49"/>
      <c r="DH18" s="49"/>
      <c r="DI18" s="49"/>
      <c r="DJ18" s="49"/>
      <c r="DK18" s="49"/>
      <c r="DL18" s="49"/>
      <c r="DM18" s="49"/>
      <c r="DN18" s="49"/>
      <c r="DO18" s="49"/>
      <c r="DP18" s="49"/>
      <c r="DQ18" s="49"/>
      <c r="DR18" s="49"/>
      <c r="DS18" s="49"/>
      <c r="DT18" s="49"/>
      <c r="DU18" s="49"/>
      <c r="DV18" s="49"/>
      <c r="DW18" s="49"/>
      <c r="DX18" s="49"/>
    </row>
    <row r="19" spans="1:128" ht="18" customHeight="1">
      <c r="A19" s="49"/>
      <c r="B19" s="143"/>
      <c r="C19" s="143"/>
      <c r="D19" s="49"/>
      <c r="E19" s="49"/>
      <c r="F19" s="100" t="str">
        <f>[1]大運!F8</f>
        <v>大３</v>
      </c>
      <c r="G19" s="100" t="str">
        <f>[1]大運!G8</f>
        <v>癸巳</v>
      </c>
      <c r="H19" s="162">
        <f>[1]大運!H8</f>
        <v>2011</v>
      </c>
      <c r="I19" s="163">
        <f>[1]大運!I8</f>
        <v>30</v>
      </c>
      <c r="J19" s="164" t="str">
        <f>[1]大運!J8</f>
        <v>司禄星</v>
      </c>
      <c r="K19" s="164" t="str">
        <f>[1]大運!K8</f>
        <v>天禄星</v>
      </c>
      <c r="L19" s="164" t="str">
        <f>[1]大運!L8</f>
        <v>－</v>
      </c>
      <c r="M19" s="164" t="str">
        <f>[1]大運!M8</f>
        <v>支合</v>
      </c>
      <c r="N19" s="164" t="str">
        <f>[1]大運!N8</f>
        <v>半会</v>
      </c>
      <c r="O19" s="164" t="str">
        <f>[1]大運!O8</f>
        <v>異</v>
      </c>
      <c r="P19" s="164" t="str">
        <f>[1]大運!P8</f>
        <v>日干</v>
      </c>
      <c r="Q19" s="165"/>
      <c r="R19" s="165"/>
      <c r="S19" s="165"/>
      <c r="T19" s="49"/>
      <c r="U19" s="52"/>
      <c r="V19" s="49"/>
      <c r="W19" s="49"/>
      <c r="X19" s="53"/>
      <c r="Y19" s="49"/>
      <c r="Z19" s="49"/>
      <c r="AA19" s="53"/>
      <c r="AB19" s="53"/>
      <c r="AC19" s="49"/>
      <c r="AD19" s="49"/>
      <c r="AE19" s="166" t="str">
        <f t="shared" si="12"/>
        <v>子</v>
      </c>
      <c r="AF19" s="167">
        <f t="shared" si="5"/>
        <v>3</v>
      </c>
      <c r="AG19" s="168">
        <f t="shared" si="13"/>
        <v>1984</v>
      </c>
      <c r="AH19" s="100" t="str">
        <f>VLOOKUP(AM19,[1]大運!$B$31:$C$90,2,FALSE)</f>
        <v>甲子</v>
      </c>
      <c r="AI19" s="99" t="str">
        <f>VLOOKUP($F$5&amp;"+"&amp;AM19,[1]大運!$H$45:$K$3644,3,FALSE)</f>
        <v>車騎星</v>
      </c>
      <c r="AJ19" s="73"/>
      <c r="AK19" s="99" t="str">
        <f>VLOOKUP($F$5&amp;"+"&amp;AM19,[1]大運!$H$45:$K$3644,4,FALSE)</f>
        <v>天報星</v>
      </c>
      <c r="AL19" s="73"/>
      <c r="AM19" s="171">
        <f t="shared" si="6"/>
        <v>1</v>
      </c>
      <c r="AN19" s="164" t="str">
        <f>VLOOKUP($F$5&amp;"+"&amp;AM19,[1]大運!$H$45:$K$3644,2,FALSE)</f>
        <v>同</v>
      </c>
      <c r="AO19" s="164" t="str">
        <f>VLOOKUP($G$5&amp;"+"&amp;AM19,[1]大運!$H$45:$K$3644,2,FALSE)</f>
        <v>半会</v>
      </c>
      <c r="AP19" s="164" t="str">
        <f>VLOOKUP($H$5&amp;"+"&amp;AM19,[1]大運!$H$45:$K$3644,2,FALSE)</f>
        <v>破</v>
      </c>
      <c r="AQ19" s="100" t="str">
        <f t="shared" si="14"/>
        <v/>
      </c>
      <c r="AR19" s="172" t="str">
        <f t="shared" si="15"/>
        <v/>
      </c>
      <c r="AS19" s="172" t="str">
        <f t="shared" si="16"/>
        <v/>
      </c>
      <c r="AT19" s="172" t="str">
        <f t="shared" si="17"/>
        <v/>
      </c>
      <c r="AU19" s="49" t="str">
        <f>INDEX('12運シート'!C:C, MATCH(1, INDEX(('12運シート'!A:A=TRIM($T$42)) * ('12運シート'!B:B=TRIM(RIGHT(AE19, 1))), 0), 0))</f>
        <v>健弱</v>
      </c>
      <c r="AV19" s="49" t="str">
        <f>INDEX('12運シート'!$E:$E, MATCH(1, INDEX((TRIM('12運シート'!$A:$A)=TRIM($T$42)) * (TRIM('12運シート'!$B:$B)=TRIM(AE19)), 0), 0))</f>
        <v>曇天</v>
      </c>
      <c r="AW19" s="49" t="str">
        <f t="shared" si="18"/>
        <v>運気の勢いに心身が追いつかない小休止。自己治癒の時期。</v>
      </c>
      <c r="AX19" s="49"/>
      <c r="AY19" s="49"/>
      <c r="AZ19" s="166" t="str">
        <f t="shared" ca="1" si="19"/>
        <v>丑</v>
      </c>
      <c r="BA19" s="173">
        <f t="shared" ca="1" si="20"/>
        <v>46145</v>
      </c>
      <c r="BB19" s="174">
        <f t="shared" ca="1" si="7"/>
        <v>14</v>
      </c>
      <c r="BC19" s="174" t="str">
        <f ca="1">VLOOKUP(BB19,[1]大運!$B$31:$C$90,2,FALSE)</f>
        <v>丁丑</v>
      </c>
      <c r="BD19" s="174" t="str">
        <f ca="1">VLOOKUP($F$5 &amp; "+" &amp; (MOD(BA19 - DATE(2024, 1, 1), 60) + 1), [1]大運!$H$45:$K$3644, 3, FALSE)</f>
        <v>玉堂星</v>
      </c>
      <c r="BE19" s="174" t="str">
        <f ca="1">VLOOKUP($F$5 &amp; "+" &amp; (MOD(BA19 - DATE(2024, 1, 1), 60) + 1), [1]大運!$H$45:$K$3644, 4, FALSE)</f>
        <v>天印星</v>
      </c>
      <c r="BF19" s="174" t="str">
        <f ca="1">VLOOKUP($F$5 &amp; "+" &amp; (MOD(BA19 - DATE(2024, 1, 1), 60) + 1), [1]大運!$H$45:$K$3644, 2, FALSE)</f>
        <v>支合</v>
      </c>
      <c r="BG19" s="174" t="str">
        <f ca="1">VLOOKUP($G$5 &amp; "+" &amp; (MOD(BA19 - DATE(2024, 1, 1), 60) + 1), [1]大運!$H$45:$K$3644, 2, FALSE)</f>
        <v>－</v>
      </c>
      <c r="BH19" s="174" t="str">
        <f ca="1">VLOOKUP($H$5 &amp; "+" &amp; (MOD(BA19 - DATE(2024, 1, 1), 60) + 1), [1]大運!$H$45:$K$3644, 2, FALSE)</f>
        <v>半会</v>
      </c>
      <c r="BI19" s="172" t="str">
        <f t="shared" ca="1" si="21"/>
        <v/>
      </c>
      <c r="BJ19" s="172" t="str">
        <f t="shared" ca="1" si="22"/>
        <v/>
      </c>
      <c r="BK19" s="172" t="str">
        <f t="shared" ca="1" si="23"/>
        <v/>
      </c>
      <c r="BL19" s="174" t="str">
        <f ca="1">INDEX('12運シート'!C:C, MATCH(1, INDEX(('12運シート'!A:A=TRIM($T$42)) * ('12運シート'!B:B=TRIM(RIGHT(AZ19, 1))), 0), 0))</f>
        <v>達成</v>
      </c>
      <c r="BM19" s="174" t="str">
        <f ca="1">INDEX('12運シート'!$E:$E, MATCH(1, INDEX((TRIM('12運シート'!$A:$A)=TRIM($T$42)) * (TRIM('12運シート'!$B:$B)=TRIM(AZ19)), 0), 0))</f>
        <v>韋駄天</v>
      </c>
      <c r="BN19" s="49" t="str">
        <f t="shared" ca="1" si="24"/>
        <v>運気絶頂。これまでの努力が実を結び、最高のスポットライトを浴びる。</v>
      </c>
      <c r="BO19" s="174"/>
      <c r="BP19" s="174"/>
      <c r="BQ19" s="102" t="s">
        <v>259</v>
      </c>
      <c r="BR19" s="140"/>
      <c r="BS19" s="140"/>
      <c r="BT19" s="49">
        <f t="shared" si="8"/>
        <v>1</v>
      </c>
      <c r="BU19" s="63">
        <f ca="1">IFERROR(__xludf.DUMMYFUNCTION("IFERROR(VLOOKUP(""*""&amp;AQ19&amp;""*"", {""甲"",7,10,11,12,8,4,2,5,1,3,6,9;""乙"",4,8,12,11,10,7,9,6,3,1,5,2;""丙"",3,6,9,7,10,11,12,8,4,2,5,1;""丁"",1,5,2,4,8,12,11,10,7,9,6,3;""戊"",3,6,9,7,10,11,12,8,4,2,5,1;""己"",1,5,2,4,8,12,11,10,7,9,6,3;""庚"",2,5,1,3,6,9,7,10"&amp;",11,12,8,4;""辛"",9,6,3,1,5,2,4,8,12,11,10,7;""壬"",12,8,4,2,5,1,3,6,9,7,10,11;""癸"",11,10,7,9,6,3,1,5,2,4,8,12}, FIND(REGEXREPLACE($H$7,""[^子丑寅卯辰巳午未申酉戌亥]"",""""), ""子丑寅卯辰巳午未申酉戌亥"")+1, FALSE), 0)"),2)</f>
        <v>2</v>
      </c>
      <c r="BV19" s="49">
        <f ca="1">IFERROR(__xludf.DUMMYFUNCTION("IFERROR(VLOOKUP(""*""&amp;AQ19&amp;""*"", {""甲"",7,10,11,12,8,4,2,5,1,3,6,9;""乙"",4,8,12,11,10,7,9,6,3,1,5,2;""丙"",3,6,9,7,10,11,12,8,4,2,5,1;""丁"",1,5,2,4,8,12,11,10,7,9,6,3;""戊"",3,6,9,7,10,11,12,8,4,2,5,1;""己"",1,5,2,4,8,12,11,10,7,9,6,3;""庚"",2,5,1,3,6,9,7,10"&amp;",11,12,8,4;""辛"",9,6,3,1,5,2,4,8,12,11,10,7;""壬"",12,8,4,2,5,1,3,6,9,7,10,11;""癸"",11,10,7,9,6,3,1,5,2,4,8,12}, FIND(REGEXREPLACE($G$7,""[^子丑寅卯辰巳午未申酉戌亥]"",""""), ""子丑寅卯辰巳午未申酉戌亥"")+1, FALSE), 0)"),4)</f>
        <v>4</v>
      </c>
      <c r="BW19" s="147">
        <f ca="1">IFERROR(__xludf.DUMMYFUNCTION("IFERROR(VLOOKUP(""*""&amp;AQ19&amp;""*"", {""甲"",7,10,11,12,8,4,2,5,1,3,6,9;""乙"",4,8,12,11,10,7,9,6,3,1,5,2;""丙"",3,6,9,7,10,11,12,8,4,2,5,1;""丁"",1,5,2,4,8,12,11,10,7,9,6,3;""戊"",3,6,9,7,10,11,12,8,4,2,5,1;""己"",1,5,2,4,8,12,11,10,7,9,6,3;""庚"",2,5,1,3,6,9,7,10"&amp;",11,12,8,4;""辛"",9,6,3,1,5,2,4,8,12,11,10,7;""壬"",12,8,4,2,5,1,3,6,9,7,10,11;""癸"",11,10,7,9,6,3,1,5,2,4,8,12}, FIND(REGEXREPLACE($F$7,""[^子丑寅卯辰巳午未申酉戌亥]"",""""), ""子丑寅卯辰巳午未申酉戌亥"")+1, FALSE), 0)"),3)</f>
        <v>3</v>
      </c>
      <c r="BX19" s="175">
        <f t="shared" ca="1" si="9"/>
        <v>9</v>
      </c>
      <c r="BY19" s="149" t="s">
        <v>260</v>
      </c>
      <c r="BZ19" s="176">
        <f ca="1">SUM(BX21:BX22)</f>
        <v>18</v>
      </c>
      <c r="CA19" s="177">
        <f t="shared" ca="1" si="10"/>
        <v>11.180124223602485</v>
      </c>
      <c r="CB19" s="177">
        <f t="shared" ca="1" si="11"/>
        <v>2</v>
      </c>
      <c r="CC19" s="179" t="s">
        <v>261</v>
      </c>
      <c r="CD19" s="178" t="s">
        <v>262</v>
      </c>
      <c r="CE19" s="149"/>
      <c r="CF19" s="50">
        <v>9</v>
      </c>
      <c r="CG19" s="49"/>
      <c r="CH19" s="49"/>
      <c r="CI19" s="49"/>
      <c r="CJ19" s="49"/>
      <c r="CK19" s="49"/>
      <c r="CL19" s="49"/>
      <c r="CM19" s="49"/>
      <c r="CN19" s="49"/>
      <c r="CO19" s="49"/>
      <c r="CP19" s="49"/>
      <c r="CQ19" s="68"/>
      <c r="CR19" s="68"/>
      <c r="CS19" s="68"/>
      <c r="CT19" s="68"/>
      <c r="CU19" s="68"/>
      <c r="CV19" s="68"/>
      <c r="CW19" s="68"/>
      <c r="CX19" s="68"/>
      <c r="CY19" s="68"/>
      <c r="CZ19" s="49"/>
      <c r="DA19" s="49"/>
      <c r="DB19" s="49"/>
      <c r="DC19" s="49"/>
      <c r="DD19" s="49"/>
      <c r="DE19" s="49"/>
      <c r="DF19" s="49"/>
      <c r="DG19" s="49"/>
      <c r="DH19" s="49"/>
      <c r="DI19" s="49"/>
      <c r="DJ19" s="49"/>
      <c r="DK19" s="49"/>
      <c r="DL19" s="49"/>
      <c r="DM19" s="49"/>
      <c r="DN19" s="49"/>
      <c r="DO19" s="49"/>
      <c r="DP19" s="49"/>
      <c r="DQ19" s="49"/>
      <c r="DR19" s="49"/>
      <c r="DS19" s="49"/>
      <c r="DT19" s="49"/>
      <c r="DU19" s="49"/>
      <c r="DV19" s="49"/>
      <c r="DW19" s="49"/>
      <c r="DX19" s="49"/>
    </row>
    <row r="20" spans="1:128" ht="18" customHeight="1">
      <c r="A20" s="49"/>
      <c r="B20" s="143"/>
      <c r="C20" s="143"/>
      <c r="D20" s="49"/>
      <c r="E20" s="49"/>
      <c r="F20" s="168" t="str">
        <f>[1]大運!F9</f>
        <v>大４</v>
      </c>
      <c r="G20" s="100" t="str">
        <f>[1]大運!G9</f>
        <v>壬辰</v>
      </c>
      <c r="H20" s="162">
        <f>[1]大運!H9</f>
        <v>2021</v>
      </c>
      <c r="I20" s="163">
        <f>[1]大運!I9</f>
        <v>40</v>
      </c>
      <c r="J20" s="164" t="str">
        <f>[1]大運!J9</f>
        <v>禄存星</v>
      </c>
      <c r="K20" s="164" t="str">
        <f>[1]大運!K9</f>
        <v>天南星</v>
      </c>
      <c r="L20" s="164" t="str">
        <f>[1]大運!L9</f>
        <v>半会</v>
      </c>
      <c r="M20" s="164" t="str">
        <f>[1]大運!M9</f>
        <v>半会</v>
      </c>
      <c r="N20" s="164" t="str">
        <f>[1]大運!N9</f>
        <v>支合</v>
      </c>
      <c r="O20" s="164" t="str">
        <f>[1]大運!O9</f>
        <v>－</v>
      </c>
      <c r="P20" s="164" t="str">
        <f>[1]大運!P9</f>
        <v/>
      </c>
      <c r="Q20" s="165"/>
      <c r="R20" s="165"/>
      <c r="S20" s="165"/>
      <c r="T20" s="49"/>
      <c r="U20" s="52"/>
      <c r="V20" s="49"/>
      <c r="W20" s="49"/>
      <c r="X20" s="53"/>
      <c r="Y20" s="49"/>
      <c r="Z20" s="49"/>
      <c r="AA20" s="53"/>
      <c r="AB20" s="53"/>
      <c r="AC20" s="49"/>
      <c r="AD20" s="49"/>
      <c r="AE20" s="166" t="str">
        <f t="shared" si="12"/>
        <v>丑</v>
      </c>
      <c r="AF20" s="167">
        <f t="shared" si="5"/>
        <v>4</v>
      </c>
      <c r="AG20" s="168">
        <f t="shared" si="13"/>
        <v>1985</v>
      </c>
      <c r="AH20" s="100" t="str">
        <f>VLOOKUP(AM20,[1]大運!$B$31:$C$90,2,FALSE)</f>
        <v>乙丑</v>
      </c>
      <c r="AI20" s="99" t="str">
        <f>VLOOKUP($F$5&amp;"+"&amp;AM20,[1]大運!$H$45:$K$3644,3,FALSE)</f>
        <v>牽牛星</v>
      </c>
      <c r="AJ20" s="73"/>
      <c r="AK20" s="99" t="str">
        <f>VLOOKUP($F$5&amp;"+"&amp;AM20,[1]大運!$H$45:$K$3644,4,FALSE)</f>
        <v>天印星</v>
      </c>
      <c r="AL20" s="73"/>
      <c r="AM20" s="171">
        <f t="shared" si="6"/>
        <v>2</v>
      </c>
      <c r="AN20" s="164" t="str">
        <f>VLOOKUP($F$5&amp;"+"&amp;AM20,[1]大運!$H$45:$K$3644,2,FALSE)</f>
        <v>支合</v>
      </c>
      <c r="AO20" s="164" t="str">
        <f>VLOOKUP($G$5&amp;"+"&amp;AM20,[1]大運!$H$45:$K$3644,2,FALSE)</f>
        <v>－</v>
      </c>
      <c r="AP20" s="164" t="str">
        <f>VLOOKUP($H$5&amp;"+"&amp;AM20,[1]大運!$H$45:$K$3644,2,FALSE)</f>
        <v>半会</v>
      </c>
      <c r="AQ20" s="100" t="str">
        <f t="shared" si="14"/>
        <v>年</v>
      </c>
      <c r="AR20" s="172" t="str">
        <f t="shared" si="15"/>
        <v/>
      </c>
      <c r="AS20" s="172" t="str">
        <f t="shared" si="16"/>
        <v/>
      </c>
      <c r="AT20" s="172" t="str">
        <f t="shared" si="17"/>
        <v/>
      </c>
      <c r="AU20" s="49" t="str">
        <f>INDEX('12運シート'!C:C, MATCH(1, INDEX(('12運シート'!A:A=TRIM($T$42)) * ('12運シート'!B:B=TRIM(RIGHT(AE20, 1))), 0), 0))</f>
        <v>達成</v>
      </c>
      <c r="AV20" s="49" t="str">
        <f>INDEX('12運シート'!$E:$E, MATCH(1, INDEX((TRIM('12運シート'!$A:$A)=TRIM($T$42)) * (TRIM('12運シート'!$B:$B)=TRIM(AE20)), 0), 0))</f>
        <v>韋駄天</v>
      </c>
      <c r="AW20" s="49" t="str">
        <f t="shared" si="18"/>
        <v>運気絶頂。これまでの努力が実を結び、最高のスポットライトを浴びる。</v>
      </c>
      <c r="AX20" s="49"/>
      <c r="AY20" s="49"/>
      <c r="AZ20" s="166" t="str">
        <f t="shared" ca="1" si="19"/>
        <v>寅</v>
      </c>
      <c r="BA20" s="173">
        <f t="shared" ca="1" si="20"/>
        <v>46146</v>
      </c>
      <c r="BB20" s="174">
        <f t="shared" ca="1" si="7"/>
        <v>15</v>
      </c>
      <c r="BC20" s="174" t="str">
        <f ca="1">VLOOKUP(BB20,[1]大運!$B$31:$C$90,2,FALSE)</f>
        <v>戊寅</v>
      </c>
      <c r="BD20" s="174" t="str">
        <f ca="1">VLOOKUP($F$5 &amp; "+" &amp; (MOD(BA20 - DATE(2024, 1, 1), 60) + 1), [1]大運!$H$45:$K$3644, 3, FALSE)</f>
        <v>貫索星</v>
      </c>
      <c r="BE20" s="174" t="str">
        <f ca="1">VLOOKUP($F$5 &amp; "+" &amp; (MOD(BA20 - DATE(2024, 1, 1), 60) + 1), [1]大運!$H$45:$K$3644, 4, FALSE)</f>
        <v>天貴星</v>
      </c>
      <c r="BF20" s="174" t="str">
        <f ca="1">VLOOKUP($F$5 &amp; "+" &amp; (MOD(BA20 - DATE(2024, 1, 1), 60) + 1), [1]大運!$H$45:$K$3644, 2, FALSE)</f>
        <v>－</v>
      </c>
      <c r="BG20" s="174" t="str">
        <f ca="1">VLOOKUP($G$5 &amp; "+" &amp; (MOD(BA20 - DATE(2024, 1, 1), 60) + 1), [1]大運!$H$45:$K$3644, 2, FALSE)</f>
        <v>対冲</v>
      </c>
      <c r="BH20" s="174" t="str">
        <f ca="1">VLOOKUP($H$5 &amp; "+" &amp; (MOD(BA20 - DATE(2024, 1, 1), 60) + 1), [1]大運!$H$45:$K$3644, 2, FALSE)</f>
        <v>－</v>
      </c>
      <c r="BI20" s="172" t="str">
        <f t="shared" ca="1" si="21"/>
        <v/>
      </c>
      <c r="BJ20" s="172" t="str">
        <f t="shared" ca="1" si="22"/>
        <v/>
      </c>
      <c r="BK20" s="172" t="str">
        <f t="shared" ca="1" si="23"/>
        <v/>
      </c>
      <c r="BL20" s="174" t="str">
        <f ca="1">INDEX('12運シート'!C:C, MATCH(1, INDEX(('12運シート'!A:A=TRIM($T$42)) * ('12運シート'!B:B=TRIM(RIGHT(AZ20, 1))), 0), 0))</f>
        <v>乱気</v>
      </c>
      <c r="BM20" s="174" t="str">
        <f ca="1">INDEX('12運シート'!$E:$E, MATCH(1, INDEX((TRIM('12運シート'!$A:$A)=TRIM($T$42)) * (TRIM('12運シート'!$B:$B)=TRIM(AZ20)), 0), 0))</f>
        <v>伏魔天</v>
      </c>
      <c r="BN20" s="49" t="str">
        <f t="shared" ca="1" si="24"/>
        <v>強すぎる運気の反動で迷いや摩擦が生じる。理性と現状維持が必要な嵐。</v>
      </c>
      <c r="BO20" s="182"/>
      <c r="BP20" s="182"/>
      <c r="BQ20" s="128" t="s">
        <v>263</v>
      </c>
      <c r="BR20" s="140"/>
      <c r="BS20" s="140"/>
      <c r="BT20" s="49">
        <f t="shared" si="8"/>
        <v>0</v>
      </c>
      <c r="BU20" s="63">
        <f ca="1">IFERROR(__xludf.DUMMYFUNCTION("IFERROR(VLOOKUP(""*""&amp;AQ20&amp;""*"", {""甲"",7,10,11,12,8,4,2,5,1,3,6,9;""乙"",4,8,12,11,10,7,9,6,3,1,5,2;""丙"",3,6,9,7,10,11,12,8,4,2,5,1;""丁"",1,5,2,4,8,12,11,10,7,9,6,3;""戊"",3,6,9,7,10,11,12,8,4,2,5,1;""己"",1,5,2,4,8,12,11,10,7,9,6,3;""庚"",2,5,1,3,6,9,7,10"&amp;",11,12,8,4;""辛"",9,6,3,1,5,2,4,8,12,11,10,7;""壬"",12,8,4,2,5,1,3,6,9,7,10,11;""癸"",11,10,7,9,6,3,1,5,2,4,8,12}, FIND(REGEXREPLACE($H$7,""[^子丑寅卯辰巳午未申酉戌亥]"",""""), ""子丑寅卯辰巳午未申酉戌亥"")+1, FALSE), 0)"),9)</f>
        <v>9</v>
      </c>
      <c r="BV20" s="49">
        <f ca="1">IFERROR(__xludf.DUMMYFUNCTION("IFERROR(VLOOKUP(""*""&amp;AQ20&amp;""*"", {""甲"",7,10,11,12,8,4,2,5,1,3,6,9;""乙"",4,8,12,11,10,7,9,6,3,1,5,2;""丙"",3,6,9,7,10,11,12,8,4,2,5,1;""丁"",1,5,2,4,8,12,11,10,7,9,6,3;""戊"",3,6,9,7,10,11,12,8,4,2,5,1;""己"",1,5,2,4,8,12,11,10,7,9,6,3;""庚"",2,5,1,3,6,9,7,10"&amp;",11,12,8,4;""辛"",9,6,3,1,5,2,4,8,12,11,10,7;""壬"",12,8,4,2,5,1,3,6,9,7,10,11;""癸"",11,10,7,9,6,3,1,5,2,4,8,12}, FIND(REGEXREPLACE($G$7,""[^子丑寅卯辰巳午未申酉戌亥]"",""""), ""子丑寅卯辰巳午未申酉戌亥"")+1, FALSE), 0)"),7)</f>
        <v>7</v>
      </c>
      <c r="BW20" s="147">
        <f ca="1">IFERROR(__xludf.DUMMYFUNCTION("IFERROR(VLOOKUP(""*""&amp;AQ20&amp;""*"", {""甲"",7,10,11,12,8,4,2,5,1,3,6,9;""乙"",4,8,12,11,10,7,9,6,3,1,5,2;""丙"",3,6,9,7,10,11,12,8,4,2,5,1;""丁"",1,5,2,4,8,12,11,10,7,9,6,3;""戊"",3,6,9,7,10,11,12,8,4,2,5,1;""己"",1,5,2,4,8,12,11,10,7,9,6,3;""庚"",2,5,1,3,6,9,7,10"&amp;",11,12,8,4;""辛"",9,6,3,1,5,2,4,8,12,11,10,7;""壬"",12,8,4,2,5,1,3,6,9,7,10,11;""癸"",11,10,7,9,6,3,1,5,2,4,8,12}, FIND(REGEXREPLACE($F$7,""[^子丑寅卯辰巳午未申酉戌亥]"",""""), ""子丑寅卯辰巳午未申酉戌亥"")+1, FALSE), 0)"),1)</f>
        <v>1</v>
      </c>
      <c r="BX20" s="175">
        <f t="shared" ca="1" si="9"/>
        <v>0</v>
      </c>
      <c r="BY20" s="149" t="s">
        <v>264</v>
      </c>
      <c r="BZ20" s="176">
        <f ca="1">SUM(BX23:BX24)</f>
        <v>89</v>
      </c>
      <c r="CA20" s="177">
        <f t="shared" ca="1" si="10"/>
        <v>55.279503105590067</v>
      </c>
      <c r="CB20" s="177">
        <f t="shared" ca="1" si="11"/>
        <v>10</v>
      </c>
      <c r="CC20" s="178" t="s">
        <v>265</v>
      </c>
      <c r="CD20" s="179" t="s">
        <v>266</v>
      </c>
      <c r="CE20" s="149"/>
      <c r="CF20" s="150">
        <v>10</v>
      </c>
      <c r="CG20" s="49"/>
      <c r="CH20" s="49"/>
      <c r="CI20" s="49"/>
      <c r="CJ20" s="49"/>
      <c r="CK20" s="49"/>
      <c r="CL20" s="49"/>
      <c r="CM20" s="49"/>
      <c r="CN20" s="49"/>
      <c r="CO20" s="49"/>
      <c r="CP20" s="49"/>
      <c r="CQ20" s="68"/>
      <c r="CR20" s="68"/>
      <c r="CS20" s="68"/>
      <c r="CT20" s="68"/>
      <c r="CU20" s="68"/>
      <c r="CV20" s="68"/>
      <c r="CW20" s="68"/>
      <c r="CX20" s="68"/>
      <c r="CY20" s="68"/>
      <c r="CZ20" s="49"/>
      <c r="DA20" s="49"/>
      <c r="DB20" s="49"/>
      <c r="DC20" s="49"/>
      <c r="DD20" s="49"/>
      <c r="DE20" s="49"/>
      <c r="DF20" s="49"/>
      <c r="DG20" s="49"/>
      <c r="DH20" s="49"/>
      <c r="DI20" s="49"/>
      <c r="DJ20" s="183"/>
      <c r="DK20" s="49"/>
      <c r="DL20" s="49"/>
      <c r="DM20" s="49"/>
      <c r="DN20" s="49"/>
      <c r="DO20" s="49"/>
      <c r="DP20" s="49"/>
      <c r="DQ20" s="49"/>
      <c r="DR20" s="49"/>
      <c r="DS20" s="49"/>
      <c r="DT20" s="49"/>
      <c r="DU20" s="49"/>
      <c r="DV20" s="49"/>
      <c r="DW20" s="49"/>
      <c r="DX20" s="49"/>
    </row>
    <row r="21" spans="1:128" ht="18" customHeight="1">
      <c r="A21" s="49"/>
      <c r="B21" s="49"/>
      <c r="C21" s="49"/>
      <c r="D21" s="49"/>
      <c r="E21" s="49"/>
      <c r="F21" s="100" t="str">
        <f>[1]大運!F10</f>
        <v>大５</v>
      </c>
      <c r="G21" s="100" t="str">
        <f>[1]大運!G10</f>
        <v>辛卯</v>
      </c>
      <c r="H21" s="162">
        <f>[1]大運!H10</f>
        <v>2031</v>
      </c>
      <c r="I21" s="163">
        <f>[1]大運!I10</f>
        <v>50</v>
      </c>
      <c r="J21" s="164" t="str">
        <f>[1]大運!J10</f>
        <v>調舒星</v>
      </c>
      <c r="K21" s="164" t="str">
        <f>[1]大運!K10</f>
        <v>天恍星</v>
      </c>
      <c r="L21" s="164" t="str">
        <f>[1]大運!L10</f>
        <v>刑</v>
      </c>
      <c r="M21" s="164" t="str">
        <f>[1]大運!M10</f>
        <v>－</v>
      </c>
      <c r="N21" s="164" t="str">
        <f>[1]大運!N10</f>
        <v>納音</v>
      </c>
      <c r="O21" s="164" t="str">
        <f>[1]大運!O10</f>
        <v>－</v>
      </c>
      <c r="P21" s="164" t="str">
        <f>[1]大運!P10</f>
        <v>月干</v>
      </c>
      <c r="Q21" s="165"/>
      <c r="R21" s="165"/>
      <c r="S21" s="165"/>
      <c r="T21" s="49"/>
      <c r="U21" s="52"/>
      <c r="V21" s="49"/>
      <c r="W21" s="49"/>
      <c r="X21" s="53"/>
      <c r="Y21" s="49"/>
      <c r="Z21" s="49"/>
      <c r="AA21" s="53"/>
      <c r="AB21" s="53"/>
      <c r="AC21" s="49"/>
      <c r="AD21" s="49"/>
      <c r="AE21" s="166" t="str">
        <f t="shared" si="12"/>
        <v>寅</v>
      </c>
      <c r="AF21" s="167">
        <f t="shared" si="5"/>
        <v>5</v>
      </c>
      <c r="AG21" s="168">
        <f t="shared" si="13"/>
        <v>1986</v>
      </c>
      <c r="AH21" s="100" t="str">
        <f>VLOOKUP(AM21,[1]大運!$B$31:$C$90,2,FALSE)</f>
        <v>丙寅</v>
      </c>
      <c r="AI21" s="99" t="str">
        <f>VLOOKUP($F$5&amp;"+"&amp;AM21,[1]大運!$H$45:$K$3644,3,FALSE)</f>
        <v>龍高星</v>
      </c>
      <c r="AJ21" s="73"/>
      <c r="AK21" s="99" t="str">
        <f>VLOOKUP($F$5&amp;"+"&amp;AM21,[1]大運!$H$45:$K$3644,4,FALSE)</f>
        <v>天貴星</v>
      </c>
      <c r="AL21" s="73"/>
      <c r="AM21" s="171">
        <f t="shared" si="6"/>
        <v>3</v>
      </c>
      <c r="AN21" s="164" t="str">
        <f>VLOOKUP($F$5&amp;"+"&amp;AM21,[1]大運!$H$45:$K$3644,2,FALSE)</f>
        <v>－</v>
      </c>
      <c r="AO21" s="164" t="str">
        <f>VLOOKUP($G$5&amp;"+"&amp;AM21,[1]大運!$H$45:$K$3644,2,FALSE)</f>
        <v>納音</v>
      </c>
      <c r="AP21" s="164" t="str">
        <f>VLOOKUP($H$5&amp;"+"&amp;AM21,[1]大運!$H$45:$K$3644,2,FALSE)</f>
        <v>－</v>
      </c>
      <c r="AQ21" s="100" t="str">
        <f t="shared" si="14"/>
        <v/>
      </c>
      <c r="AR21" s="172" t="str">
        <f t="shared" si="15"/>
        <v/>
      </c>
      <c r="AS21" s="172" t="str">
        <f t="shared" si="16"/>
        <v/>
      </c>
      <c r="AT21" s="172" t="str">
        <f t="shared" si="17"/>
        <v>丙辛干合</v>
      </c>
      <c r="AU21" s="49" t="str">
        <f>INDEX('12運シート'!C:C, MATCH(1, INDEX(('12運シート'!A:A=TRIM($T$42)) * ('12運シート'!B:B=TRIM(RIGHT(AE21, 1))), 0), 0))</f>
        <v>乱気</v>
      </c>
      <c r="AV21" s="49" t="str">
        <f>INDEX('12運シート'!$E:$E, MATCH(1, INDEX((TRIM('12運シート'!$A:$A)=TRIM($T$42)) * (TRIM('12運シート'!$B:$B)=TRIM(AE21)), 0), 0))</f>
        <v>伏魔天</v>
      </c>
      <c r="AW21" s="49" t="str">
        <f t="shared" si="18"/>
        <v>強すぎる運気の反動で迷いや摩擦が生じる。理性と現状維持が必要な嵐。</v>
      </c>
      <c r="AX21" s="49"/>
      <c r="AY21" s="49"/>
      <c r="AZ21" s="166" t="str">
        <f t="shared" ca="1" si="19"/>
        <v>卯</v>
      </c>
      <c r="BA21" s="173">
        <f t="shared" ca="1" si="20"/>
        <v>46147</v>
      </c>
      <c r="BB21" s="174">
        <f t="shared" ca="1" si="7"/>
        <v>16</v>
      </c>
      <c r="BC21" s="174" t="str">
        <f ca="1">VLOOKUP(BB21,[1]大運!$B$31:$C$90,2,FALSE)</f>
        <v>己卯</v>
      </c>
      <c r="BD21" s="174" t="str">
        <f ca="1">VLOOKUP($F$5 &amp; "+" &amp; (MOD(BA21 - DATE(2024, 1, 1), 60) + 1), [1]大運!$H$45:$K$3644, 3, FALSE)</f>
        <v>石門星</v>
      </c>
      <c r="BE21" s="174" t="str">
        <f ca="1">VLOOKUP($F$5 &amp; "+" &amp; (MOD(BA21 - DATE(2024, 1, 1), 60) + 1), [1]大運!$H$45:$K$3644, 4, FALSE)</f>
        <v>天恍星</v>
      </c>
      <c r="BF21" s="174" t="str">
        <f ca="1">VLOOKUP($F$5 &amp; "+" &amp; (MOD(BA21 - DATE(2024, 1, 1), 60) + 1), [1]大運!$H$45:$K$3644, 2, FALSE)</f>
        <v>刑</v>
      </c>
      <c r="BG21" s="174" t="str">
        <f ca="1">VLOOKUP($G$5 &amp; "+" &amp; (MOD(BA21 - DATE(2024, 1, 1), 60) + 1), [1]大運!$H$45:$K$3644, 2, FALSE)</f>
        <v>－</v>
      </c>
      <c r="BH21" s="174" t="str">
        <f ca="1">VLOOKUP($H$5 &amp; "+" &amp; (MOD(BA21 - DATE(2024, 1, 1), 60) + 1), [1]大運!$H$45:$K$3644, 2, FALSE)</f>
        <v>対冲</v>
      </c>
      <c r="BI21" s="172" t="str">
        <f t="shared" ca="1" si="21"/>
        <v/>
      </c>
      <c r="BJ21" s="172" t="str">
        <f t="shared" ca="1" si="22"/>
        <v/>
      </c>
      <c r="BK21" s="172" t="str">
        <f t="shared" ca="1" si="23"/>
        <v/>
      </c>
      <c r="BL21" s="174" t="str">
        <f ca="1">INDEX('12運シート'!C:C, MATCH(1, INDEX(('12運シート'!A:A=TRIM($T$42)) * ('12運シート'!B:B=TRIM(RIGHT(AZ21, 1))), 0), 0))</f>
        <v>再会</v>
      </c>
      <c r="BM21" s="174" t="str">
        <f ca="1">INDEX('12運シート'!$E:$E, MATCH(1, INDEX((TRIM('12運シート'!$A:$A)=TRIM($T$42)) * (TRIM('12運シート'!$B:$B)=TRIM(AZ21)), 0), 0))</f>
        <v>有頂天</v>
      </c>
      <c r="BN21" s="49" t="str">
        <f t="shared" ca="1" si="24"/>
        <v>第2の絶頂期。過去の縁が繋がり、周囲を巻き込み大きな成果を出す。</v>
      </c>
      <c r="BO21" s="174"/>
      <c r="BP21" s="174"/>
      <c r="BQ21" s="136" t="s">
        <v>267</v>
      </c>
      <c r="BR21" s="140"/>
      <c r="BS21" s="140"/>
      <c r="BT21" s="49">
        <f t="shared" si="8"/>
        <v>2</v>
      </c>
      <c r="BU21" s="63">
        <f ca="1">IFERROR(__xludf.DUMMYFUNCTION("IFERROR(VLOOKUP(""*""&amp;AQ21&amp;""*"", {""甲"",7,10,11,12,8,4,2,5,1,3,6,9;""乙"",4,8,12,11,10,7,9,6,3,1,5,2;""丙"",3,6,9,7,10,11,12,8,4,2,5,1;""丁"",1,5,2,4,8,12,11,10,7,9,6,3;""戊"",3,6,9,7,10,11,12,8,4,2,5,1;""己"",1,5,2,4,8,12,11,10,7,9,6,3;""庚"",2,5,1,3,6,9,7,10"&amp;",11,12,8,4;""辛"",9,6,3,1,5,2,4,8,12,11,10,7;""壬"",12,8,4,2,5,1,3,6,9,7,10,11;""癸"",11,10,7,9,6,3,1,5,2,4,8,12}, FIND(REGEXREPLACE($H$7,""[^子丑寅卯辰巳午未申酉戌亥]"",""""), ""子丑寅卯辰巳午未申酉戌亥"")+1, FALSE), 0)"),2)</f>
        <v>2</v>
      </c>
      <c r="BV21" s="49">
        <f ca="1">IFERROR(__xludf.DUMMYFUNCTION("IFERROR(VLOOKUP(""*""&amp;AQ21&amp;""*"", {""甲"",7,10,11,12,8,4,2,5,1,3,6,9;""乙"",4,8,12,11,10,7,9,6,3,1,5,2;""丙"",3,6,9,7,10,11,12,8,4,2,5,1;""丁"",1,5,2,4,8,12,11,10,7,9,6,3;""戊"",3,6,9,7,10,11,12,8,4,2,5,1;""己"",1,5,2,4,8,12,11,10,7,9,6,3;""庚"",2,5,1,3,6,9,7,10"&amp;",11,12,8,4;""辛"",9,6,3,1,5,2,4,8,12,11,10,7;""壬"",12,8,4,2,5,1,3,6,9,7,10,11;""癸"",11,10,7,9,6,3,1,5,2,4,8,12}, FIND(REGEXREPLACE($G$7,""[^子丑寅卯辰巳午未申酉戌亥]"",""""), ""子丑寅卯辰巳午未申酉戌亥"")+1, FALSE), 0)"),4)</f>
        <v>4</v>
      </c>
      <c r="BW21" s="147">
        <f ca="1">IFERROR(__xludf.DUMMYFUNCTION("IFERROR(VLOOKUP(""*""&amp;AQ21&amp;""*"", {""甲"",7,10,11,12,8,4,2,5,1,3,6,9;""乙"",4,8,12,11,10,7,9,6,3,1,5,2;""丙"",3,6,9,7,10,11,12,8,4,2,5,1;""丁"",1,5,2,4,8,12,11,10,7,9,6,3;""戊"",3,6,9,7,10,11,12,8,4,2,5,1;""己"",1,5,2,4,8,12,11,10,7,9,6,3;""庚"",2,5,1,3,6,9,7,10"&amp;",11,12,8,4;""辛"",9,6,3,1,5,2,4,8,12,11,10,7;""壬"",12,8,4,2,5,1,3,6,9,7,10,11;""癸"",11,10,7,9,6,3,1,5,2,4,8,12}, FIND(REGEXREPLACE($F$7,""[^子丑寅卯辰巳午未申酉戌亥]"",""""), ""子丑寅卯辰巳午未申酉戌亥"")+1, FALSE), 0)"),3)</f>
        <v>3</v>
      </c>
      <c r="BX21" s="175">
        <f t="shared" ca="1" si="9"/>
        <v>18</v>
      </c>
      <c r="BY21" s="149" t="s">
        <v>268</v>
      </c>
      <c r="BZ21" s="176">
        <f ca="1">SUM(BX25:BX26)</f>
        <v>45</v>
      </c>
      <c r="CA21" s="177">
        <f t="shared" ca="1" si="10"/>
        <v>27.950310559006208</v>
      </c>
      <c r="CB21" s="177">
        <f t="shared" ca="1" si="11"/>
        <v>5</v>
      </c>
      <c r="CC21" s="179" t="s">
        <v>269</v>
      </c>
      <c r="CD21" s="178" t="s">
        <v>270</v>
      </c>
      <c r="CE21" s="149"/>
      <c r="CF21" s="50">
        <v>11</v>
      </c>
      <c r="CG21" s="49"/>
      <c r="CH21" s="49"/>
      <c r="CI21" s="49"/>
      <c r="CJ21" s="49"/>
      <c r="CK21" s="49"/>
      <c r="CL21" s="49"/>
      <c r="CM21" s="49"/>
      <c r="CN21" s="49"/>
      <c r="CO21" s="49"/>
      <c r="CP21" s="49"/>
      <c r="CQ21" s="68"/>
      <c r="CR21" s="68"/>
      <c r="CS21" s="68"/>
      <c r="CT21" s="68"/>
      <c r="CU21" s="68"/>
      <c r="CV21" s="68"/>
      <c r="CW21" s="68"/>
      <c r="CX21" s="68"/>
      <c r="CY21" s="68"/>
      <c r="CZ21" s="49"/>
      <c r="DA21" s="49"/>
      <c r="DB21" s="49"/>
      <c r="DC21" s="49"/>
      <c r="DD21" s="49"/>
      <c r="DE21" s="49"/>
      <c r="DF21" s="49"/>
      <c r="DG21" s="49"/>
      <c r="DH21" s="49"/>
      <c r="DI21" s="49"/>
      <c r="DJ21" s="49"/>
      <c r="DK21" s="49"/>
      <c r="DL21" s="49"/>
      <c r="DM21" s="49"/>
      <c r="DN21" s="49"/>
      <c r="DO21" s="49"/>
      <c r="DP21" s="49"/>
      <c r="DQ21" s="49"/>
      <c r="DR21" s="49"/>
      <c r="DS21" s="49"/>
      <c r="DT21" s="49"/>
      <c r="DU21" s="49"/>
      <c r="DV21" s="49"/>
      <c r="DW21" s="49"/>
      <c r="DX21" s="49"/>
    </row>
    <row r="22" spans="1:128" ht="18" customHeight="1">
      <c r="A22" s="49"/>
      <c r="B22" s="49"/>
      <c r="C22" s="49"/>
      <c r="D22" s="49"/>
      <c r="E22" s="49"/>
      <c r="F22" s="168" t="str">
        <f>[1]大運!F11</f>
        <v>大６</v>
      </c>
      <c r="G22" s="100" t="str">
        <f>[1]大運!G11</f>
        <v>庚寅</v>
      </c>
      <c r="H22" s="162">
        <f>[1]大運!H11</f>
        <v>2041</v>
      </c>
      <c r="I22" s="163">
        <f>[1]大運!I11</f>
        <v>60</v>
      </c>
      <c r="J22" s="164" t="str">
        <f>[1]大運!J11</f>
        <v>鳳閣星</v>
      </c>
      <c r="K22" s="164" t="str">
        <f>[1]大運!K11</f>
        <v>天貴星</v>
      </c>
      <c r="L22" s="164" t="str">
        <f>[1]大運!L11</f>
        <v>－</v>
      </c>
      <c r="M22" s="164" t="str">
        <f>[1]大運!M11</f>
        <v>天剋地冲</v>
      </c>
      <c r="N22" s="164" t="str">
        <f>[1]大運!N11</f>
        <v>－</v>
      </c>
      <c r="O22" s="164" t="str">
        <f>[1]大運!O11</f>
        <v>－</v>
      </c>
      <c r="P22" s="164" t="str">
        <f>[1]大運!P11</f>
        <v/>
      </c>
      <c r="Q22" s="165"/>
      <c r="R22" s="165"/>
      <c r="S22" s="165"/>
      <c r="T22" s="49"/>
      <c r="U22" s="52"/>
      <c r="V22" s="49"/>
      <c r="W22" s="49"/>
      <c r="X22" s="53"/>
      <c r="Y22" s="49"/>
      <c r="Z22" s="49"/>
      <c r="AA22" s="53"/>
      <c r="AB22" s="53"/>
      <c r="AC22" s="49"/>
      <c r="AD22" s="49"/>
      <c r="AE22" s="166" t="str">
        <f t="shared" si="12"/>
        <v>卯</v>
      </c>
      <c r="AF22" s="167">
        <f t="shared" si="5"/>
        <v>6</v>
      </c>
      <c r="AG22" s="168">
        <f t="shared" si="13"/>
        <v>1987</v>
      </c>
      <c r="AH22" s="100" t="str">
        <f>VLOOKUP(AM22,[1]大運!$B$31:$C$90,2,FALSE)</f>
        <v>丁卯</v>
      </c>
      <c r="AI22" s="99" t="str">
        <f>VLOOKUP($F$5&amp;"+"&amp;AM22,[1]大運!$H$45:$K$3644,3,FALSE)</f>
        <v>玉堂星</v>
      </c>
      <c r="AJ22" s="73"/>
      <c r="AK22" s="99" t="str">
        <f>VLOOKUP($F$5&amp;"+"&amp;AM22,[1]大運!$H$45:$K$3644,4,FALSE)</f>
        <v>天恍星</v>
      </c>
      <c r="AL22" s="73"/>
      <c r="AM22" s="171">
        <f t="shared" si="6"/>
        <v>4</v>
      </c>
      <c r="AN22" s="164" t="str">
        <f>VLOOKUP($F$5&amp;"+"&amp;AM22,[1]大運!$H$45:$K$3644,2,FALSE)</f>
        <v>刑</v>
      </c>
      <c r="AO22" s="164" t="str">
        <f>VLOOKUP($G$5&amp;"+"&amp;AM22,[1]大運!$H$45:$K$3644,2,FALSE)</f>
        <v>－</v>
      </c>
      <c r="AP22" s="164" t="str">
        <f>VLOOKUP($H$5&amp;"+"&amp;AM22,[1]大運!$H$45:$K$3644,2,FALSE)</f>
        <v>天剋地冲</v>
      </c>
      <c r="AQ22" s="100" t="str">
        <f t="shared" si="14"/>
        <v/>
      </c>
      <c r="AR22" s="172" t="str">
        <f t="shared" si="15"/>
        <v/>
      </c>
      <c r="AS22" s="172" t="str">
        <f t="shared" si="16"/>
        <v/>
      </c>
      <c r="AT22" s="172" t="str">
        <f t="shared" si="17"/>
        <v/>
      </c>
      <c r="AU22" s="49" t="str">
        <f>INDEX('12運シート'!C:C, MATCH(1, INDEX(('12運シート'!A:A=TRIM($T$42)) * ('12運シート'!B:B=TRIM(RIGHT(AE22, 1))), 0), 0))</f>
        <v>再会</v>
      </c>
      <c r="AV22" s="49" t="str">
        <f>INDEX('12運シート'!$E:$E, MATCH(1, INDEX((TRIM('12運シート'!$A:$A)=TRIM($T$42)) * (TRIM('12運シート'!$B:$B)=TRIM(AE22)), 0), 0))</f>
        <v>有頂天</v>
      </c>
      <c r="AW22" s="49" t="str">
        <f t="shared" si="18"/>
        <v>第2の絶頂期。過去の縁が繋がり、周囲を巻き込み大きな成果を出す。</v>
      </c>
      <c r="AX22" s="49"/>
      <c r="AY22" s="49"/>
      <c r="AZ22" s="166" t="str">
        <f t="shared" ca="1" si="19"/>
        <v>辰</v>
      </c>
      <c r="BA22" s="173">
        <f t="shared" ca="1" si="20"/>
        <v>46148</v>
      </c>
      <c r="BB22" s="174">
        <f t="shared" ca="1" si="7"/>
        <v>17</v>
      </c>
      <c r="BC22" s="174" t="str">
        <f ca="1">VLOOKUP(BB22,[1]大運!$B$31:$C$90,2,FALSE)</f>
        <v>庚辰</v>
      </c>
      <c r="BD22" s="174" t="str">
        <f ca="1">VLOOKUP($F$5 &amp; "+" &amp; (MOD(BA22 - DATE(2024, 1, 1), 60) + 1), [1]大運!$H$45:$K$3644, 3, FALSE)</f>
        <v>鳳閣星</v>
      </c>
      <c r="BE22" s="174" t="str">
        <f ca="1">VLOOKUP($F$5 &amp; "+" &amp; (MOD(BA22 - DATE(2024, 1, 1), 60) + 1), [1]大運!$H$45:$K$3644, 4, FALSE)</f>
        <v>天南星</v>
      </c>
      <c r="BF22" s="174" t="str">
        <f ca="1">VLOOKUP($F$5 &amp; "+" &amp; (MOD(BA22 - DATE(2024, 1, 1), 60) + 1), [1]大運!$H$45:$K$3644, 2, FALSE)</f>
        <v>半会</v>
      </c>
      <c r="BG22" s="174" t="str">
        <f ca="1">VLOOKUP($G$5 &amp; "+" &amp; (MOD(BA22 - DATE(2024, 1, 1), 60) + 1), [1]大運!$H$45:$K$3644, 2, FALSE)</f>
        <v>半会</v>
      </c>
      <c r="BH22" s="174" t="str">
        <f ca="1">VLOOKUP($H$5 &amp; "+" &amp; (MOD(BA22 - DATE(2024, 1, 1), 60) + 1), [1]大運!$H$45:$K$3644, 2, FALSE)</f>
        <v>支合</v>
      </c>
      <c r="BI22" s="172" t="str">
        <f t="shared" ca="1" si="21"/>
        <v/>
      </c>
      <c r="BJ22" s="172" t="str">
        <f t="shared" ca="1" si="22"/>
        <v/>
      </c>
      <c r="BK22" s="172" t="str">
        <f t="shared" ca="1" si="23"/>
        <v/>
      </c>
      <c r="BL22" s="174" t="str">
        <f ca="1">INDEX('12運シート'!C:C, MATCH(1, INDEX(('12運シート'!A:A=TRIM($T$42)) * ('12運シート'!B:B=TRIM(RIGHT(AZ22, 1))), 0), 0))</f>
        <v>財成</v>
      </c>
      <c r="BM22" s="174" t="str">
        <f ca="1">INDEX('12運シート'!$E:$E, MATCH(1, INDEX((TRIM('12運シート'!$A:$A)=TRIM($T$42)) * (TRIM('12運シート'!$B:$B)=TRIM(AZ22)), 0), 0))</f>
        <v>満天</v>
      </c>
      <c r="BN22" s="49" t="str">
        <f t="shared" ca="1" si="24"/>
        <v>収穫の喜び。物質や人脈などあらゆる財を蓄積し、強固な基盤を作る。</v>
      </c>
      <c r="BO22" s="182"/>
      <c r="BP22" s="182"/>
      <c r="BQ22" s="114" t="s">
        <v>271</v>
      </c>
      <c r="BR22" s="140"/>
      <c r="BS22" s="140"/>
      <c r="BT22" s="49">
        <f t="shared" si="8"/>
        <v>0</v>
      </c>
      <c r="BU22" s="63">
        <f ca="1">IFERROR(__xludf.DUMMYFUNCTION("IFERROR(VLOOKUP(""*""&amp;AQ22&amp;""*"", {""甲"",7,10,11,12,8,4,2,5,1,3,6,9;""乙"",4,8,12,11,10,7,9,6,3,1,5,2;""丙"",3,6,9,7,10,11,12,8,4,2,5,1;""丁"",1,5,2,4,8,12,11,10,7,9,6,3;""戊"",3,6,9,7,10,11,12,8,4,2,5,1;""己"",1,5,2,4,8,12,11,10,7,9,6,3;""庚"",2,5,1,3,6,9,7,10"&amp;",11,12,8,4;""辛"",9,6,3,1,5,2,4,8,12,11,10,7;""壬"",12,8,4,2,5,1,3,6,9,7,10,11;""癸"",11,10,7,9,6,3,1,5,2,4,8,12}, FIND(REGEXREPLACE($H$7,""[^子丑寅卯辰巳午未申酉戌亥]"",""""), ""子丑寅卯辰巳午未申酉戌亥"")+1, FALSE), 0)"),9)</f>
        <v>9</v>
      </c>
      <c r="BV22" s="49">
        <f ca="1">IFERROR(__xludf.DUMMYFUNCTION("IFERROR(VLOOKUP(""*""&amp;AQ22&amp;""*"", {""甲"",7,10,11,12,8,4,2,5,1,3,6,9;""乙"",4,8,12,11,10,7,9,6,3,1,5,2;""丙"",3,6,9,7,10,11,12,8,4,2,5,1;""丁"",1,5,2,4,8,12,11,10,7,9,6,3;""戊"",3,6,9,7,10,11,12,8,4,2,5,1;""己"",1,5,2,4,8,12,11,10,7,9,6,3;""庚"",2,5,1,3,6,9,7,10"&amp;",11,12,8,4;""辛"",9,6,3,1,5,2,4,8,12,11,10,7;""壬"",12,8,4,2,5,1,3,6,9,7,10,11;""癸"",11,10,7,9,6,3,1,5,2,4,8,12}, FIND(REGEXREPLACE($G$7,""[^子丑寅卯辰巳午未申酉戌亥]"",""""), ""子丑寅卯辰巳午未申酉戌亥"")+1, FALSE), 0)"),7)</f>
        <v>7</v>
      </c>
      <c r="BW22" s="147">
        <f ca="1">IFERROR(__xludf.DUMMYFUNCTION("IFERROR(VLOOKUP(""*""&amp;AQ22&amp;""*"", {""甲"",7,10,11,12,8,4,2,5,1,3,6,9;""乙"",4,8,12,11,10,7,9,6,3,1,5,2;""丙"",3,6,9,7,10,11,12,8,4,2,5,1;""丁"",1,5,2,4,8,12,11,10,7,9,6,3;""戊"",3,6,9,7,10,11,12,8,4,2,5,1;""己"",1,5,2,4,8,12,11,10,7,9,6,3;""庚"",2,5,1,3,6,9,7,10"&amp;",11,12,8,4;""辛"",9,6,3,1,5,2,4,8,12,11,10,7;""壬"",12,8,4,2,5,1,3,6,9,7,10,11;""癸"",11,10,7,9,6,3,1,5,2,4,8,12}, FIND(REGEXREPLACE($F$7,""[^子丑寅卯辰巳午未申酉戌亥]"",""""), ""子丑寅卯辰巳午未申酉戌亥"")+1, FALSE), 0)"),1)</f>
        <v>1</v>
      </c>
      <c r="BX22" s="175">
        <f t="shared" ca="1" si="9"/>
        <v>0</v>
      </c>
      <c r="BY22" s="149" t="s">
        <v>272</v>
      </c>
      <c r="BZ22" s="176">
        <f ca="1">SUM(BZ17:BZ21)</f>
        <v>161</v>
      </c>
      <c r="CA22" s="177">
        <f t="shared" ca="1" si="10"/>
        <v>100</v>
      </c>
      <c r="CB22" s="177">
        <f t="shared" ca="1" si="11"/>
        <v>18</v>
      </c>
      <c r="CC22" s="149"/>
      <c r="CD22" s="148"/>
      <c r="CE22" s="149"/>
      <c r="CF22" s="150">
        <v>12</v>
      </c>
      <c r="CG22" s="49"/>
      <c r="CH22" s="49"/>
      <c r="CI22" s="49"/>
      <c r="CJ22" s="49"/>
      <c r="CK22" s="49"/>
      <c r="CL22" s="49"/>
      <c r="CM22" s="49"/>
      <c r="CN22" s="49"/>
      <c r="CO22" s="49"/>
      <c r="CP22" s="49"/>
      <c r="CQ22" s="68"/>
      <c r="CR22" s="68"/>
      <c r="CS22" s="68"/>
      <c r="CT22" s="68"/>
      <c r="CU22" s="68"/>
      <c r="CV22" s="68"/>
      <c r="CW22" s="68"/>
      <c r="CX22" s="68"/>
      <c r="CY22" s="68"/>
      <c r="CZ22" s="49"/>
      <c r="DA22" s="49"/>
      <c r="DB22" s="49"/>
      <c r="DC22" s="49"/>
      <c r="DD22" s="49"/>
      <c r="DE22" s="49"/>
      <c r="DF22" s="49"/>
      <c r="DG22" s="49"/>
      <c r="DH22" s="49"/>
      <c r="DI22" s="49"/>
      <c r="DJ22" s="49"/>
      <c r="DK22" s="49"/>
      <c r="DL22" s="49"/>
      <c r="DM22" s="49"/>
      <c r="DN22" s="49"/>
      <c r="DO22" s="49"/>
      <c r="DP22" s="49"/>
      <c r="DQ22" s="49"/>
      <c r="DR22" s="49"/>
      <c r="DS22" s="49"/>
      <c r="DT22" s="49"/>
      <c r="DU22" s="49"/>
      <c r="DV22" s="49"/>
      <c r="DW22" s="49"/>
      <c r="DX22" s="49"/>
    </row>
    <row r="23" spans="1:128" ht="18" customHeight="1">
      <c r="A23" s="49"/>
      <c r="B23" s="49"/>
      <c r="C23" s="49"/>
      <c r="D23" s="49"/>
      <c r="E23" s="49"/>
      <c r="F23" s="100" t="str">
        <f>[1]大運!F12</f>
        <v>大７</v>
      </c>
      <c r="G23" s="100" t="str">
        <f>[1]大運!G12</f>
        <v>己丑</v>
      </c>
      <c r="H23" s="162">
        <f>[1]大運!H12</f>
        <v>2051</v>
      </c>
      <c r="I23" s="163">
        <f>[1]大運!I12</f>
        <v>70</v>
      </c>
      <c r="J23" s="164" t="str">
        <f>[1]大運!J12</f>
        <v>石門星</v>
      </c>
      <c r="K23" s="164" t="str">
        <f>[1]大運!K12</f>
        <v>天印星</v>
      </c>
      <c r="L23" s="164" t="str">
        <f>[1]大運!L12</f>
        <v>支合</v>
      </c>
      <c r="M23" s="164" t="str">
        <f>[1]大運!M12</f>
        <v>－</v>
      </c>
      <c r="N23" s="164" t="str">
        <f>[1]大運!N12</f>
        <v>半会</v>
      </c>
      <c r="O23" s="164" t="str">
        <f>[1]大運!O12</f>
        <v>－</v>
      </c>
      <c r="P23" s="164" t="str">
        <f>[1]大運!P12</f>
        <v/>
      </c>
      <c r="Q23" s="165"/>
      <c r="R23" s="165"/>
      <c r="S23" s="165"/>
      <c r="T23" s="49"/>
      <c r="U23" s="52"/>
      <c r="V23" s="49"/>
      <c r="W23" s="49"/>
      <c r="X23" s="53"/>
      <c r="Y23" s="49"/>
      <c r="Z23" s="49"/>
      <c r="AA23" s="53"/>
      <c r="AB23" s="53"/>
      <c r="AC23" s="49"/>
      <c r="AD23" s="49"/>
      <c r="AE23" s="166" t="str">
        <f t="shared" si="12"/>
        <v>辰</v>
      </c>
      <c r="AF23" s="167">
        <f t="shared" si="5"/>
        <v>7</v>
      </c>
      <c r="AG23" s="168">
        <f t="shared" si="13"/>
        <v>1988</v>
      </c>
      <c r="AH23" s="100" t="str">
        <f>VLOOKUP(AM23,[1]大運!$B$31:$C$90,2,FALSE)</f>
        <v>戊辰</v>
      </c>
      <c r="AI23" s="99" t="str">
        <f>VLOOKUP($F$5&amp;"+"&amp;AM23,[1]大運!$H$45:$K$3644,3,FALSE)</f>
        <v>貫索星</v>
      </c>
      <c r="AJ23" s="73"/>
      <c r="AK23" s="99" t="str">
        <f>VLOOKUP($F$5&amp;"+"&amp;AM23,[1]大運!$H$45:$K$3644,4,FALSE)</f>
        <v>天南星</v>
      </c>
      <c r="AL23" s="73"/>
      <c r="AM23" s="171">
        <f t="shared" si="6"/>
        <v>5</v>
      </c>
      <c r="AN23" s="164" t="str">
        <f>VLOOKUP($F$5&amp;"+"&amp;AM23,[1]大運!$H$45:$K$3644,2,FALSE)</f>
        <v>大半会</v>
      </c>
      <c r="AO23" s="164" t="str">
        <f>VLOOKUP($G$5&amp;"+"&amp;AM23,[1]大運!$H$45:$K$3644,2,FALSE)</f>
        <v>半会</v>
      </c>
      <c r="AP23" s="164" t="str">
        <f>VLOOKUP($H$5&amp;"+"&amp;AM23,[1]大運!$H$45:$K$3644,2,FALSE)</f>
        <v>支合</v>
      </c>
      <c r="AQ23" s="100" t="str">
        <f t="shared" si="14"/>
        <v/>
      </c>
      <c r="AR23" s="172" t="str">
        <f t="shared" si="15"/>
        <v/>
      </c>
      <c r="AS23" s="172" t="str">
        <f t="shared" si="16"/>
        <v/>
      </c>
      <c r="AT23" s="172" t="str">
        <f t="shared" si="17"/>
        <v/>
      </c>
      <c r="AU23" s="49" t="str">
        <f>INDEX('12運シート'!C:C, MATCH(1, INDEX(('12運シート'!A:A=TRIM($T$42)) * ('12運シート'!B:B=TRIM(RIGHT(AE23, 1))), 0), 0))</f>
        <v>財成</v>
      </c>
      <c r="AV23" s="49" t="str">
        <f>INDEX('12運シート'!$E:$E, MATCH(1, INDEX((TRIM('12運シート'!$A:$A)=TRIM($T$42)) * (TRIM('12運シート'!$B:$B)=TRIM(AE23)), 0), 0))</f>
        <v>満天</v>
      </c>
      <c r="AW23" s="49" t="str">
        <f t="shared" si="18"/>
        <v>収穫の喜び。物質や人脈などあらゆる財を蓄積し、強固な基盤を作る。</v>
      </c>
      <c r="AX23" s="49"/>
      <c r="AY23" s="49"/>
      <c r="AZ23" s="166" t="str">
        <f t="shared" ca="1" si="19"/>
        <v>巳</v>
      </c>
      <c r="BA23" s="173">
        <f t="shared" ca="1" si="20"/>
        <v>46149</v>
      </c>
      <c r="BB23" s="174">
        <f t="shared" ca="1" si="7"/>
        <v>18</v>
      </c>
      <c r="BC23" s="174" t="str">
        <f ca="1">VLOOKUP(BB23,[1]大運!$B$31:$C$90,2,FALSE)</f>
        <v>辛巳</v>
      </c>
      <c r="BD23" s="174" t="str">
        <f ca="1">VLOOKUP($F$5 &amp; "+" &amp; (MOD(BA23 - DATE(2024, 1, 1), 60) + 1), [1]大運!$H$45:$K$3644, 3, FALSE)</f>
        <v>調舒星</v>
      </c>
      <c r="BE23" s="174" t="str">
        <f ca="1">VLOOKUP($F$5 &amp; "+" &amp; (MOD(BA23 - DATE(2024, 1, 1), 60) + 1), [1]大運!$H$45:$K$3644, 4, FALSE)</f>
        <v>天禄星</v>
      </c>
      <c r="BF23" s="174" t="str">
        <f ca="1">VLOOKUP($F$5 &amp; "+" &amp; (MOD(BA23 - DATE(2024, 1, 1), 60) + 1), [1]大運!$H$45:$K$3644, 2, FALSE)</f>
        <v>－</v>
      </c>
      <c r="BG23" s="174" t="str">
        <f ca="1">VLOOKUP($G$5 &amp; "+" &amp; (MOD(BA23 - DATE(2024, 1, 1), 60) + 1), [1]大運!$H$45:$K$3644, 2, FALSE)</f>
        <v>支合</v>
      </c>
      <c r="BH23" s="174" t="str">
        <f ca="1">VLOOKUP($H$5 &amp; "+" &amp; (MOD(BA23 - DATE(2024, 1, 1), 60) + 1), [1]大運!$H$45:$K$3644, 2, FALSE)</f>
        <v>大半会</v>
      </c>
      <c r="BI23" s="172" t="str">
        <f t="shared" ca="1" si="21"/>
        <v/>
      </c>
      <c r="BJ23" s="172" t="str">
        <f t="shared" ca="1" si="22"/>
        <v>丙辛干合</v>
      </c>
      <c r="BK23" s="172" t="str">
        <f t="shared" ca="1" si="23"/>
        <v/>
      </c>
      <c r="BL23" s="174" t="str">
        <f ca="1">INDEX('12運シート'!C:C, MATCH(1, INDEX(('12運シート'!A:A=TRIM($T$42)) * ('12運シート'!B:B=TRIM(RIGHT(AZ23, 1))), 0), 0))</f>
        <v>充実</v>
      </c>
      <c r="BM23" s="174" t="str">
        <f ca="1">INDEX('12運シート'!$E:$E, MATCH(1, INDEX((TRIM('12運シート'!$A:$A)=TRIM($T$42)) * (TRIM('12運シート'!$B:$B)=TRIM(AZ23)), 0), 0))</f>
        <v>静天</v>
      </c>
      <c r="BN23" s="49" t="str">
        <f t="shared" ca="1" si="24"/>
        <v>成果が出揃う。精神的な安定と充実の中で平和に人生を俯瞰する時期。</v>
      </c>
      <c r="BO23" s="174"/>
      <c r="BP23" s="174"/>
      <c r="BQ23" s="102" t="s">
        <v>273</v>
      </c>
      <c r="BR23" s="140"/>
      <c r="BS23" s="140"/>
      <c r="BT23" s="49">
        <f t="shared" si="8"/>
        <v>1</v>
      </c>
      <c r="BU23" s="63">
        <f ca="1">IFERROR(__xludf.DUMMYFUNCTION("IFERROR(VLOOKUP(""*""&amp;AQ23&amp;""*"", {""甲"",7,10,11,12,8,4,2,5,1,3,6,9;""乙"",4,8,12,11,10,7,9,6,3,1,5,2;""丙"",3,6,9,7,10,11,12,8,4,2,5,1;""丁"",1,5,2,4,8,12,11,10,7,9,6,3;""戊"",3,6,9,7,10,11,12,8,4,2,5,1;""己"",1,5,2,4,8,12,11,10,7,9,6,3;""庚"",2,5,1,3,6,9,7,10"&amp;",11,12,8,4;""辛"",9,6,3,1,5,2,4,8,12,11,10,7;""壬"",12,8,4,2,5,1,3,6,9,7,10,11;""癸"",11,10,7,9,6,3,1,5,2,4,8,12}, FIND(REGEXREPLACE($H$7,""[^子丑寅卯辰巳午未申酉戌亥]"",""""), ""子丑寅卯辰巳午未申酉戌亥"")+1, FALSE), 0)"),12)</f>
        <v>12</v>
      </c>
      <c r="BV23" s="49">
        <f ca="1">IFERROR(__xludf.DUMMYFUNCTION("IFERROR(VLOOKUP(""*""&amp;AQ23&amp;""*"", {""甲"",7,10,11,12,8,4,2,5,1,3,6,9;""乙"",4,8,12,11,10,7,9,6,3,1,5,2;""丙"",3,6,9,7,10,11,12,8,4,2,5,1;""丁"",1,5,2,4,8,12,11,10,7,9,6,3;""戊"",3,6,9,7,10,11,12,8,4,2,5,1;""己"",1,5,2,4,8,12,11,10,7,9,6,3;""庚"",2,5,1,3,6,9,7,10"&amp;",11,12,8,4;""辛"",9,6,3,1,5,2,4,8,12,11,10,7;""壬"",12,8,4,2,5,1,3,6,9,7,10,11;""癸"",11,10,7,9,6,3,1,5,2,4,8,12}, FIND(REGEXREPLACE($G$7,""[^子丑寅卯辰巳午未申酉戌亥]"",""""), ""子丑寅卯辰巳午未申酉戌亥"")+1, FALSE), 0)"),11)</f>
        <v>11</v>
      </c>
      <c r="BW23" s="147">
        <f ca="1">IFERROR(__xludf.DUMMYFUNCTION("IFERROR(VLOOKUP(""*""&amp;AQ23&amp;""*"", {""甲"",7,10,11,12,8,4,2,5,1,3,6,9;""乙"",4,8,12,11,10,7,9,6,3,1,5,2;""丙"",3,6,9,7,10,11,12,8,4,2,5,1;""丁"",1,5,2,4,8,12,11,10,7,9,6,3;""戊"",3,6,9,7,10,11,12,8,4,2,5,1;""己"",1,5,2,4,8,12,11,10,7,9,6,3;""庚"",2,5,1,3,6,9,7,10"&amp;",11,12,8,4;""辛"",9,6,3,1,5,2,4,8,12,11,10,7;""壬"",12,8,4,2,5,1,3,6,9,7,10,11;""癸"",11,10,7,9,6,3,1,5,2,4,8,12}, FIND(REGEXREPLACE($F$7,""[^子丑寅卯辰巳午未申酉戌亥]"",""""), ""子丑寅卯辰巳午未申酉戌亥"")+1, FALSE), 0)"),2)</f>
        <v>2</v>
      </c>
      <c r="BX23" s="175">
        <f t="shared" ca="1" si="9"/>
        <v>25</v>
      </c>
      <c r="BY23" s="149"/>
      <c r="BZ23" s="140"/>
      <c r="CA23" s="149"/>
      <c r="CB23" s="149"/>
      <c r="CC23" s="149"/>
      <c r="CD23" s="148"/>
      <c r="CE23" s="149"/>
      <c r="CF23" s="50">
        <v>13</v>
      </c>
      <c r="CG23" s="49"/>
      <c r="CH23" s="49"/>
      <c r="CI23" s="49"/>
      <c r="CJ23" s="49"/>
      <c r="CK23" s="49"/>
      <c r="CL23" s="49"/>
      <c r="CM23" s="49"/>
      <c r="CN23" s="49"/>
      <c r="CO23" s="49"/>
      <c r="CP23" s="49"/>
      <c r="CQ23" s="68"/>
      <c r="CR23" s="68"/>
      <c r="CS23" s="68"/>
      <c r="CT23" s="68"/>
      <c r="CU23" s="68"/>
      <c r="CV23" s="68"/>
      <c r="CW23" s="68"/>
      <c r="CX23" s="68"/>
      <c r="CY23" s="68"/>
      <c r="CZ23" s="49"/>
      <c r="DA23" s="49"/>
      <c r="DB23" s="49"/>
      <c r="DC23" s="49"/>
      <c r="DD23" s="49"/>
      <c r="DE23" s="49"/>
      <c r="DF23" s="49"/>
      <c r="DG23" s="49"/>
      <c r="DH23" s="49"/>
      <c r="DI23" s="49"/>
      <c r="DJ23" s="49"/>
      <c r="DK23" s="49"/>
      <c r="DL23" s="49"/>
      <c r="DM23" s="49"/>
      <c r="DN23" s="49"/>
      <c r="DO23" s="49"/>
      <c r="DP23" s="49"/>
      <c r="DQ23" s="49"/>
      <c r="DR23" s="49"/>
      <c r="DS23" s="49"/>
      <c r="DT23" s="49"/>
      <c r="DU23" s="49"/>
      <c r="DV23" s="49"/>
      <c r="DW23" s="49"/>
      <c r="DX23" s="49"/>
    </row>
    <row r="24" spans="1:128" ht="18" customHeight="1">
      <c r="A24" s="49"/>
      <c r="B24" s="49"/>
      <c r="C24" s="49"/>
      <c r="D24" s="49"/>
      <c r="E24" s="49"/>
      <c r="F24" s="168" t="str">
        <f>[1]大運!F13</f>
        <v>大８</v>
      </c>
      <c r="G24" s="100" t="str">
        <f>[1]大運!G13</f>
        <v>戊子</v>
      </c>
      <c r="H24" s="162">
        <f>[1]大運!H13</f>
        <v>2061</v>
      </c>
      <c r="I24" s="163">
        <f>[1]大運!I13</f>
        <v>80</v>
      </c>
      <c r="J24" s="164" t="str">
        <f>[1]大運!J13</f>
        <v>貫索星</v>
      </c>
      <c r="K24" s="164" t="str">
        <f>[1]大運!K13</f>
        <v>天報星</v>
      </c>
      <c r="L24" s="164" t="str">
        <f>[1]大運!L13</f>
        <v>律音</v>
      </c>
      <c r="M24" s="164" t="str">
        <f>[1]大運!M13</f>
        <v>半会</v>
      </c>
      <c r="N24" s="164" t="str">
        <f>[1]大運!N13</f>
        <v>破</v>
      </c>
      <c r="O24" s="164" t="str">
        <f>[1]大運!O13</f>
        <v>異</v>
      </c>
      <c r="P24" s="164" t="str">
        <f>[1]大運!P13</f>
        <v/>
      </c>
      <c r="Q24" s="165"/>
      <c r="R24" s="165"/>
      <c r="S24" s="165"/>
      <c r="T24" s="165"/>
      <c r="U24" s="184"/>
      <c r="V24" s="165"/>
      <c r="W24" s="165"/>
      <c r="X24" s="185"/>
      <c r="Y24" s="165"/>
      <c r="Z24" s="165"/>
      <c r="AA24" s="185"/>
      <c r="AB24" s="185"/>
      <c r="AC24" s="165"/>
      <c r="AD24" s="165"/>
      <c r="AE24" s="166" t="str">
        <f t="shared" si="12"/>
        <v>巳</v>
      </c>
      <c r="AF24" s="167">
        <f t="shared" si="5"/>
        <v>8</v>
      </c>
      <c r="AG24" s="168">
        <f t="shared" si="13"/>
        <v>1989</v>
      </c>
      <c r="AH24" s="100" t="str">
        <f>VLOOKUP(AM24,[1]大運!$B$31:$C$90,2,FALSE)</f>
        <v>己巳</v>
      </c>
      <c r="AI24" s="99" t="str">
        <f>VLOOKUP($F$5&amp;"+"&amp;AM24,[1]大運!$H$45:$K$3644,3,FALSE)</f>
        <v>石門星</v>
      </c>
      <c r="AJ24" s="73"/>
      <c r="AK24" s="99" t="str">
        <f>VLOOKUP($F$5&amp;"+"&amp;AM24,[1]大運!$H$45:$K$3644,4,FALSE)</f>
        <v>天禄星</v>
      </c>
      <c r="AL24" s="73"/>
      <c r="AM24" s="171">
        <f t="shared" si="6"/>
        <v>6</v>
      </c>
      <c r="AN24" s="164" t="str">
        <f>VLOOKUP($F$5&amp;"+"&amp;AM24,[1]大運!$H$45:$K$3644,2,FALSE)</f>
        <v>－</v>
      </c>
      <c r="AO24" s="164" t="str">
        <f>VLOOKUP($G$5&amp;"+"&amp;AM24,[1]大運!$H$45:$K$3644,2,FALSE)</f>
        <v>支合</v>
      </c>
      <c r="AP24" s="164" t="str">
        <f>VLOOKUP($H$5&amp;"+"&amp;AM24,[1]大運!$H$45:$K$3644,2,FALSE)</f>
        <v>半会</v>
      </c>
      <c r="AQ24" s="100" t="str">
        <f t="shared" si="14"/>
        <v>殺</v>
      </c>
      <c r="AR24" s="172" t="str">
        <f t="shared" si="15"/>
        <v/>
      </c>
      <c r="AS24" s="172" t="str">
        <f t="shared" si="16"/>
        <v/>
      </c>
      <c r="AT24" s="172" t="str">
        <f t="shared" si="17"/>
        <v/>
      </c>
      <c r="AU24" s="49" t="str">
        <f>INDEX('12運シート'!C:C, MATCH(1, INDEX(('12運シート'!A:A=TRIM($T$42)) * ('12運シート'!B:B=TRIM(RIGHT(AE24, 1))), 0), 0))</f>
        <v>充実</v>
      </c>
      <c r="AV24" s="49" t="str">
        <f>INDEX('12運シート'!$E:$E, MATCH(1, INDEX((TRIM('12運シート'!$A:$A)=TRIM($T$42)) * (TRIM('12運シート'!$B:$B)=TRIM(AE24)), 0), 0))</f>
        <v>静天</v>
      </c>
      <c r="AW24" s="49" t="str">
        <f t="shared" si="18"/>
        <v>成果が出揃う。精神的な安定と充実の中で平和に人生を俯瞰する時期。</v>
      </c>
      <c r="AX24" s="49"/>
      <c r="AY24" s="49"/>
      <c r="AZ24" s="166" t="str">
        <f t="shared" ca="1" si="19"/>
        <v>午</v>
      </c>
      <c r="BA24" s="173">
        <f t="shared" ca="1" si="20"/>
        <v>46150</v>
      </c>
      <c r="BB24" s="174">
        <f t="shared" ca="1" si="7"/>
        <v>19</v>
      </c>
      <c r="BC24" s="174" t="str">
        <f ca="1">VLOOKUP(BB24,[1]大運!$B$31:$C$90,2,FALSE)</f>
        <v>壬午</v>
      </c>
      <c r="BD24" s="174" t="str">
        <f ca="1">VLOOKUP($F$5 &amp; "+" &amp; (MOD(BA24 - DATE(2024, 1, 1), 60) + 1), [1]大運!$H$45:$K$3644, 3, FALSE)</f>
        <v>禄存星</v>
      </c>
      <c r="BE24" s="174" t="str">
        <f ca="1">VLOOKUP($F$5 &amp; "+" &amp; (MOD(BA24 - DATE(2024, 1, 1), 60) + 1), [1]大運!$H$45:$K$3644, 4, FALSE)</f>
        <v>天将星</v>
      </c>
      <c r="BF24" s="174" t="str">
        <f ca="1">VLOOKUP($F$5 &amp; "+" &amp; (MOD(BA24 - DATE(2024, 1, 1), 60) + 1), [1]大運!$H$45:$K$3644, 2, FALSE)</f>
        <v>天剋地冲</v>
      </c>
      <c r="BG24" s="174" t="str">
        <f ca="1">VLOOKUP($G$5 &amp; "+" &amp; (MOD(BA24 - DATE(2024, 1, 1), 60) + 1), [1]大運!$H$45:$K$3644, 2, FALSE)</f>
        <v>－</v>
      </c>
      <c r="BH24" s="174" t="str">
        <f ca="1">VLOOKUP($H$5 &amp; "+" &amp; (MOD(BA24 - DATE(2024, 1, 1), 60) + 1), [1]大運!$H$45:$K$3644, 2, FALSE)</f>
        <v>－</v>
      </c>
      <c r="BI24" s="172" t="str">
        <f t="shared" ca="1" si="21"/>
        <v/>
      </c>
      <c r="BJ24" s="172" t="str">
        <f t="shared" ca="1" si="22"/>
        <v/>
      </c>
      <c r="BK24" s="172" t="str">
        <f t="shared" ca="1" si="23"/>
        <v/>
      </c>
      <c r="BL24" s="174" t="str">
        <f ca="1">INDEX('12運シート'!C:C, MATCH(1, INDEX(('12運シート'!A:A=TRIM($T$42)) * ('12運シート'!B:B=TRIM(RIGHT(AZ24, 1))), 0), 0))</f>
        <v>陰影</v>
      </c>
      <c r="BM24" s="174" t="str">
        <f ca="1">INDEX('12運シート'!$E:$E, MATCH(1, INDEX((TRIM('12運シート'!$A:$A)=TRIM($T$42)) * (TRIM('12運シート'!$B:$B)=TRIM(AZ24)), 0), 0))</f>
        <v>暗天</v>
      </c>
      <c r="BN24" s="49" t="str">
        <f t="shared" ca="1" si="24"/>
        <v>運気下降（運の冬入り）。孤独を感じやすいが水面下の自己鍛錬が必要。</v>
      </c>
      <c r="BO24" s="182"/>
      <c r="BP24" s="182"/>
      <c r="BQ24" s="128" t="s">
        <v>274</v>
      </c>
      <c r="BR24" s="140"/>
      <c r="BS24" s="140"/>
      <c r="BT24" s="49">
        <f t="shared" si="8"/>
        <v>2</v>
      </c>
      <c r="BU24" s="63">
        <f ca="1">IFERROR(__xludf.DUMMYFUNCTION("IFERROR(VLOOKUP(""*""&amp;AQ24&amp;""*"", {""甲"",7,10,11,12,8,4,2,5,1,3,6,9;""乙"",4,8,12,11,10,7,9,6,3,1,5,2;""丙"",3,6,9,7,10,11,12,8,4,2,5,1;""丁"",1,5,2,4,8,12,11,10,7,9,6,3;""戊"",3,6,9,7,10,11,12,8,4,2,5,1;""己"",1,5,2,4,8,12,11,10,7,9,6,3;""庚"",2,5,1,3,6,9,7,10"&amp;",11,12,8,4;""辛"",9,6,3,1,5,2,4,8,12,11,10,7;""壬"",12,8,4,2,5,1,3,6,9,7,10,11;""癸"",11,10,7,9,6,3,1,5,2,4,8,12}, FIND(REGEXREPLACE($H$7,""[^子丑寅卯辰巳午未申酉戌亥]"",""""), ""子丑寅卯辰巳午未申酉戌亥"")+1, FALSE), 0)"),11)</f>
        <v>11</v>
      </c>
      <c r="BV24" s="49">
        <f ca="1">IFERROR(__xludf.DUMMYFUNCTION("IFERROR(VLOOKUP(""*""&amp;AQ24&amp;""*"", {""甲"",7,10,11,12,8,4,2,5,1,3,6,9;""乙"",4,8,12,11,10,7,9,6,3,1,5,2;""丙"",3,6,9,7,10,11,12,8,4,2,5,1;""丁"",1,5,2,4,8,12,11,10,7,9,6,3;""戊"",3,6,9,7,10,11,12,8,4,2,5,1;""己"",1,5,2,4,8,12,11,10,7,9,6,3;""庚"",2,5,1,3,6,9,7,10"&amp;",11,12,8,4;""辛"",9,6,3,1,5,2,4,8,12,11,10,7;""壬"",12,8,4,2,5,1,3,6,9,7,10,11;""癸"",11,10,7,9,6,3,1,5,2,4,8,12}, FIND(REGEXREPLACE($G$7,""[^子丑寅卯辰巳午未申酉戌亥]"",""""), ""子丑寅卯辰巳午未申酉戌亥"")+1, FALSE), 0)"),12)</f>
        <v>12</v>
      </c>
      <c r="BW24" s="147">
        <f ca="1">IFERROR(__xludf.DUMMYFUNCTION("IFERROR(VLOOKUP(""*""&amp;AQ24&amp;""*"", {""甲"",7,10,11,12,8,4,2,5,1,3,6,9;""乙"",4,8,12,11,10,7,9,6,3,1,5,2;""丙"",3,6,9,7,10,11,12,8,4,2,5,1;""丁"",1,5,2,4,8,12,11,10,7,9,6,3;""戊"",3,6,9,7,10,11,12,8,4,2,5,1;""己"",1,5,2,4,8,12,11,10,7,9,6,3;""庚"",2,5,1,3,6,9,7,10"&amp;",11,12,8,4;""辛"",9,6,3,1,5,2,4,8,12,11,10,7;""壬"",12,8,4,2,5,1,3,6,9,7,10,11;""癸"",11,10,7,9,6,3,1,5,2,4,8,12}, FIND(REGEXREPLACE($F$7,""[^子丑寅卯辰巳午未申酉戌亥]"",""""), ""子丑寅卯辰巳午未申酉戌亥"")+1, FALSE), 0)"),9)</f>
        <v>9</v>
      </c>
      <c r="BX24" s="175">
        <f t="shared" ca="1" si="9"/>
        <v>64</v>
      </c>
      <c r="BY24" s="149"/>
      <c r="BZ24" s="140"/>
      <c r="CA24" s="149"/>
      <c r="CB24" s="149"/>
      <c r="CC24" s="149"/>
      <c r="CD24" s="148"/>
      <c r="CE24" s="149"/>
      <c r="CF24" s="150">
        <v>14</v>
      </c>
      <c r="CG24" s="49"/>
      <c r="CH24" s="49"/>
      <c r="CI24" s="49"/>
      <c r="CJ24" s="49"/>
      <c r="CK24" s="49"/>
      <c r="CL24" s="49"/>
      <c r="CM24" s="49"/>
      <c r="CN24" s="49"/>
      <c r="CO24" s="49"/>
      <c r="CP24" s="49"/>
      <c r="CQ24" s="67"/>
      <c r="CR24" s="68"/>
      <c r="CS24" s="68"/>
      <c r="CT24" s="67"/>
      <c r="CU24" s="68"/>
      <c r="CV24" s="68"/>
      <c r="CW24" s="67"/>
      <c r="CX24" s="68"/>
      <c r="CY24" s="68"/>
      <c r="CZ24" s="49"/>
      <c r="DA24" s="67"/>
      <c r="DB24" s="68"/>
      <c r="DC24" s="68"/>
      <c r="DD24" s="68"/>
      <c r="DE24" s="68"/>
      <c r="DF24" s="68"/>
      <c r="DG24" s="68"/>
      <c r="DH24" s="68"/>
      <c r="DI24" s="68"/>
      <c r="DJ24" s="49"/>
      <c r="DK24" s="49"/>
      <c r="DL24" s="49"/>
      <c r="DM24" s="49"/>
      <c r="DN24" s="49"/>
      <c r="DO24" s="49"/>
      <c r="DP24" s="49"/>
      <c r="DQ24" s="49"/>
      <c r="DR24" s="49"/>
      <c r="DS24" s="49"/>
      <c r="DT24" s="49"/>
      <c r="DU24" s="49"/>
      <c r="DV24" s="49"/>
      <c r="DW24" s="49"/>
      <c r="DX24" s="49"/>
    </row>
    <row r="25" spans="1:128" ht="18" customHeight="1">
      <c r="A25" s="49"/>
      <c r="B25" s="49"/>
      <c r="C25" s="49"/>
      <c r="D25" s="49"/>
      <c r="E25" s="49"/>
      <c r="F25" s="100" t="str">
        <f>[1]大運!F14</f>
        <v>大９</v>
      </c>
      <c r="G25" s="100" t="str">
        <f>[1]大運!G14</f>
        <v>丁亥</v>
      </c>
      <c r="H25" s="162">
        <f>[1]大運!H14</f>
        <v>2071</v>
      </c>
      <c r="I25" s="163">
        <f>[1]大運!I14</f>
        <v>90</v>
      </c>
      <c r="J25" s="164" t="str">
        <f>[1]大運!J14</f>
        <v>玉堂星</v>
      </c>
      <c r="K25" s="164" t="str">
        <f>[1]大運!K14</f>
        <v>天馳星</v>
      </c>
      <c r="L25" s="164" t="str">
        <f>[1]大運!L14</f>
        <v>準方位</v>
      </c>
      <c r="M25" s="164" t="str">
        <f>[1]大運!M14</f>
        <v>害</v>
      </c>
      <c r="N25" s="164" t="str">
        <f>[1]大運!N14</f>
        <v>－</v>
      </c>
      <c r="O25" s="164" t="str">
        <f>[1]大運!O14</f>
        <v>異</v>
      </c>
      <c r="P25" s="164" t="str">
        <f>[1]大運!P14</f>
        <v/>
      </c>
      <c r="Q25" s="165"/>
      <c r="R25" s="165"/>
      <c r="S25" s="165"/>
      <c r="T25" s="165"/>
      <c r="U25" s="184"/>
      <c r="V25" s="165"/>
      <c r="W25" s="165"/>
      <c r="X25" s="185"/>
      <c r="Y25" s="165"/>
      <c r="Z25" s="165"/>
      <c r="AA25" s="185"/>
      <c r="AB25" s="185"/>
      <c r="AC25" s="165"/>
      <c r="AD25" s="165"/>
      <c r="AE25" s="166" t="str">
        <f t="shared" si="12"/>
        <v>午</v>
      </c>
      <c r="AF25" s="167">
        <f t="shared" si="5"/>
        <v>9</v>
      </c>
      <c r="AG25" s="168">
        <f t="shared" si="13"/>
        <v>1990</v>
      </c>
      <c r="AH25" s="100" t="str">
        <f>VLOOKUP(AM25,[1]大運!$B$31:$C$90,2,FALSE)</f>
        <v>庚午</v>
      </c>
      <c r="AI25" s="99" t="str">
        <f>VLOOKUP($F$5&amp;"+"&amp;AM25,[1]大運!$H$45:$K$3644,3,FALSE)</f>
        <v>鳳閣星</v>
      </c>
      <c r="AJ25" s="73"/>
      <c r="AK25" s="99" t="str">
        <f>VLOOKUP($F$5&amp;"+"&amp;AM25,[1]大運!$H$45:$K$3644,4,FALSE)</f>
        <v>天将星</v>
      </c>
      <c r="AL25" s="73"/>
      <c r="AM25" s="171">
        <f t="shared" si="6"/>
        <v>7</v>
      </c>
      <c r="AN25" s="164" t="str">
        <f>VLOOKUP($F$5&amp;"+"&amp;AM25,[1]大運!$H$45:$K$3644,2,FALSE)</f>
        <v>対冲</v>
      </c>
      <c r="AO25" s="164" t="str">
        <f>VLOOKUP($G$5&amp;"+"&amp;AM25,[1]大運!$H$45:$K$3644,2,FALSE)</f>
        <v>－</v>
      </c>
      <c r="AP25" s="164" t="str">
        <f>VLOOKUP($H$5&amp;"+"&amp;AM25,[1]大運!$H$45:$K$3644,2,FALSE)</f>
        <v>－</v>
      </c>
      <c r="AQ25" s="100" t="str">
        <f t="shared" si="14"/>
        <v>殺月</v>
      </c>
      <c r="AR25" s="172" t="str">
        <f t="shared" si="15"/>
        <v/>
      </c>
      <c r="AS25" s="172" t="str">
        <f t="shared" si="16"/>
        <v/>
      </c>
      <c r="AT25" s="172" t="str">
        <f t="shared" si="17"/>
        <v/>
      </c>
      <c r="AU25" s="49" t="str">
        <f>INDEX('12運シート'!C:C, MATCH(1, INDEX(('12運シート'!A:A=TRIM($T$42)) * ('12運シート'!B:B=TRIM(RIGHT(AE25, 1))), 0), 0))</f>
        <v>陰影</v>
      </c>
      <c r="AV25" s="49" t="str">
        <f>INDEX('12運シート'!$E:$E, MATCH(1, INDEX((TRIM('12運シート'!$A:$A)=TRIM($T$42)) * (TRIM('12運シート'!$B:$B)=TRIM(AE25)), 0), 0))</f>
        <v>暗天</v>
      </c>
      <c r="AW25" s="49" t="str">
        <f t="shared" si="18"/>
        <v>運気下降（運の冬入り）。孤独を感じやすいが水面下の自己鍛錬が必要。</v>
      </c>
      <c r="AX25" s="49"/>
      <c r="AY25" s="49"/>
      <c r="AZ25" s="166" t="str">
        <f t="shared" ca="1" si="19"/>
        <v>未</v>
      </c>
      <c r="BA25" s="173">
        <f t="shared" ca="1" si="20"/>
        <v>46151</v>
      </c>
      <c r="BB25" s="174">
        <f t="shared" ca="1" si="7"/>
        <v>20</v>
      </c>
      <c r="BC25" s="174" t="str">
        <f ca="1">VLOOKUP(BB25,[1]大運!$B$31:$C$90,2,FALSE)</f>
        <v>癸未</v>
      </c>
      <c r="BD25" s="174" t="str">
        <f ca="1">VLOOKUP($F$5 &amp; "+" &amp; (MOD(BA25 - DATE(2024, 1, 1), 60) + 1), [1]大運!$H$45:$K$3644, 3, FALSE)</f>
        <v>司禄星</v>
      </c>
      <c r="BE25" s="174" t="str">
        <f ca="1">VLOOKUP($F$5 &amp; "+" &amp; (MOD(BA25 - DATE(2024, 1, 1), 60) + 1), [1]大運!$H$45:$K$3644, 4, FALSE)</f>
        <v>天堂星</v>
      </c>
      <c r="BF25" s="174" t="str">
        <f ca="1">VLOOKUP($F$5 &amp; "+" &amp; (MOD(BA25 - DATE(2024, 1, 1), 60) + 1), [1]大運!$H$45:$K$3644, 2, FALSE)</f>
        <v>害</v>
      </c>
      <c r="BG25" s="174" t="str">
        <f ca="1">VLOOKUP($G$5 &amp; "+" &amp; (MOD(BA25 - DATE(2024, 1, 1), 60) + 1), [1]大運!$H$45:$K$3644, 2, FALSE)</f>
        <v>－</v>
      </c>
      <c r="BH25" s="174" t="str">
        <f ca="1">VLOOKUP($H$5 &amp; "+" &amp; (MOD(BA25 - DATE(2024, 1, 1), 60) + 1), [1]大運!$H$45:$K$3644, 2, FALSE)</f>
        <v>－</v>
      </c>
      <c r="BI25" s="172" t="str">
        <f t="shared" ca="1" si="21"/>
        <v>戊癸干合</v>
      </c>
      <c r="BJ25" s="172" t="str">
        <f t="shared" ca="1" si="22"/>
        <v/>
      </c>
      <c r="BK25" s="172" t="str">
        <f t="shared" ca="1" si="23"/>
        <v/>
      </c>
      <c r="BL25" s="174" t="str">
        <f ca="1">INDEX('12運シート'!C:C, MATCH(1, INDEX(('12運シート'!A:A=TRIM($T$42)) * ('12運シート'!B:B=TRIM(RIGHT(AZ25, 1))), 0), 0))</f>
        <v>停止</v>
      </c>
      <c r="BM25" s="174" t="str">
        <f ca="1">INDEX('12運シート'!$E:$E, MATCH(1, INDEX((TRIM('12運シート'!$A:$A)=TRIM($T$42)) * (TRIM('12運シート'!$B:$B)=TRIM(AZ25)), 0), 0))</f>
        <v>大曇天</v>
      </c>
      <c r="BN25" s="49" t="str">
        <f t="shared" ca="1" si="24"/>
        <v>運命の停止（運の真冬時期）。古い価値観を手放す究極の浄化期間。</v>
      </c>
      <c r="BO25" s="174"/>
      <c r="BP25" s="174"/>
      <c r="BQ25" s="136" t="s">
        <v>275</v>
      </c>
      <c r="BR25" s="140"/>
      <c r="BS25" s="140"/>
      <c r="BT25" s="49">
        <f t="shared" si="8"/>
        <v>1</v>
      </c>
      <c r="BU25" s="63">
        <f ca="1">IFERROR(__xludf.DUMMYFUNCTION("IFERROR(VLOOKUP(""*""&amp;AQ25&amp;""*"", {""甲"",7,10,11,12,8,4,2,5,1,3,6,9;""乙"",4,8,12,11,10,7,9,6,3,1,5,2;""丙"",3,6,9,7,10,11,12,8,4,2,5,1;""丁"",1,5,2,4,8,12,11,10,7,9,6,3;""戊"",3,6,9,7,10,11,12,8,4,2,5,1;""己"",1,5,2,4,8,12,11,10,7,9,6,3;""庚"",2,5,1,3,6,9,7,10"&amp;",11,12,8,4;""辛"",9,6,3,1,5,2,4,8,12,11,10,7;""壬"",12,8,4,2,5,1,3,6,9,7,10,11;""癸"",11,10,7,9,6,3,1,5,2,4,8,12}, FIND(REGEXREPLACE($H$7,""[^子丑寅卯辰巳午未申酉戌亥]"",""""), ""子丑寅卯辰巳午未申酉戌亥"")+1, FALSE), 0)"),7)</f>
        <v>7</v>
      </c>
      <c r="BV25" s="49">
        <f ca="1">IFERROR(__xludf.DUMMYFUNCTION("IFERROR(VLOOKUP(""*""&amp;AQ25&amp;""*"", {""甲"",7,10,11,12,8,4,2,5,1,3,6,9;""乙"",4,8,12,11,10,7,9,6,3,1,5,2;""丙"",3,6,9,7,10,11,12,8,4,2,5,1;""丁"",1,5,2,4,8,12,11,10,7,9,6,3;""戊"",3,6,9,7,10,11,12,8,4,2,5,1;""己"",1,5,2,4,8,12,11,10,7,9,6,3;""庚"",2,5,1,3,6,9,7,10"&amp;",11,12,8,4;""辛"",9,6,3,1,5,2,4,8,12,11,10,7;""壬"",12,8,4,2,5,1,3,6,9,7,10,11;""癸"",11,10,7,9,6,3,1,5,2,4,8,12}, FIND(REGEXREPLACE($G$7,""[^子丑寅卯辰巳午未申酉戌亥]"",""""), ""子丑寅卯辰巳午未申酉戌亥"")+1, FALSE), 0)"),9)</f>
        <v>9</v>
      </c>
      <c r="BW25" s="147">
        <f ca="1">IFERROR(__xludf.DUMMYFUNCTION("IFERROR(VLOOKUP(""*""&amp;AQ25&amp;""*"", {""甲"",7,10,11,12,8,4,2,5,1,3,6,9;""乙"",4,8,12,11,10,7,9,6,3,1,5,2;""丙"",3,6,9,7,10,11,12,8,4,2,5,1;""丁"",1,5,2,4,8,12,11,10,7,9,6,3;""戊"",3,6,9,7,10,11,12,8,4,2,5,1;""己"",1,5,2,4,8,12,11,10,7,9,6,3;""庚"",2,5,1,3,6,9,7,10"&amp;",11,12,8,4;""辛"",9,6,3,1,5,2,4,8,12,11,10,7;""壬"",12,8,4,2,5,1,3,6,9,7,10,11;""癸"",11,10,7,9,6,3,1,5,2,4,8,12}, FIND(REGEXREPLACE($F$7,""[^子丑寅卯辰巳午未申酉戌亥]"",""""), ""子丑寅卯辰巳午未申酉戌亥"")+1, FALSE), 0)"),12)</f>
        <v>12</v>
      </c>
      <c r="BX25" s="175">
        <f t="shared" ca="1" si="9"/>
        <v>28</v>
      </c>
      <c r="BY25" s="149"/>
      <c r="BZ25" s="140"/>
      <c r="CA25" s="149"/>
      <c r="CB25" s="149"/>
      <c r="CC25" s="149"/>
      <c r="CD25" s="148"/>
      <c r="CE25" s="149"/>
      <c r="CF25" s="50">
        <v>15</v>
      </c>
      <c r="CG25" s="49"/>
      <c r="CH25" s="186"/>
      <c r="CI25" s="49"/>
      <c r="CJ25" s="49"/>
      <c r="CK25" s="49"/>
      <c r="CL25" s="49"/>
      <c r="CM25" s="49"/>
      <c r="CN25" s="49"/>
      <c r="CO25" s="49"/>
      <c r="CP25" s="49"/>
      <c r="CQ25" s="180"/>
      <c r="CR25" s="68"/>
      <c r="CS25" s="68"/>
      <c r="CT25" s="180"/>
      <c r="CU25" s="68"/>
      <c r="CV25" s="68"/>
      <c r="CW25" s="180"/>
      <c r="CX25" s="68"/>
      <c r="CY25" s="68"/>
      <c r="CZ25" s="49"/>
      <c r="DA25" s="180"/>
      <c r="DB25" s="68"/>
      <c r="DC25" s="68"/>
      <c r="DD25" s="68"/>
      <c r="DE25" s="68"/>
      <c r="DF25" s="68"/>
      <c r="DG25" s="68"/>
      <c r="DH25" s="68"/>
      <c r="DI25" s="68"/>
      <c r="DJ25" s="49"/>
      <c r="DK25" s="49"/>
      <c r="DL25" s="49"/>
      <c r="DM25" s="49"/>
      <c r="DN25" s="49"/>
      <c r="DO25" s="49"/>
      <c r="DP25" s="49"/>
      <c r="DQ25" s="49"/>
      <c r="DR25" s="49"/>
      <c r="DS25" s="49"/>
      <c r="DT25" s="49"/>
      <c r="DU25" s="49"/>
      <c r="DV25" s="49"/>
      <c r="DW25" s="186"/>
      <c r="DX25" s="49"/>
    </row>
    <row r="26" spans="1:128" ht="18" customHeight="1">
      <c r="A26" s="49"/>
      <c r="B26" s="49"/>
      <c r="C26" s="49"/>
      <c r="D26" s="49"/>
      <c r="E26" s="49"/>
      <c r="F26" s="49"/>
      <c r="G26" s="49"/>
      <c r="H26" s="49"/>
      <c r="I26" s="49"/>
      <c r="J26" s="49"/>
      <c r="K26" s="49"/>
      <c r="L26" s="49"/>
      <c r="M26" s="49"/>
      <c r="N26" s="49"/>
      <c r="O26" s="49"/>
      <c r="P26" s="49"/>
      <c r="Q26" s="49"/>
      <c r="R26" s="49"/>
      <c r="S26" s="49"/>
      <c r="T26" s="49"/>
      <c r="U26" s="52"/>
      <c r="V26" s="49"/>
      <c r="W26" s="49"/>
      <c r="X26" s="53"/>
      <c r="Y26" s="49"/>
      <c r="Z26" s="49"/>
      <c r="AA26" s="53"/>
      <c r="AB26" s="53"/>
      <c r="AC26" s="49"/>
      <c r="AD26" s="49"/>
      <c r="AE26" s="166" t="str">
        <f t="shared" si="12"/>
        <v>未</v>
      </c>
      <c r="AF26" s="167">
        <f t="shared" si="5"/>
        <v>10</v>
      </c>
      <c r="AG26" s="168">
        <f t="shared" si="13"/>
        <v>1991</v>
      </c>
      <c r="AH26" s="100" t="str">
        <f>VLOOKUP(AM26,[1]大運!$B$31:$C$90,2,FALSE)</f>
        <v>辛未</v>
      </c>
      <c r="AI26" s="99" t="str">
        <f>VLOOKUP($F$5&amp;"+"&amp;AM26,[1]大運!$H$45:$K$3644,3,FALSE)</f>
        <v>調舒星</v>
      </c>
      <c r="AJ26" s="73"/>
      <c r="AK26" s="99" t="str">
        <f>VLOOKUP($F$5&amp;"+"&amp;AM26,[1]大運!$H$45:$K$3644,4,FALSE)</f>
        <v>天堂星</v>
      </c>
      <c r="AL26" s="73"/>
      <c r="AM26" s="171">
        <f t="shared" si="6"/>
        <v>8</v>
      </c>
      <c r="AN26" s="164" t="str">
        <f>VLOOKUP($F$5&amp;"+"&amp;AM26,[1]大運!$H$45:$K$3644,2,FALSE)</f>
        <v>害</v>
      </c>
      <c r="AO26" s="164" t="str">
        <f>VLOOKUP($G$5&amp;"+"&amp;AM26,[1]大運!$H$45:$K$3644,2,FALSE)</f>
        <v>－</v>
      </c>
      <c r="AP26" s="164" t="str">
        <f>VLOOKUP($H$5&amp;"+"&amp;AM26,[1]大運!$H$45:$K$3644,2,FALSE)</f>
        <v>－</v>
      </c>
      <c r="AQ26" s="100" t="str">
        <f t="shared" si="14"/>
        <v/>
      </c>
      <c r="AR26" s="172" t="str">
        <f t="shared" si="15"/>
        <v/>
      </c>
      <c r="AS26" s="172" t="str">
        <f t="shared" si="16"/>
        <v>丙辛干合</v>
      </c>
      <c r="AT26" s="172" t="str">
        <f t="shared" si="17"/>
        <v/>
      </c>
      <c r="AU26" s="49" t="str">
        <f>INDEX('12運シート'!C:C, MATCH(1, INDEX(('12運シート'!A:A=TRIM($T$42)) * ('12運シート'!B:B=TRIM(RIGHT(AE26, 1))), 0), 0))</f>
        <v>停止</v>
      </c>
      <c r="AV26" s="49" t="str">
        <f>INDEX('12運シート'!$E:$E, MATCH(1, INDEX((TRIM('12運シート'!$A:$A)=TRIM($T$42)) * (TRIM('12運シート'!$B:$B)=TRIM(AE26)), 0), 0))</f>
        <v>大曇天</v>
      </c>
      <c r="AW26" s="49" t="str">
        <f t="shared" si="18"/>
        <v>運命の停止（運の真冬時期）。古い価値観を手放す究極の浄化期間。</v>
      </c>
      <c r="AX26" s="49"/>
      <c r="AY26" s="49"/>
      <c r="AZ26" s="166" t="str">
        <f t="shared" ca="1" si="19"/>
        <v>申</v>
      </c>
      <c r="BA26" s="173">
        <f t="shared" ca="1" si="20"/>
        <v>46152</v>
      </c>
      <c r="BB26" s="174">
        <f t="shared" ca="1" si="7"/>
        <v>21</v>
      </c>
      <c r="BC26" s="174" t="str">
        <f ca="1">VLOOKUP(BB26,[1]大運!$B$31:$C$90,2,FALSE)</f>
        <v>甲申</v>
      </c>
      <c r="BD26" s="174" t="str">
        <f ca="1">VLOOKUP($F$5 &amp; "+" &amp; (MOD(BA26 - DATE(2024, 1, 1), 60) + 1), [1]大運!$H$45:$K$3644, 3, FALSE)</f>
        <v>車騎星</v>
      </c>
      <c r="BE26" s="174" t="str">
        <f ca="1">VLOOKUP($F$5 &amp; "+" &amp; (MOD(BA26 - DATE(2024, 1, 1), 60) + 1), [1]大運!$H$45:$K$3644, 4, FALSE)</f>
        <v>天胡星</v>
      </c>
      <c r="BF26" s="174" t="str">
        <f ca="1">VLOOKUP($F$5 &amp; "+" &amp; (MOD(BA26 - DATE(2024, 1, 1), 60) + 1), [1]大運!$H$45:$K$3644, 2, FALSE)</f>
        <v>半会</v>
      </c>
      <c r="BG26" s="174" t="str">
        <f ca="1">VLOOKUP($G$5 &amp; "+" &amp; (MOD(BA26 - DATE(2024, 1, 1), 60) + 1), [1]大運!$H$45:$K$3644, 2, FALSE)</f>
        <v>同</v>
      </c>
      <c r="BH26" s="174" t="str">
        <f ca="1">VLOOKUP($H$5 &amp; "+" &amp; (MOD(BA26 - DATE(2024, 1, 1), 60) + 1), [1]大運!$H$45:$K$3644, 2, FALSE)</f>
        <v>準方位</v>
      </c>
      <c r="BI26" s="172" t="str">
        <f t="shared" ca="1" si="21"/>
        <v/>
      </c>
      <c r="BJ26" s="172" t="str">
        <f t="shared" ca="1" si="22"/>
        <v/>
      </c>
      <c r="BK26" s="172" t="str">
        <f t="shared" ca="1" si="23"/>
        <v/>
      </c>
      <c r="BL26" s="174" t="str">
        <f ca="1">INDEX('12運シート'!C:C, MATCH(1, INDEX(('12運シート'!A:A=TRIM($T$42)) * ('12運シート'!B:B=TRIM(RIGHT(AZ26, 1))), 0), 0))</f>
        <v>減退</v>
      </c>
      <c r="BM26" s="174" t="str">
        <f ca="1">INDEX('12運シート'!$E:$E, MATCH(1, INDEX((TRIM('12運シート'!$A:$A)=TRIM($T$42)) * (TRIM('12運シート'!$B:$B)=TRIM(AZ26)), 0), 0))</f>
        <v>雨天</v>
      </c>
      <c r="BN26" s="49" t="str">
        <f t="shared" ca="1" si="24"/>
        <v>カルマの精算。過去の執着をすべて洗い流し、次の春への準備を整える。</v>
      </c>
      <c r="BO26" s="182"/>
      <c r="BP26" s="182"/>
      <c r="BQ26" s="114" t="s">
        <v>276</v>
      </c>
      <c r="BR26" s="140"/>
      <c r="BS26" s="140"/>
      <c r="BT26" s="49">
        <f t="shared" si="8"/>
        <v>1</v>
      </c>
      <c r="BU26" s="63">
        <f ca="1">IFERROR(__xludf.DUMMYFUNCTION("IFERROR(VLOOKUP(""*""&amp;AQ26&amp;""*"", {""甲"",7,10,11,12,8,4,2,5,1,3,6,9;""乙"",4,8,12,11,10,7,9,6,3,1,5,2;""丙"",3,6,9,7,10,11,12,8,4,2,5,1;""丁"",1,5,2,4,8,12,11,10,7,9,6,3;""戊"",3,6,9,7,10,11,12,8,4,2,5,1;""己"",1,5,2,4,8,12,11,10,7,9,6,3;""庚"",2,5,1,3,6,9,7,10"&amp;",11,12,8,4;""辛"",9,6,3,1,5,2,4,8,12,11,10,7;""壬"",12,8,4,2,5,1,3,6,9,7,10,11;""癸"",11,10,7,9,6,3,1,5,2,4,8,12}, FIND(REGEXREPLACE($H$7,""[^子丑寅卯辰巳午未申酉戌亥]"",""""), ""子丑寅卯辰巳午未申酉戌亥"")+1, FALSE), 0)"),4)</f>
        <v>4</v>
      </c>
      <c r="BV26" s="49">
        <f ca="1">IFERROR(__xludf.DUMMYFUNCTION("IFERROR(VLOOKUP(""*""&amp;AQ26&amp;""*"", {""甲"",7,10,11,12,8,4,2,5,1,3,6,9;""乙"",4,8,12,11,10,7,9,6,3,1,5,2;""丙"",3,6,9,7,10,11,12,8,4,2,5,1;""丁"",1,5,2,4,8,12,11,10,7,9,6,3;""戊"",3,6,9,7,10,11,12,8,4,2,5,1;""己"",1,5,2,4,8,12,11,10,7,9,6,3;""庚"",2,5,1,3,6,9,7,10"&amp;",11,12,8,4;""辛"",9,6,3,1,5,2,4,8,12,11,10,7;""壬"",12,8,4,2,5,1,3,6,9,7,10,11;""癸"",11,10,7,9,6,3,1,5,2,4,8,12}, FIND(REGEXREPLACE($G$7,""[^子丑寅卯辰巳午未申酉戌亥]"",""""), ""子丑寅卯辰巳午未申酉戌亥"")+1, FALSE), 0)"),2)</f>
        <v>2</v>
      </c>
      <c r="BW26" s="147">
        <f ca="1">IFERROR(__xludf.DUMMYFUNCTION("IFERROR(VLOOKUP(""*""&amp;AQ26&amp;""*"", {""甲"",7,10,11,12,8,4,2,5,1,3,6,9;""乙"",4,8,12,11,10,7,9,6,3,1,5,2;""丙"",3,6,9,7,10,11,12,8,4,2,5,1;""丁"",1,5,2,4,8,12,11,10,7,9,6,3;""戊"",3,6,9,7,10,11,12,8,4,2,5,1;""己"",1,5,2,4,8,12,11,10,7,9,6,3;""庚"",2,5,1,3,6,9,7,10"&amp;",11,12,8,4;""辛"",9,6,3,1,5,2,4,8,12,11,10,7;""壬"",12,8,4,2,5,1,3,6,9,7,10,11;""癸"",11,10,7,9,6,3,1,5,2,4,8,12}, FIND(REGEXREPLACE($F$7,""[^子丑寅卯辰巳午未申酉戌亥]"",""""), ""子丑寅卯辰巳午未申酉戌亥"")+1, FALSE), 0)"),11)</f>
        <v>11</v>
      </c>
      <c r="BX26" s="175">
        <f t="shared" ca="1" si="9"/>
        <v>17</v>
      </c>
      <c r="BY26" s="149"/>
      <c r="BZ26" s="140"/>
      <c r="CA26" s="149"/>
      <c r="CB26" s="149"/>
      <c r="CC26" s="149"/>
      <c r="CD26" s="148"/>
      <c r="CE26" s="149"/>
      <c r="CF26" s="150">
        <v>16</v>
      </c>
      <c r="CG26" s="49"/>
      <c r="CH26" s="49"/>
      <c r="CI26" s="49"/>
      <c r="CJ26" s="49"/>
      <c r="CK26" s="49"/>
      <c r="CL26" s="49"/>
      <c r="CM26" s="49"/>
      <c r="CN26" s="49"/>
      <c r="CO26" s="49"/>
      <c r="CP26" s="49"/>
      <c r="CQ26" s="68"/>
      <c r="CR26" s="68"/>
      <c r="CS26" s="68"/>
      <c r="CT26" s="68"/>
      <c r="CU26" s="68"/>
      <c r="CV26" s="68"/>
      <c r="CW26" s="68"/>
      <c r="CX26" s="68"/>
      <c r="CY26" s="68"/>
      <c r="CZ26" s="49"/>
      <c r="DA26" s="68"/>
      <c r="DB26" s="68"/>
      <c r="DC26" s="68"/>
      <c r="DD26" s="68"/>
      <c r="DE26" s="68"/>
      <c r="DF26" s="68"/>
      <c r="DG26" s="68"/>
      <c r="DH26" s="68"/>
      <c r="DI26" s="68"/>
      <c r="DJ26" s="49"/>
      <c r="DK26" s="49"/>
      <c r="DL26" s="49"/>
      <c r="DM26" s="49"/>
      <c r="DN26" s="49"/>
      <c r="DO26" s="49"/>
      <c r="DP26" s="49"/>
      <c r="DQ26" s="49"/>
      <c r="DR26" s="49"/>
      <c r="DS26" s="49"/>
      <c r="DT26" s="49"/>
      <c r="DU26" s="49"/>
      <c r="DV26" s="49"/>
      <c r="DW26" s="49"/>
      <c r="DX26" s="49"/>
    </row>
    <row r="27" spans="1:128" ht="18" customHeight="1">
      <c r="A27" s="49"/>
      <c r="B27" s="49"/>
      <c r="C27" s="49"/>
      <c r="D27" s="49"/>
      <c r="E27" s="49"/>
      <c r="F27" s="100"/>
      <c r="G27" s="100" t="s">
        <v>277</v>
      </c>
      <c r="H27" s="100" t="s">
        <v>278</v>
      </c>
      <c r="I27" s="100" t="s">
        <v>279</v>
      </c>
      <c r="J27" s="100" t="s">
        <v>280</v>
      </c>
      <c r="K27" s="100" t="s">
        <v>281</v>
      </c>
      <c r="L27" s="100" t="s">
        <v>282</v>
      </c>
      <c r="M27" s="100" t="s">
        <v>283</v>
      </c>
      <c r="N27" s="100" t="s">
        <v>284</v>
      </c>
      <c r="O27" s="100" t="s">
        <v>285</v>
      </c>
      <c r="P27" s="100" t="s">
        <v>286</v>
      </c>
      <c r="Q27" s="135"/>
      <c r="R27" s="135"/>
      <c r="S27" s="135"/>
      <c r="T27" s="135"/>
      <c r="U27" s="187"/>
      <c r="V27" s="135"/>
      <c r="W27" s="135"/>
      <c r="X27" s="188"/>
      <c r="Y27" s="135"/>
      <c r="Z27" s="135"/>
      <c r="AA27" s="188"/>
      <c r="AB27" s="188"/>
      <c r="AC27" s="135"/>
      <c r="AD27" s="135"/>
      <c r="AE27" s="166" t="str">
        <f t="shared" si="12"/>
        <v>申</v>
      </c>
      <c r="AF27" s="167">
        <f t="shared" si="5"/>
        <v>11</v>
      </c>
      <c r="AG27" s="168">
        <f t="shared" si="13"/>
        <v>1992</v>
      </c>
      <c r="AH27" s="100" t="str">
        <f>VLOOKUP(AM27,[1]大運!$B$31:$C$90,2,FALSE)</f>
        <v>壬申</v>
      </c>
      <c r="AI27" s="99" t="str">
        <f>VLOOKUP($F$5&amp;"+"&amp;AM27,[1]大運!$H$45:$K$3644,3,FALSE)</f>
        <v>禄存星</v>
      </c>
      <c r="AJ27" s="73"/>
      <c r="AK27" s="99" t="str">
        <f>VLOOKUP($F$5&amp;"+"&amp;AM27,[1]大運!$H$45:$K$3644,4,FALSE)</f>
        <v>天胡星</v>
      </c>
      <c r="AL27" s="73"/>
      <c r="AM27" s="171">
        <f t="shared" si="6"/>
        <v>9</v>
      </c>
      <c r="AN27" s="164" t="str">
        <f>VLOOKUP($F$5&amp;"+"&amp;AM27,[1]大運!$H$45:$K$3644,2,FALSE)</f>
        <v>半会</v>
      </c>
      <c r="AO27" s="164" t="str">
        <f>VLOOKUP($G$5&amp;"+"&amp;AM27,[1]大運!$H$45:$K$3644,2,FALSE)</f>
        <v>同</v>
      </c>
      <c r="AP27" s="164" t="str">
        <f>VLOOKUP($H$5&amp;"+"&amp;AM27,[1]大運!$H$45:$K$3644,2,FALSE)</f>
        <v>準方位</v>
      </c>
      <c r="AQ27" s="100" t="str">
        <f t="shared" si="14"/>
        <v>日</v>
      </c>
      <c r="AR27" s="172" t="str">
        <f t="shared" si="15"/>
        <v/>
      </c>
      <c r="AS27" s="172" t="str">
        <f t="shared" si="16"/>
        <v/>
      </c>
      <c r="AT27" s="172" t="str">
        <f t="shared" si="17"/>
        <v/>
      </c>
      <c r="AU27" s="49" t="str">
        <f>INDEX('12運シート'!C:C, MATCH(1, INDEX(('12運シート'!A:A=TRIM($T$42)) * ('12運シート'!B:B=TRIM(RIGHT(AE27, 1))), 0), 0))</f>
        <v>減退</v>
      </c>
      <c r="AV27" s="49" t="str">
        <f>INDEX('12運シート'!$E:$E, MATCH(1, INDEX((TRIM('12運シート'!$A:$A)=TRIM($T$42)) * (TRIM('12運シート'!$B:$B)=TRIM(AE27)), 0), 0))</f>
        <v>雨天</v>
      </c>
      <c r="AW27" s="49" t="str">
        <f t="shared" si="18"/>
        <v>カルマの精算。過去の執着をすべて洗い流し、次の春への準備を整える。</v>
      </c>
      <c r="AX27" s="49"/>
      <c r="AY27" s="49"/>
      <c r="AZ27" s="166" t="str">
        <f t="shared" ca="1" si="19"/>
        <v>酉</v>
      </c>
      <c r="BA27" s="173">
        <f t="shared" ca="1" si="20"/>
        <v>46153</v>
      </c>
      <c r="BB27" s="174">
        <f t="shared" ca="1" si="7"/>
        <v>22</v>
      </c>
      <c r="BC27" s="174" t="str">
        <f ca="1">VLOOKUP(BB27,[1]大運!$B$31:$C$90,2,FALSE)</f>
        <v>乙酉</v>
      </c>
      <c r="BD27" s="174" t="str">
        <f ca="1">VLOOKUP($F$5 &amp; "+" &amp; (MOD(BA27 - DATE(2024, 1, 1), 60) + 1), [1]大運!$H$45:$K$3644, 3, FALSE)</f>
        <v>牽牛星</v>
      </c>
      <c r="BE27" s="174" t="str">
        <f ca="1">VLOOKUP($F$5 &amp; "+" &amp; (MOD(BA27 - DATE(2024, 1, 1), 60) + 1), [1]大運!$H$45:$K$3644, 4, FALSE)</f>
        <v>天極星</v>
      </c>
      <c r="BF27" s="174" t="str">
        <f ca="1">VLOOKUP($F$5 &amp; "+" &amp; (MOD(BA27 - DATE(2024, 1, 1), 60) + 1), [1]大運!$H$45:$K$3644, 2, FALSE)</f>
        <v>破</v>
      </c>
      <c r="BG27" s="174" t="str">
        <f ca="1">VLOOKUP($G$5 &amp; "+" &amp; (MOD(BA27 - DATE(2024, 1, 1), 60) + 1), [1]大運!$H$45:$K$3644, 2, FALSE)</f>
        <v>準方位</v>
      </c>
      <c r="BH27" s="174" t="str">
        <f ca="1">VLOOKUP($H$5 &amp; "+" &amp; (MOD(BA27 - DATE(2024, 1, 1), 60) + 1), [1]大運!$H$45:$K$3644, 2, FALSE)</f>
        <v>自刑</v>
      </c>
      <c r="BI27" s="172" t="str">
        <f t="shared" ca="1" si="21"/>
        <v/>
      </c>
      <c r="BJ27" s="172" t="str">
        <f t="shared" ca="1" si="22"/>
        <v/>
      </c>
      <c r="BK27" s="172" t="str">
        <f t="shared" ca="1" si="23"/>
        <v/>
      </c>
      <c r="BL27" s="174" t="str">
        <f ca="1">INDEX('12運シート'!C:C, MATCH(1, INDEX(('12運シート'!A:A=TRIM($T$42)) * ('12運シート'!B:B=TRIM(RIGHT(AZ27, 1))), 0), 0))</f>
        <v>種子</v>
      </c>
      <c r="BM27" s="174" t="str">
        <f ca="1">INDEX('12運シート'!$E:$E, MATCH(1, INDEX((TRIM('12運シート'!$A:$A)=TRIM($T$42)) * (TRIM('12運シート'!$B:$B)=TRIM(AZ27)), 0), 0))</f>
        <v>起天</v>
      </c>
      <c r="BN27" s="49" t="str">
        <f t="shared" ca="1" si="24"/>
        <v>運命の幕開け。過去を断ち切り新しい種をまく開拓期。</v>
      </c>
      <c r="BO27" s="49"/>
      <c r="BP27" s="49"/>
      <c r="BQ27" s="49"/>
      <c r="BR27" s="49"/>
      <c r="BS27" s="49"/>
      <c r="BT27" s="49"/>
      <c r="BU27" s="49"/>
      <c r="BV27" s="63"/>
      <c r="BW27" s="147"/>
      <c r="BX27" s="175">
        <f ca="1">SUM(BX18:BX26)</f>
        <v>161</v>
      </c>
      <c r="BY27" s="149"/>
      <c r="BZ27" s="140"/>
      <c r="CA27" s="149"/>
      <c r="CB27" s="149"/>
      <c r="CC27" s="149"/>
      <c r="CD27" s="148"/>
      <c r="CE27" s="149"/>
      <c r="CF27" s="50">
        <v>17</v>
      </c>
      <c r="CG27" s="49"/>
      <c r="CH27" s="49"/>
      <c r="CI27" s="49"/>
      <c r="CJ27" s="49"/>
      <c r="CK27" s="49"/>
      <c r="CL27" s="49"/>
      <c r="CM27" s="49"/>
      <c r="CN27" s="49"/>
      <c r="CO27" s="49"/>
      <c r="CP27" s="49"/>
      <c r="CQ27" s="68"/>
      <c r="CR27" s="68"/>
      <c r="CS27" s="68"/>
      <c r="CT27" s="68"/>
      <c r="CU27" s="68"/>
      <c r="CV27" s="68"/>
      <c r="CW27" s="68"/>
      <c r="CX27" s="68"/>
      <c r="CY27" s="68"/>
      <c r="CZ27" s="49"/>
      <c r="DA27" s="68"/>
      <c r="DB27" s="68"/>
      <c r="DC27" s="68"/>
      <c r="DD27" s="68"/>
      <c r="DE27" s="68"/>
      <c r="DF27" s="68"/>
      <c r="DG27" s="68"/>
      <c r="DH27" s="68"/>
      <c r="DI27" s="68"/>
      <c r="DJ27" s="49"/>
      <c r="DK27" s="49"/>
      <c r="DL27" s="49"/>
      <c r="DM27" s="49"/>
      <c r="DN27" s="49"/>
      <c r="DO27" s="49"/>
      <c r="DP27" s="49"/>
      <c r="DQ27" s="49"/>
      <c r="DR27" s="49"/>
      <c r="DS27" s="49"/>
      <c r="DT27" s="49"/>
      <c r="DU27" s="49"/>
      <c r="DV27" s="49"/>
      <c r="DW27" s="49"/>
      <c r="DX27" s="49"/>
    </row>
    <row r="28" spans="1:128" ht="18" customHeight="1">
      <c r="A28" s="49"/>
      <c r="B28" s="49"/>
      <c r="C28" s="49"/>
      <c r="D28" s="49"/>
      <c r="E28" s="49"/>
      <c r="F28" s="100" t="s">
        <v>287</v>
      </c>
      <c r="G28" s="100" t="str">
        <f>LEFT(J6,3)</f>
        <v>司禄星</v>
      </c>
      <c r="H28" s="100" t="str">
        <f>[1]大運!H18</f>
        <v>○非</v>
      </c>
      <c r="I28" s="100" t="str">
        <f>[1]大運!I18</f>
        <v>○和</v>
      </c>
      <c r="J28" s="100" t="str">
        <f>[1]大運!J18</f>
        <v>⦿非</v>
      </c>
      <c r="K28" s="100" t="str">
        <f>[1]大運!K18</f>
        <v>○和</v>
      </c>
      <c r="L28" s="100" t="str">
        <f>[1]大運!L18</f>
        <v>◎非</v>
      </c>
      <c r="M28" s="100" t="str">
        <f>[1]大運!M18</f>
        <v>◎和</v>
      </c>
      <c r="N28" s="100" t="str">
        <f>[1]大運!N18</f>
        <v>△非</v>
      </c>
      <c r="O28" s="100" t="str">
        <f>[1]大運!O18</f>
        <v>△和</v>
      </c>
      <c r="P28" s="100" t="str">
        <f>[1]大運!P18</f>
        <v>×非</v>
      </c>
      <c r="Q28" s="135"/>
      <c r="R28" s="135"/>
      <c r="S28" s="135"/>
      <c r="T28" s="135"/>
      <c r="U28" s="187"/>
      <c r="V28" s="135"/>
      <c r="W28" s="135"/>
      <c r="X28" s="188"/>
      <c r="Y28" s="135"/>
      <c r="Z28" s="135"/>
      <c r="AA28" s="188"/>
      <c r="AB28" s="188"/>
      <c r="AC28" s="135"/>
      <c r="AD28" s="135"/>
      <c r="AE28" s="166" t="str">
        <f t="shared" si="12"/>
        <v>酉</v>
      </c>
      <c r="AF28" s="167">
        <f t="shared" si="5"/>
        <v>12</v>
      </c>
      <c r="AG28" s="168">
        <f t="shared" si="13"/>
        <v>1993</v>
      </c>
      <c r="AH28" s="100" t="str">
        <f>VLOOKUP(AM28,[1]大運!$B$31:$C$90,2,FALSE)</f>
        <v>癸酉</v>
      </c>
      <c r="AI28" s="99" t="str">
        <f>VLOOKUP($F$5&amp;"+"&amp;AM28,[1]大運!$H$45:$K$3644,3,FALSE)</f>
        <v>司禄星</v>
      </c>
      <c r="AJ28" s="73"/>
      <c r="AK28" s="99" t="str">
        <f>VLOOKUP($F$5&amp;"+"&amp;AM28,[1]大運!$H$45:$K$3644,4,FALSE)</f>
        <v>天極星</v>
      </c>
      <c r="AL28" s="73"/>
      <c r="AM28" s="171">
        <f t="shared" si="6"/>
        <v>10</v>
      </c>
      <c r="AN28" s="164" t="str">
        <f>VLOOKUP($F$5&amp;"+"&amp;AM28,[1]大運!$H$45:$K$3644,2,FALSE)</f>
        <v>破</v>
      </c>
      <c r="AO28" s="164" t="str">
        <f>VLOOKUP($G$5&amp;"+"&amp;AM28,[1]大運!$H$45:$K$3644,2,FALSE)</f>
        <v>準方位</v>
      </c>
      <c r="AP28" s="164" t="str">
        <f>VLOOKUP($H$5&amp;"+"&amp;AM28,[1]大運!$H$45:$K$3644,2,FALSE)</f>
        <v>自刑</v>
      </c>
      <c r="AQ28" s="100" t="str">
        <f t="shared" si="14"/>
        <v/>
      </c>
      <c r="AR28" s="172" t="str">
        <f t="shared" si="15"/>
        <v>戊癸干合</v>
      </c>
      <c r="AS28" s="172" t="str">
        <f t="shared" si="16"/>
        <v/>
      </c>
      <c r="AT28" s="172" t="str">
        <f t="shared" si="17"/>
        <v/>
      </c>
      <c r="AU28" s="49" t="str">
        <f>INDEX('12運シート'!C:C, MATCH(1, INDEX(('12運シート'!A:A=TRIM($T$42)) * ('12運シート'!B:B=TRIM(RIGHT(AE28, 1))), 0), 0))</f>
        <v>種子</v>
      </c>
      <c r="AV28" s="49" t="str">
        <f>INDEX('12運シート'!$E:$E, MATCH(1, INDEX((TRIM('12運シート'!$A:$A)=TRIM($T$42)) * (TRIM('12運シート'!$B:$B)=TRIM(AE28)), 0), 0))</f>
        <v>起天</v>
      </c>
      <c r="AW28" s="49" t="str">
        <f t="shared" si="18"/>
        <v>運命の幕開け。過去を断ち切り新しい種をまく開拓期。</v>
      </c>
      <c r="AX28" s="49"/>
      <c r="AY28" s="49"/>
      <c r="AZ28" s="166" t="str">
        <f t="shared" ca="1" si="19"/>
        <v>戌</v>
      </c>
      <c r="BA28" s="173">
        <f t="shared" ca="1" si="20"/>
        <v>46154</v>
      </c>
      <c r="BB28" s="174">
        <f t="shared" ca="1" si="7"/>
        <v>23</v>
      </c>
      <c r="BC28" s="174" t="str">
        <f ca="1">VLOOKUP(BB28,[1]大運!$B$31:$C$90,2,FALSE)</f>
        <v>丙戌</v>
      </c>
      <c r="BD28" s="174" t="str">
        <f ca="1">VLOOKUP($F$5 &amp; "+" &amp; (MOD(BA28 - DATE(2024, 1, 1), 60) + 1), [1]大運!$H$45:$K$3644, 3, FALSE)</f>
        <v>龍高星</v>
      </c>
      <c r="BE28" s="174" t="str">
        <f ca="1">VLOOKUP($F$5 &amp; "+" &amp; (MOD(BA28 - DATE(2024, 1, 1), 60) + 1), [1]大運!$H$45:$K$3644, 4, FALSE)</f>
        <v>天庫星</v>
      </c>
      <c r="BF28" s="174" t="str">
        <f ca="1">VLOOKUP($F$5 &amp; "+" &amp; (MOD(BA28 - DATE(2024, 1, 1), 60) + 1), [1]大運!$H$45:$K$3644, 2, FALSE)</f>
        <v>－</v>
      </c>
      <c r="BG28" s="174" t="str">
        <f ca="1">VLOOKUP($G$5 &amp; "+" &amp; (MOD(BA28 - DATE(2024, 1, 1), 60) + 1), [1]大運!$H$45:$K$3644, 2, FALSE)</f>
        <v>準方位</v>
      </c>
      <c r="BH28" s="174" t="str">
        <f ca="1">VLOOKUP($H$5 &amp; "+" &amp; (MOD(BA28 - DATE(2024, 1, 1), 60) + 1), [1]大運!$H$45:$K$3644, 2, FALSE)</f>
        <v>害</v>
      </c>
      <c r="BI28" s="172" t="str">
        <f t="shared" ca="1" si="21"/>
        <v/>
      </c>
      <c r="BJ28" s="172" t="str">
        <f t="shared" ca="1" si="22"/>
        <v/>
      </c>
      <c r="BK28" s="172" t="str">
        <f t="shared" ca="1" si="23"/>
        <v>丙辛干合</v>
      </c>
      <c r="BL28" s="174" t="str">
        <f ca="1">INDEX('12運シート'!C:C, MATCH(1, INDEX(('12運シート'!A:A=TRIM($T$42)) * ('12運シート'!B:B=TRIM(RIGHT(AZ28, 1))), 0), 0))</f>
        <v>緑生</v>
      </c>
      <c r="BM28" s="174" t="str">
        <f ca="1">INDEX('12運シート'!$E:$E, MATCH(1, INDEX((TRIM('12運シート'!$A:$A)=TRIM($T$42)) * (TRIM('12運シート'!$B:$B)=TRIM(AZ28)), 0), 0))</f>
        <v>吉祥天</v>
      </c>
      <c r="BN28" s="49" t="str">
        <f t="shared" ca="1" si="24"/>
        <v>まいた種が芽吹き、周囲の支援を受けて着実に育つ時期。</v>
      </c>
      <c r="BO28" s="49"/>
      <c r="BP28" s="49"/>
      <c r="BQ28" s="49"/>
      <c r="BR28" s="49"/>
      <c r="BS28" s="49"/>
      <c r="BT28" s="49"/>
      <c r="BU28" s="49"/>
      <c r="BV28" s="63"/>
      <c r="BW28" s="147"/>
      <c r="BX28" s="148"/>
      <c r="BY28" s="149"/>
      <c r="BZ28" s="140"/>
      <c r="CA28" s="149"/>
      <c r="CB28" s="149"/>
      <c r="CC28" s="149"/>
      <c r="CD28" s="148"/>
      <c r="CE28" s="149"/>
      <c r="CF28" s="150">
        <v>18</v>
      </c>
      <c r="CG28" s="49"/>
      <c r="CH28" s="49"/>
      <c r="CI28" s="49"/>
      <c r="CJ28" s="49"/>
      <c r="CK28" s="49"/>
      <c r="CL28" s="49"/>
      <c r="CM28" s="49"/>
      <c r="CN28" s="49"/>
      <c r="CO28" s="49"/>
      <c r="CP28" s="49"/>
      <c r="CQ28" s="68"/>
      <c r="CR28" s="68"/>
      <c r="CS28" s="68"/>
      <c r="CT28" s="68"/>
      <c r="CU28" s="68"/>
      <c r="CV28" s="68"/>
      <c r="CW28" s="68"/>
      <c r="CX28" s="68"/>
      <c r="CY28" s="68"/>
      <c r="CZ28" s="49"/>
      <c r="DA28" s="68"/>
      <c r="DB28" s="68"/>
      <c r="DC28" s="68"/>
      <c r="DD28" s="68"/>
      <c r="DE28" s="68"/>
      <c r="DF28" s="68"/>
      <c r="DG28" s="68"/>
      <c r="DH28" s="68"/>
      <c r="DI28" s="68"/>
      <c r="DJ28" s="49"/>
      <c r="DK28" s="49"/>
      <c r="DL28" s="49"/>
      <c r="DM28" s="49"/>
      <c r="DN28" s="49"/>
      <c r="DO28" s="49"/>
      <c r="DP28" s="49"/>
      <c r="DQ28" s="49"/>
      <c r="DR28" s="49"/>
      <c r="DS28" s="49"/>
      <c r="DT28" s="49"/>
      <c r="DU28" s="49"/>
      <c r="DV28" s="49"/>
      <c r="DW28" s="49"/>
      <c r="DX28" s="49"/>
    </row>
    <row r="29" spans="1:128" ht="18" customHeight="1">
      <c r="A29" s="49"/>
      <c r="B29" s="49"/>
      <c r="C29" s="49"/>
      <c r="D29" s="49"/>
      <c r="E29" s="49"/>
      <c r="F29" s="100" t="s">
        <v>288</v>
      </c>
      <c r="G29" s="100" t="str">
        <f>LEFT(L6,3)</f>
        <v>鳳閣星</v>
      </c>
      <c r="H29" s="100" t="str">
        <f>[1]大運!H19</f>
        <v>×和</v>
      </c>
      <c r="I29" s="100" t="str">
        <f>[1]大運!I19</f>
        <v>×非</v>
      </c>
      <c r="J29" s="100" t="str">
        <f>[1]大運!J19</f>
        <v>○和</v>
      </c>
      <c r="K29" s="100" t="str">
        <f>[1]大運!K19</f>
        <v>○非</v>
      </c>
      <c r="L29" s="100" t="str">
        <f>[1]大運!L19</f>
        <v>◎和</v>
      </c>
      <c r="M29" s="100" t="str">
        <f>[1]大運!M19</f>
        <v>⦿非</v>
      </c>
      <c r="N29" s="100" t="str">
        <f>[1]大運!N19</f>
        <v>◎和</v>
      </c>
      <c r="O29" s="100" t="str">
        <f>[1]大運!O19</f>
        <v>◎非</v>
      </c>
      <c r="P29" s="100" t="str">
        <f>[1]大運!P19</f>
        <v>△和</v>
      </c>
      <c r="Q29" s="135"/>
      <c r="R29" s="135"/>
      <c r="S29" s="135"/>
      <c r="T29" s="135"/>
      <c r="U29" s="187"/>
      <c r="V29" s="135"/>
      <c r="W29" s="135"/>
      <c r="X29" s="188"/>
      <c r="Y29" s="135" t="s">
        <v>19</v>
      </c>
      <c r="Z29" s="135" t="s">
        <v>289</v>
      </c>
      <c r="AA29" s="188" t="s">
        <v>290</v>
      </c>
      <c r="AB29" s="188" t="s">
        <v>291</v>
      </c>
      <c r="AC29" s="135" t="s">
        <v>292</v>
      </c>
      <c r="AD29" s="135"/>
      <c r="AE29" s="166" t="str">
        <f t="shared" si="12"/>
        <v>戌</v>
      </c>
      <c r="AF29" s="167">
        <f t="shared" si="5"/>
        <v>13</v>
      </c>
      <c r="AG29" s="168">
        <f t="shared" si="13"/>
        <v>1994</v>
      </c>
      <c r="AH29" s="100" t="str">
        <f>VLOOKUP(AM29,[1]大運!$B$31:$C$90,2,FALSE)</f>
        <v>甲戌</v>
      </c>
      <c r="AI29" s="99" t="str">
        <f>VLOOKUP($F$5&amp;"+"&amp;AM29,[1]大運!$H$45:$K$3644,3,FALSE)</f>
        <v>車騎星</v>
      </c>
      <c r="AJ29" s="73"/>
      <c r="AK29" s="99" t="str">
        <f>VLOOKUP($F$5&amp;"+"&amp;AM29,[1]大運!$H$45:$K$3644,4,FALSE)</f>
        <v>天庫星</v>
      </c>
      <c r="AL29" s="73"/>
      <c r="AM29" s="171">
        <f t="shared" si="6"/>
        <v>11</v>
      </c>
      <c r="AN29" s="164" t="str">
        <f>VLOOKUP($F$5&amp;"+"&amp;AM29,[1]大運!$H$45:$K$3644,2,FALSE)</f>
        <v>－</v>
      </c>
      <c r="AO29" s="164" t="str">
        <f>VLOOKUP($G$5&amp;"+"&amp;AM29,[1]大運!$H$45:$K$3644,2,FALSE)</f>
        <v>準方位</v>
      </c>
      <c r="AP29" s="164" t="str">
        <f>VLOOKUP($H$5&amp;"+"&amp;AM29,[1]大運!$H$45:$K$3644,2,FALSE)</f>
        <v>害</v>
      </c>
      <c r="AQ29" s="100" t="str">
        <f t="shared" si="14"/>
        <v/>
      </c>
      <c r="AR29" s="172" t="str">
        <f t="shared" si="15"/>
        <v/>
      </c>
      <c r="AS29" s="172" t="str">
        <f t="shared" si="16"/>
        <v/>
      </c>
      <c r="AT29" s="172" t="str">
        <f t="shared" si="17"/>
        <v/>
      </c>
      <c r="AU29" s="49" t="str">
        <f>INDEX('12運シート'!C:C, MATCH(1, INDEX(('12運シート'!A:A=TRIM($T$42)) * ('12運シート'!B:B=TRIM(RIGHT(AE29, 1))), 0), 0))</f>
        <v>緑生</v>
      </c>
      <c r="AV29" s="49" t="str">
        <f>INDEX('12運シート'!$E:$E, MATCH(1, INDEX((TRIM('12運シート'!$A:$A)=TRIM($T$42)) * (TRIM('12運シート'!$B:$B)=TRIM(AE29)), 0), 0))</f>
        <v>吉祥天</v>
      </c>
      <c r="AW29" s="49" t="str">
        <f t="shared" si="18"/>
        <v>まいた種が芽吹き、周囲の支援を受けて着実に育つ時期。</v>
      </c>
      <c r="AX29" s="49"/>
      <c r="AY29" s="49"/>
      <c r="AZ29" s="166" t="str">
        <f t="shared" ca="1" si="19"/>
        <v>亥</v>
      </c>
      <c r="BA29" s="173">
        <f t="shared" ca="1" si="20"/>
        <v>46155</v>
      </c>
      <c r="BB29" s="174">
        <f t="shared" ca="1" si="7"/>
        <v>24</v>
      </c>
      <c r="BC29" s="174" t="str">
        <f ca="1">VLOOKUP(BB29,[1]大運!$B$31:$C$90,2,FALSE)</f>
        <v>丁亥</v>
      </c>
      <c r="BD29" s="174" t="str">
        <f ca="1">VLOOKUP($F$5 &amp; "+" &amp; (MOD(BA29 - DATE(2024, 1, 1), 60) + 1), [1]大運!$H$45:$K$3644, 3, FALSE)</f>
        <v>玉堂星</v>
      </c>
      <c r="BE29" s="174" t="str">
        <f ca="1">VLOOKUP($F$5 &amp; "+" &amp; (MOD(BA29 - DATE(2024, 1, 1), 60) + 1), [1]大運!$H$45:$K$3644, 4, FALSE)</f>
        <v>天馳星</v>
      </c>
      <c r="BF29" s="174" t="str">
        <f ca="1">VLOOKUP($F$5 &amp; "+" &amp; (MOD(BA29 - DATE(2024, 1, 1), 60) + 1), [1]大運!$H$45:$K$3644, 2, FALSE)</f>
        <v>準方位</v>
      </c>
      <c r="BG29" s="174" t="str">
        <f ca="1">VLOOKUP($G$5 &amp; "+" &amp; (MOD(BA29 - DATE(2024, 1, 1), 60) + 1), [1]大運!$H$45:$K$3644, 2, FALSE)</f>
        <v>害</v>
      </c>
      <c r="BH29" s="174" t="str">
        <f ca="1">VLOOKUP($H$5 &amp; "+" &amp; (MOD(BA29 - DATE(2024, 1, 1), 60) + 1), [1]大運!$H$45:$K$3644, 2, FALSE)</f>
        <v>－</v>
      </c>
      <c r="BI29" s="172" t="str">
        <f t="shared" ca="1" si="21"/>
        <v/>
      </c>
      <c r="BJ29" s="172" t="str">
        <f t="shared" ca="1" si="22"/>
        <v/>
      </c>
      <c r="BK29" s="172" t="str">
        <f t="shared" ca="1" si="23"/>
        <v/>
      </c>
      <c r="BL29" s="174" t="str">
        <f ca="1">INDEX('12運シート'!C:C, MATCH(1, INDEX(('12運シート'!A:A=TRIM($T$42)) * ('12運シート'!B:B=TRIM(RIGHT(AZ29, 1))), 0), 0))</f>
        <v>立花</v>
      </c>
      <c r="BM29" s="174" t="str">
        <f ca="1">INDEX('12運シート'!$E:$E, MATCH(1, INDEX((TRIM('12運シート'!$A:$A)=TRIM($T$42)) * (TRIM('12運シート'!$B:$B)=TRIM(AZ29)), 0), 0))</f>
        <v>弁財天</v>
      </c>
      <c r="BN29" s="49" t="str">
        <f t="shared" ca="1" si="24"/>
        <v>才能がパッと花開き、今後の人生を左右する重要な決定を下す発展期。</v>
      </c>
      <c r="BO29" s="49"/>
      <c r="BP29" s="49"/>
      <c r="BQ29" s="49"/>
      <c r="BR29" s="49"/>
      <c r="BS29" s="49"/>
      <c r="BT29" s="49"/>
      <c r="BU29" s="49"/>
      <c r="BV29" s="63"/>
      <c r="BW29" s="147"/>
      <c r="BX29" s="148"/>
      <c r="BY29" s="149"/>
      <c r="BZ29" s="140"/>
      <c r="CA29" s="149"/>
      <c r="CB29" s="149"/>
      <c r="CC29" s="149"/>
      <c r="CD29" s="148"/>
      <c r="CE29" s="149"/>
      <c r="CF29" s="50">
        <v>19</v>
      </c>
      <c r="CG29" s="49"/>
      <c r="CH29" s="49"/>
      <c r="CI29" s="49"/>
      <c r="CJ29" s="49"/>
      <c r="CK29" s="49"/>
      <c r="CL29" s="49"/>
      <c r="CM29" s="49"/>
      <c r="CN29" s="49"/>
      <c r="CO29" s="49"/>
      <c r="CP29" s="49"/>
      <c r="CQ29" s="68"/>
      <c r="CR29" s="68"/>
      <c r="CS29" s="68"/>
      <c r="CT29" s="68"/>
      <c r="CU29" s="68"/>
      <c r="CV29" s="68"/>
      <c r="CW29" s="68"/>
      <c r="CX29" s="68"/>
      <c r="CY29" s="68"/>
      <c r="CZ29" s="49"/>
      <c r="DA29" s="68"/>
      <c r="DB29" s="68"/>
      <c r="DC29" s="68"/>
      <c r="DD29" s="68"/>
      <c r="DE29" s="68"/>
      <c r="DF29" s="68"/>
      <c r="DG29" s="68"/>
      <c r="DH29" s="68"/>
      <c r="DI29" s="68"/>
      <c r="DJ29" s="49"/>
      <c r="DK29" s="49"/>
      <c r="DL29" s="49"/>
      <c r="DM29" s="49"/>
      <c r="DN29" s="49"/>
      <c r="DO29" s="49"/>
      <c r="DP29" s="49"/>
      <c r="DQ29" s="49"/>
      <c r="DR29" s="49"/>
      <c r="DS29" s="49"/>
      <c r="DT29" s="49"/>
      <c r="DU29" s="49"/>
      <c r="DV29" s="49"/>
      <c r="DW29" s="49"/>
      <c r="DX29" s="49"/>
    </row>
    <row r="30" spans="1:128" ht="18" customHeight="1">
      <c r="A30" s="49"/>
      <c r="B30" s="49"/>
      <c r="C30" s="49"/>
      <c r="D30" s="49"/>
      <c r="E30" s="49"/>
      <c r="F30" s="100" t="s">
        <v>293</v>
      </c>
      <c r="G30" s="100" t="str">
        <f>LEFT(N6,3)</f>
        <v>調舒星</v>
      </c>
      <c r="H30" s="100" t="str">
        <f>[1]大運!H20</f>
        <v>×非</v>
      </c>
      <c r="I30" s="100" t="str">
        <f>[1]大運!I20</f>
        <v>×和</v>
      </c>
      <c r="J30" s="100" t="str">
        <f>[1]大運!J20</f>
        <v>○非</v>
      </c>
      <c r="K30" s="100" t="str">
        <f>[1]大運!K20</f>
        <v>○和</v>
      </c>
      <c r="L30" s="100" t="str">
        <f>[1]大運!L20</f>
        <v>⦿非</v>
      </c>
      <c r="M30" s="100" t="str">
        <f>[1]大運!M20</f>
        <v>○和</v>
      </c>
      <c r="N30" s="100" t="str">
        <f>[1]大運!N20</f>
        <v>◎非</v>
      </c>
      <c r="O30" s="100" t="str">
        <f>[1]大運!O20</f>
        <v>◎和</v>
      </c>
      <c r="P30" s="100" t="str">
        <f>[1]大運!P20</f>
        <v>△非</v>
      </c>
      <c r="Q30" s="135"/>
      <c r="R30" s="135"/>
      <c r="S30" s="135"/>
      <c r="T30" s="11"/>
      <c r="U30" s="187"/>
      <c r="V30" s="11" t="s">
        <v>294</v>
      </c>
      <c r="W30" s="11" t="s">
        <v>295</v>
      </c>
      <c r="X30" s="188" t="s">
        <v>296</v>
      </c>
      <c r="Y30" s="135" t="s">
        <v>297</v>
      </c>
      <c r="Z30" s="135" t="s">
        <v>298</v>
      </c>
      <c r="AA30" s="188" t="s">
        <v>299</v>
      </c>
      <c r="AB30" s="188" t="s">
        <v>300</v>
      </c>
      <c r="AC30" s="135" t="s">
        <v>301</v>
      </c>
      <c r="AD30" s="135"/>
      <c r="AE30" s="166" t="str">
        <f t="shared" si="12"/>
        <v>亥</v>
      </c>
      <c r="AF30" s="167">
        <f t="shared" si="5"/>
        <v>14</v>
      </c>
      <c r="AG30" s="168">
        <f t="shared" si="13"/>
        <v>1995</v>
      </c>
      <c r="AH30" s="100" t="str">
        <f>VLOOKUP(AM30,[1]大運!$B$31:$C$90,2,FALSE)</f>
        <v>乙亥</v>
      </c>
      <c r="AI30" s="99" t="str">
        <f>VLOOKUP($F$5&amp;"+"&amp;AM30,[1]大運!$H$45:$K$3644,3,FALSE)</f>
        <v>牽牛星</v>
      </c>
      <c r="AJ30" s="73"/>
      <c r="AK30" s="99" t="str">
        <f>VLOOKUP($F$5&amp;"+"&amp;AM30,[1]大運!$H$45:$K$3644,4,FALSE)</f>
        <v>天馳星</v>
      </c>
      <c r="AL30" s="73"/>
      <c r="AM30" s="171">
        <f t="shared" si="6"/>
        <v>12</v>
      </c>
      <c r="AN30" s="164" t="str">
        <f>VLOOKUP($F$5&amp;"+"&amp;AM30,[1]大運!$H$45:$K$3644,2,FALSE)</f>
        <v>準方位</v>
      </c>
      <c r="AO30" s="164" t="str">
        <f>VLOOKUP($G$5&amp;"+"&amp;AM30,[1]大運!$H$45:$K$3644,2,FALSE)</f>
        <v>害</v>
      </c>
      <c r="AP30" s="164" t="str">
        <f>VLOOKUP($H$5&amp;"+"&amp;AM30,[1]大運!$H$45:$K$3644,2,FALSE)</f>
        <v>－</v>
      </c>
      <c r="AQ30" s="100" t="str">
        <f t="shared" ref="AQ30:AQ116" si="25">IF(OR(RIGHT(AH30,1)=$E$6,RIGHT(AH30,1)=$E$7),"殺","")&amp;IF(ABS(RIGHT(AM30,1)-RIGHT($F$5,1))=5,"日","")&amp;IF(ABS(RIGHT(AM30,1)-RIGHT($G$5,1))=5,"月","")&amp;IF(ABS(RIGHT(AM30,1)-RIGHT($H$5,1))=5,"年","")</f>
        <v/>
      </c>
      <c r="AR30" s="172" t="str">
        <f t="shared" si="15"/>
        <v/>
      </c>
      <c r="AS30" s="172" t="str">
        <f t="shared" si="16"/>
        <v/>
      </c>
      <c r="AT30" s="172" t="str">
        <f t="shared" si="17"/>
        <v/>
      </c>
      <c r="AU30" s="49" t="str">
        <f>INDEX('12運シート'!C:C, MATCH(1, INDEX(('12運シート'!A:A=TRIM($T$42)) * ('12運シート'!B:B=TRIM(RIGHT(AE30, 1))), 0), 0))</f>
        <v>立花</v>
      </c>
      <c r="AV30" s="49" t="str">
        <f>INDEX('12運シート'!$E:$E, MATCH(1, INDEX((TRIM('12運シート'!$A:$A)=TRIM($T$42)) * (TRIM('12運シート'!$B:$B)=TRIM(AE30)), 0), 0))</f>
        <v>弁財天</v>
      </c>
      <c r="AW30" s="49" t="str">
        <f t="shared" si="18"/>
        <v>才能がパッと花開き、今後の人生を左右する重要な決定を下す発展期。</v>
      </c>
      <c r="AX30" s="135"/>
      <c r="AY30" s="135"/>
      <c r="AZ30" s="166" t="str">
        <f t="shared" ca="1" si="19"/>
        <v>子</v>
      </c>
      <c r="BA30" s="173">
        <f t="shared" ca="1" si="20"/>
        <v>46156</v>
      </c>
      <c r="BB30" s="174">
        <f t="shared" ca="1" si="7"/>
        <v>25</v>
      </c>
      <c r="BC30" s="174" t="str">
        <f ca="1">VLOOKUP(BB30,[1]大運!$B$31:$C$90,2,FALSE)</f>
        <v>戊子</v>
      </c>
      <c r="BD30" s="174" t="str">
        <f ca="1">VLOOKUP($F$5 &amp; "+" &amp; (MOD(BA30 - DATE(2024, 1, 1), 60) + 1), [1]大運!$H$45:$K$3644, 3, FALSE)</f>
        <v>貫索星</v>
      </c>
      <c r="BE30" s="174" t="str">
        <f ca="1">VLOOKUP($F$5 &amp; "+" &amp; (MOD(BA30 - DATE(2024, 1, 1), 60) + 1), [1]大運!$H$45:$K$3644, 4, FALSE)</f>
        <v>天報星</v>
      </c>
      <c r="BF30" s="174" t="str">
        <f ca="1">VLOOKUP($F$5 &amp; "+" &amp; (MOD(BA30 - DATE(2024, 1, 1), 60) + 1), [1]大運!$H$45:$K$3644, 2, FALSE)</f>
        <v>律音</v>
      </c>
      <c r="BG30" s="174" t="str">
        <f ca="1">VLOOKUP($G$5 &amp; "+" &amp; (MOD(BA30 - DATE(2024, 1, 1), 60) + 1), [1]大運!$H$45:$K$3644, 2, FALSE)</f>
        <v>半会</v>
      </c>
      <c r="BH30" s="174" t="str">
        <f ca="1">VLOOKUP($H$5 &amp; "+" &amp; (MOD(BA30 - DATE(2024, 1, 1), 60) + 1), [1]大運!$H$45:$K$3644, 2, FALSE)</f>
        <v>破</v>
      </c>
      <c r="BI30" s="172" t="str">
        <f t="shared" ca="1" si="21"/>
        <v/>
      </c>
      <c r="BJ30" s="172" t="str">
        <f t="shared" ca="1" si="22"/>
        <v/>
      </c>
      <c r="BK30" s="172" t="str">
        <f t="shared" ca="1" si="23"/>
        <v/>
      </c>
      <c r="BL30" s="174" t="str">
        <f ca="1">INDEX('12運シート'!C:C, MATCH(1, INDEX(('12運シート'!A:A=TRIM($T$42)) * ('12運シート'!B:B=TRIM(RIGHT(AZ30, 1))), 0), 0))</f>
        <v>健弱</v>
      </c>
      <c r="BM30" s="174" t="str">
        <f ca="1">INDEX('12運シート'!$E:$E, MATCH(1, INDEX((TRIM('12運シート'!$A:$A)=TRIM($T$42)) * (TRIM('12運シート'!$B:$B)=TRIM(AZ30)), 0), 0))</f>
        <v>曇天</v>
      </c>
      <c r="BN30" s="49" t="str">
        <f t="shared" ca="1" si="24"/>
        <v>運気の勢いに心身が追いつかない小休止。自己治癒の時期。</v>
      </c>
      <c r="BO30" s="49"/>
      <c r="BP30" s="49"/>
      <c r="BQ30" s="49"/>
      <c r="BR30" s="49"/>
      <c r="BS30" s="49"/>
      <c r="BT30" s="49"/>
      <c r="BU30" s="49"/>
      <c r="BV30" s="49"/>
      <c r="BW30" s="147"/>
      <c r="BX30" s="148"/>
      <c r="BY30" s="149"/>
      <c r="BZ30" s="140"/>
      <c r="CA30" s="149"/>
      <c r="CB30" s="149"/>
      <c r="CC30" s="149"/>
      <c r="CD30" s="148"/>
      <c r="CE30" s="149"/>
      <c r="CF30" s="150">
        <v>20</v>
      </c>
      <c r="CG30" s="49"/>
      <c r="CH30" s="49"/>
      <c r="CI30" s="49"/>
      <c r="CJ30" s="49"/>
      <c r="CK30" s="49"/>
      <c r="CL30" s="49"/>
      <c r="CM30" s="49"/>
      <c r="CN30" s="49"/>
      <c r="CO30" s="49"/>
      <c r="CP30" s="49"/>
      <c r="CQ30" s="68"/>
      <c r="CR30" s="68"/>
      <c r="CS30" s="68"/>
      <c r="CT30" s="68"/>
      <c r="CU30" s="68"/>
      <c r="CV30" s="68"/>
      <c r="CW30" s="68"/>
      <c r="CX30" s="68"/>
      <c r="CY30" s="68"/>
      <c r="CZ30" s="49"/>
      <c r="DA30" s="68"/>
      <c r="DB30" s="68"/>
      <c r="DC30" s="68"/>
      <c r="DD30" s="68"/>
      <c r="DE30" s="68"/>
      <c r="DF30" s="68"/>
      <c r="DG30" s="68"/>
      <c r="DH30" s="68"/>
      <c r="DI30" s="68"/>
      <c r="DJ30" s="49"/>
      <c r="DK30" s="67"/>
      <c r="DL30" s="180"/>
      <c r="DM30" s="68"/>
      <c r="DN30" s="68"/>
      <c r="DO30" s="68"/>
      <c r="DP30" s="68"/>
      <c r="DQ30" s="68"/>
      <c r="DR30" s="68"/>
      <c r="DS30" s="68"/>
      <c r="DT30" s="68"/>
      <c r="DU30" s="68"/>
      <c r="DV30" s="68"/>
      <c r="DW30" s="68"/>
      <c r="DX30" s="68"/>
    </row>
    <row r="31" spans="1:128" ht="18" customHeight="1">
      <c r="A31" s="49"/>
      <c r="B31" s="49"/>
      <c r="C31" s="49"/>
      <c r="D31" s="49"/>
      <c r="E31" s="49"/>
      <c r="F31" s="100" t="s">
        <v>302</v>
      </c>
      <c r="G31" s="100" t="str">
        <f>LEFT(L7,3)</f>
        <v>龍高星</v>
      </c>
      <c r="H31" s="100" t="str">
        <f>[1]大運!H21</f>
        <v>◎和</v>
      </c>
      <c r="I31" s="100" t="str">
        <f>[1]大運!I21</f>
        <v>◎非</v>
      </c>
      <c r="J31" s="100" t="str">
        <f>[1]大運!J21</f>
        <v>△和</v>
      </c>
      <c r="K31" s="100" t="str">
        <f>[1]大運!K21</f>
        <v>△非</v>
      </c>
      <c r="L31" s="100" t="str">
        <f>[1]大運!L21</f>
        <v>×和</v>
      </c>
      <c r="M31" s="100" t="str">
        <f>[1]大運!M21</f>
        <v>×非</v>
      </c>
      <c r="N31" s="100" t="str">
        <f>[1]大運!N21</f>
        <v>○和</v>
      </c>
      <c r="O31" s="100" t="str">
        <f>[1]大運!O21</f>
        <v>○非</v>
      </c>
      <c r="P31" s="100" t="str">
        <f>[1]大運!P21</f>
        <v>◎和</v>
      </c>
      <c r="Q31" s="135"/>
      <c r="R31" s="135"/>
      <c r="S31" s="135"/>
      <c r="T31" s="189"/>
      <c r="U31" s="52"/>
      <c r="V31" s="11" t="s">
        <v>303</v>
      </c>
      <c r="W31" s="11" t="s">
        <v>304</v>
      </c>
      <c r="X31" s="53" t="s">
        <v>305</v>
      </c>
      <c r="Y31" s="49" t="s">
        <v>306</v>
      </c>
      <c r="Z31" s="49" t="s">
        <v>307</v>
      </c>
      <c r="AA31" s="53" t="s">
        <v>308</v>
      </c>
      <c r="AB31" s="53" t="s">
        <v>309</v>
      </c>
      <c r="AC31" s="49" t="s">
        <v>310</v>
      </c>
      <c r="AD31" s="49"/>
      <c r="AE31" s="166" t="str">
        <f t="shared" si="12"/>
        <v>子</v>
      </c>
      <c r="AF31" s="167">
        <f t="shared" si="5"/>
        <v>15</v>
      </c>
      <c r="AG31" s="168">
        <f t="shared" si="13"/>
        <v>1996</v>
      </c>
      <c r="AH31" s="100" t="str">
        <f>VLOOKUP(AM31,[1]大運!$B$31:$C$90,2,FALSE)</f>
        <v>丙子</v>
      </c>
      <c r="AI31" s="99" t="str">
        <f>VLOOKUP($F$5&amp;"+"&amp;AM31,[1]大運!$H$45:$K$3644,3,FALSE)</f>
        <v>龍高星</v>
      </c>
      <c r="AJ31" s="73"/>
      <c r="AK31" s="99" t="str">
        <f>VLOOKUP($F$5&amp;"+"&amp;AM31,[1]大運!$H$45:$K$3644,4,FALSE)</f>
        <v>天報星</v>
      </c>
      <c r="AL31" s="73"/>
      <c r="AM31" s="171">
        <f t="shared" si="6"/>
        <v>13</v>
      </c>
      <c r="AN31" s="164" t="str">
        <f>VLOOKUP($F$5&amp;"+"&amp;AM31,[1]大運!$H$45:$K$3644,2,FALSE)</f>
        <v>同</v>
      </c>
      <c r="AO31" s="164" t="str">
        <f>VLOOKUP($G$5&amp;"+"&amp;AM31,[1]大運!$H$45:$K$3644,2,FALSE)</f>
        <v>大半会</v>
      </c>
      <c r="AP31" s="164" t="str">
        <f>VLOOKUP($H$5&amp;"+"&amp;AM31,[1]大運!$H$45:$K$3644,2,FALSE)</f>
        <v>破</v>
      </c>
      <c r="AQ31" s="100" t="str">
        <f t="shared" si="25"/>
        <v>年</v>
      </c>
      <c r="AR31" s="172" t="str">
        <f t="shared" si="15"/>
        <v/>
      </c>
      <c r="AS31" s="172" t="str">
        <f t="shared" si="16"/>
        <v/>
      </c>
      <c r="AT31" s="172" t="str">
        <f t="shared" si="17"/>
        <v>丙辛干合</v>
      </c>
      <c r="AU31" s="49" t="str">
        <f>INDEX('12運シート'!C:C, MATCH(1, INDEX(('12運シート'!A:A=TRIM($T$42)) * ('12運シート'!B:B=TRIM(RIGHT(AE31, 1))), 0), 0))</f>
        <v>健弱</v>
      </c>
      <c r="AV31" s="49" t="str">
        <f>INDEX('12運シート'!$E:$E, MATCH(1, INDEX((TRIM('12運シート'!$A:$A)=TRIM($T$42)) * (TRIM('12運シート'!$B:$B)=TRIM(AE31)), 0), 0))</f>
        <v>曇天</v>
      </c>
      <c r="AW31" s="49" t="str">
        <f t="shared" si="18"/>
        <v>運気の勢いに心身が追いつかない小休止。自己治癒の時期。</v>
      </c>
      <c r="AX31" s="135"/>
      <c r="AY31" s="135"/>
      <c r="AZ31" s="166" t="str">
        <f t="shared" ca="1" si="19"/>
        <v>丑</v>
      </c>
      <c r="BA31" s="173">
        <f t="shared" ca="1" si="20"/>
        <v>46157</v>
      </c>
      <c r="BB31" s="174">
        <f t="shared" ca="1" si="7"/>
        <v>26</v>
      </c>
      <c r="BC31" s="174" t="str">
        <f ca="1">VLOOKUP(BB31,[1]大運!$B$31:$C$90,2,FALSE)</f>
        <v>己丑</v>
      </c>
      <c r="BD31" s="174" t="str">
        <f ca="1">VLOOKUP($F$5 &amp; "+" &amp; (MOD(BA31 - DATE(2024, 1, 1), 60) + 1), [1]大運!$H$45:$K$3644, 3, FALSE)</f>
        <v>石門星</v>
      </c>
      <c r="BE31" s="174" t="str">
        <f ca="1">VLOOKUP($F$5 &amp; "+" &amp; (MOD(BA31 - DATE(2024, 1, 1), 60) + 1), [1]大運!$H$45:$K$3644, 4, FALSE)</f>
        <v>天印星</v>
      </c>
      <c r="BF31" s="174" t="str">
        <f ca="1">VLOOKUP($F$5 &amp; "+" &amp; (MOD(BA31 - DATE(2024, 1, 1), 60) + 1), [1]大運!$H$45:$K$3644, 2, FALSE)</f>
        <v>支合</v>
      </c>
      <c r="BG31" s="174" t="str">
        <f ca="1">VLOOKUP($G$5 &amp; "+" &amp; (MOD(BA31 - DATE(2024, 1, 1), 60) + 1), [1]大運!$H$45:$K$3644, 2, FALSE)</f>
        <v>－</v>
      </c>
      <c r="BH31" s="174" t="str">
        <f ca="1">VLOOKUP($H$5 &amp; "+" &amp; (MOD(BA31 - DATE(2024, 1, 1), 60) + 1), [1]大運!$H$45:$K$3644, 2, FALSE)</f>
        <v>半会</v>
      </c>
      <c r="BI31" s="172" t="str">
        <f t="shared" ca="1" si="21"/>
        <v/>
      </c>
      <c r="BJ31" s="172" t="str">
        <f t="shared" ca="1" si="22"/>
        <v/>
      </c>
      <c r="BK31" s="172" t="str">
        <f t="shared" ca="1" si="23"/>
        <v/>
      </c>
      <c r="BL31" s="174" t="str">
        <f ca="1">INDEX('12運シート'!C:C, MATCH(1, INDEX(('12運シート'!A:A=TRIM($T$42)) * ('12運シート'!B:B=TRIM(RIGHT(AZ31, 1))), 0), 0))</f>
        <v>達成</v>
      </c>
      <c r="BM31" s="174" t="str">
        <f ca="1">INDEX('12運シート'!$E:$E, MATCH(1, INDEX((TRIM('12運シート'!$A:$A)=TRIM($T$42)) * (TRIM('12運シート'!$B:$B)=TRIM(AZ31)), 0), 0))</f>
        <v>韋駄天</v>
      </c>
      <c r="BN31" s="49" t="str">
        <f t="shared" ca="1" si="24"/>
        <v>運気絶頂。これまでの努力が実を結び、最高のスポットライトを浴びる。</v>
      </c>
      <c r="BO31" s="49"/>
      <c r="BP31" s="49"/>
      <c r="BQ31" s="49"/>
      <c r="BR31" s="49"/>
      <c r="BS31" s="49"/>
      <c r="BT31" s="49"/>
      <c r="BU31" s="49"/>
      <c r="BV31" s="49"/>
      <c r="BW31" s="147"/>
      <c r="BX31" s="148"/>
      <c r="BY31" s="149"/>
      <c r="BZ31" s="140"/>
      <c r="CA31" s="149"/>
      <c r="CB31" s="149"/>
      <c r="CC31" s="149"/>
      <c r="CD31" s="148"/>
      <c r="CE31" s="149"/>
      <c r="CF31" s="50">
        <v>21</v>
      </c>
      <c r="CG31" s="49"/>
      <c r="CH31" s="49"/>
      <c r="CI31" s="49"/>
      <c r="CJ31" s="49"/>
      <c r="CK31" s="49"/>
      <c r="CL31" s="49"/>
      <c r="CM31" s="49"/>
      <c r="CN31" s="49"/>
      <c r="CO31" s="49"/>
      <c r="CP31" s="49"/>
      <c r="CQ31" s="49"/>
      <c r="CR31" s="49"/>
      <c r="CS31" s="49"/>
      <c r="CT31" s="49"/>
      <c r="CU31" s="49"/>
      <c r="CV31" s="49"/>
      <c r="CW31" s="49"/>
      <c r="CX31" s="49"/>
      <c r="CY31" s="49"/>
      <c r="CZ31" s="49"/>
      <c r="DA31" s="49"/>
      <c r="DB31" s="49"/>
      <c r="DC31" s="49"/>
      <c r="DD31" s="49"/>
      <c r="DE31" s="49"/>
      <c r="DF31" s="49"/>
      <c r="DG31" s="49"/>
      <c r="DH31" s="49"/>
      <c r="DI31" s="49"/>
      <c r="DJ31" s="49"/>
      <c r="DK31" s="68"/>
      <c r="DL31" s="68"/>
      <c r="DM31" s="68"/>
      <c r="DN31" s="68"/>
      <c r="DO31" s="68"/>
      <c r="DP31" s="68"/>
      <c r="DQ31" s="68"/>
      <c r="DR31" s="68"/>
      <c r="DS31" s="68"/>
      <c r="DT31" s="68"/>
      <c r="DU31" s="68"/>
      <c r="DV31" s="68"/>
      <c r="DW31" s="68"/>
      <c r="DX31" s="68"/>
    </row>
    <row r="32" spans="1:128" ht="18" customHeight="1">
      <c r="A32" s="49"/>
      <c r="B32" s="49"/>
      <c r="C32" s="49"/>
      <c r="D32" s="49"/>
      <c r="E32" s="49"/>
      <c r="F32" s="100" t="s">
        <v>311</v>
      </c>
      <c r="G32" s="100" t="str">
        <f>LEFT(L5,3)</f>
        <v>調舒星</v>
      </c>
      <c r="H32" s="100" t="str">
        <f>[1]大運!H22</f>
        <v>×非</v>
      </c>
      <c r="I32" s="100" t="str">
        <f>[1]大運!I22</f>
        <v>×和</v>
      </c>
      <c r="J32" s="100" t="str">
        <f>[1]大運!J22</f>
        <v>○非</v>
      </c>
      <c r="K32" s="100" t="str">
        <f>[1]大運!K22</f>
        <v>○和</v>
      </c>
      <c r="L32" s="100" t="str">
        <f>[1]大運!L22</f>
        <v>⦿非</v>
      </c>
      <c r="M32" s="100" t="str">
        <f>[1]大運!M22</f>
        <v>○和</v>
      </c>
      <c r="N32" s="100" t="str">
        <f>[1]大運!N22</f>
        <v>◎非</v>
      </c>
      <c r="O32" s="100" t="str">
        <f>[1]大運!O22</f>
        <v>◎和</v>
      </c>
      <c r="P32" s="100" t="str">
        <f>[1]大運!P22</f>
        <v>△非</v>
      </c>
      <c r="Q32" s="135"/>
      <c r="R32" s="135"/>
      <c r="S32" s="135"/>
      <c r="T32" s="11"/>
      <c r="U32" s="190"/>
      <c r="V32" s="189" t="s">
        <v>312</v>
      </c>
      <c r="W32" s="189" t="s">
        <v>313</v>
      </c>
      <c r="X32" s="191" t="s">
        <v>314</v>
      </c>
      <c r="Y32" s="192" t="s">
        <v>315</v>
      </c>
      <c r="Z32" s="192" t="s">
        <v>316</v>
      </c>
      <c r="AA32" s="191" t="s">
        <v>317</v>
      </c>
      <c r="AB32" s="191" t="s">
        <v>318</v>
      </c>
      <c r="AC32" s="192" t="s">
        <v>319</v>
      </c>
      <c r="AD32" s="192"/>
      <c r="AE32" s="166" t="str">
        <f t="shared" si="12"/>
        <v>丑</v>
      </c>
      <c r="AF32" s="167">
        <f t="shared" si="5"/>
        <v>16</v>
      </c>
      <c r="AG32" s="168">
        <f t="shared" si="13"/>
        <v>1997</v>
      </c>
      <c r="AH32" s="100" t="str">
        <f>VLOOKUP(AM32,[1]大運!$B$31:$C$90,2,FALSE)</f>
        <v>丁丑</v>
      </c>
      <c r="AI32" s="99" t="str">
        <f>VLOOKUP($F$5&amp;"+"&amp;AM32,[1]大運!$H$45:$K$3644,3,FALSE)</f>
        <v>玉堂星</v>
      </c>
      <c r="AJ32" s="73"/>
      <c r="AK32" s="99" t="str">
        <f>VLOOKUP($F$5&amp;"+"&amp;AM32,[1]大運!$H$45:$K$3644,4,FALSE)</f>
        <v>天印星</v>
      </c>
      <c r="AL32" s="73"/>
      <c r="AM32" s="171">
        <f t="shared" si="6"/>
        <v>14</v>
      </c>
      <c r="AN32" s="164" t="str">
        <f>VLOOKUP($F$5&amp;"+"&amp;AM32,[1]大運!$H$45:$K$3644,2,FALSE)</f>
        <v>支合</v>
      </c>
      <c r="AO32" s="164" t="str">
        <f>VLOOKUP($G$5&amp;"+"&amp;AM32,[1]大運!$H$45:$K$3644,2,FALSE)</f>
        <v>－</v>
      </c>
      <c r="AP32" s="164" t="str">
        <f>VLOOKUP($H$5&amp;"+"&amp;AM32,[1]大運!$H$45:$K$3644,2,FALSE)</f>
        <v>半会</v>
      </c>
      <c r="AQ32" s="100" t="str">
        <f t="shared" si="25"/>
        <v/>
      </c>
      <c r="AR32" s="172" t="str">
        <f t="shared" si="15"/>
        <v/>
      </c>
      <c r="AS32" s="172" t="str">
        <f t="shared" si="16"/>
        <v/>
      </c>
      <c r="AT32" s="172" t="str">
        <f t="shared" si="17"/>
        <v/>
      </c>
      <c r="AU32" s="49" t="str">
        <f>INDEX('12運シート'!C:C, MATCH(1, INDEX(('12運シート'!A:A=TRIM($T$42)) * ('12運シート'!B:B=TRIM(RIGHT(AE32, 1))), 0), 0))</f>
        <v>達成</v>
      </c>
      <c r="AV32" s="49" t="str">
        <f>INDEX('12運シート'!$E:$E, MATCH(1, INDEX((TRIM('12運シート'!$A:$A)=TRIM($T$42)) * (TRIM('12運シート'!$B:$B)=TRIM(AE32)), 0), 0))</f>
        <v>韋駄天</v>
      </c>
      <c r="AW32" s="49" t="str">
        <f t="shared" si="18"/>
        <v>運気絶頂。これまでの努力が実を結び、最高のスポットライトを浴びる。</v>
      </c>
      <c r="AX32" s="135"/>
      <c r="AY32" s="135"/>
      <c r="AZ32" s="166" t="str">
        <f t="shared" ca="1" si="19"/>
        <v>寅</v>
      </c>
      <c r="BA32" s="173">
        <f t="shared" ca="1" si="20"/>
        <v>46158</v>
      </c>
      <c r="BB32" s="174">
        <f t="shared" ca="1" si="7"/>
        <v>27</v>
      </c>
      <c r="BC32" s="174" t="str">
        <f ca="1">VLOOKUP(BB32,[1]大運!$B$31:$C$90,2,FALSE)</f>
        <v>庚寅</v>
      </c>
      <c r="BD32" s="174" t="str">
        <f ca="1">VLOOKUP($F$5 &amp; "+" &amp; (MOD(BA32 - DATE(2024, 1, 1), 60) + 1), [1]大運!$H$45:$K$3644, 3, FALSE)</f>
        <v>鳳閣星</v>
      </c>
      <c r="BE32" s="174" t="str">
        <f ca="1">VLOOKUP($F$5 &amp; "+" &amp; (MOD(BA32 - DATE(2024, 1, 1), 60) + 1), [1]大運!$H$45:$K$3644, 4, FALSE)</f>
        <v>天貴星</v>
      </c>
      <c r="BF32" s="174" t="str">
        <f ca="1">VLOOKUP($F$5 &amp; "+" &amp; (MOD(BA32 - DATE(2024, 1, 1), 60) + 1), [1]大運!$H$45:$K$3644, 2, FALSE)</f>
        <v>－</v>
      </c>
      <c r="BG32" s="174" t="str">
        <f ca="1">VLOOKUP($G$5 &amp; "+" &amp; (MOD(BA32 - DATE(2024, 1, 1), 60) + 1), [1]大運!$H$45:$K$3644, 2, FALSE)</f>
        <v>天剋地冲</v>
      </c>
      <c r="BH32" s="174" t="str">
        <f ca="1">VLOOKUP($H$5 &amp; "+" &amp; (MOD(BA32 - DATE(2024, 1, 1), 60) + 1), [1]大運!$H$45:$K$3644, 2, FALSE)</f>
        <v>－</v>
      </c>
      <c r="BI32" s="172" t="str">
        <f t="shared" ca="1" si="21"/>
        <v/>
      </c>
      <c r="BJ32" s="172" t="str">
        <f t="shared" ca="1" si="22"/>
        <v/>
      </c>
      <c r="BK32" s="172" t="str">
        <f t="shared" ca="1" si="23"/>
        <v/>
      </c>
      <c r="BL32" s="174" t="str">
        <f ca="1">INDEX('12運シート'!C:C, MATCH(1, INDEX(('12運シート'!A:A=TRIM($T$42)) * ('12運シート'!B:B=TRIM(RIGHT(AZ32, 1))), 0), 0))</f>
        <v>乱気</v>
      </c>
      <c r="BM32" s="174" t="str">
        <f ca="1">INDEX('12運シート'!$E:$E, MATCH(1, INDEX((TRIM('12運シート'!$A:$A)=TRIM($T$42)) * (TRIM('12運シート'!$B:$B)=TRIM(AZ32)), 0), 0))</f>
        <v>伏魔天</v>
      </c>
      <c r="BN32" s="49" t="str">
        <f t="shared" ca="1" si="24"/>
        <v>強すぎる運気の反動で迷いや摩擦が生じる。理性と現状維持が必要な嵐。</v>
      </c>
      <c r="BO32" s="49"/>
      <c r="BP32" s="49"/>
      <c r="BQ32" s="49"/>
      <c r="BR32" s="49"/>
      <c r="BS32" s="49"/>
      <c r="BT32" s="49"/>
      <c r="BU32" s="49"/>
      <c r="BV32" s="49"/>
      <c r="BW32" s="147"/>
      <c r="BX32" s="148"/>
      <c r="BY32" s="149"/>
      <c r="BZ32" s="140"/>
      <c r="CA32" s="149"/>
      <c r="CB32" s="149"/>
      <c r="CC32" s="149"/>
      <c r="CD32" s="148"/>
      <c r="CE32" s="149"/>
      <c r="CF32" s="150">
        <v>22</v>
      </c>
      <c r="CG32" s="49"/>
      <c r="CH32" s="49"/>
      <c r="CI32" s="49"/>
      <c r="CJ32" s="49"/>
      <c r="CK32" s="49"/>
      <c r="CL32" s="49"/>
      <c r="CM32" s="49"/>
      <c r="CN32" s="49"/>
      <c r="CO32" s="49"/>
      <c r="CP32" s="49"/>
      <c r="CQ32" s="192"/>
      <c r="CR32" s="192"/>
      <c r="CS32" s="192"/>
      <c r="CT32" s="192"/>
      <c r="CU32" s="192"/>
      <c r="CV32" s="192"/>
      <c r="CW32" s="192"/>
      <c r="CX32" s="192"/>
      <c r="CY32" s="192"/>
      <c r="CZ32" s="192"/>
      <c r="DA32" s="192"/>
      <c r="DB32" s="192"/>
      <c r="DC32" s="192"/>
      <c r="DD32" s="192"/>
      <c r="DE32" s="192"/>
      <c r="DF32" s="192"/>
      <c r="DG32" s="192"/>
      <c r="DH32" s="192"/>
      <c r="DI32" s="192"/>
      <c r="DJ32" s="49"/>
      <c r="DK32" s="68"/>
      <c r="DL32" s="68"/>
      <c r="DM32" s="68"/>
      <c r="DN32" s="68"/>
      <c r="DO32" s="68"/>
      <c r="DP32" s="68"/>
      <c r="DQ32" s="68"/>
      <c r="DR32" s="68"/>
      <c r="DS32" s="68"/>
      <c r="DT32" s="68"/>
      <c r="DU32" s="68"/>
      <c r="DV32" s="68"/>
      <c r="DW32" s="68"/>
      <c r="DX32" s="68"/>
    </row>
    <row r="33" spans="1:128" ht="18" customHeight="1">
      <c r="A33" s="49"/>
      <c r="B33" s="49"/>
      <c r="C33" s="49"/>
      <c r="D33" s="49"/>
      <c r="E33" s="49"/>
      <c r="F33" s="63"/>
      <c r="G33" s="63"/>
      <c r="H33" s="193">
        <f>H17</f>
        <v>1991</v>
      </c>
      <c r="I33" s="193">
        <f>H18</f>
        <v>2001</v>
      </c>
      <c r="J33" s="193">
        <f>H19</f>
        <v>2011</v>
      </c>
      <c r="K33" s="193">
        <f>H20</f>
        <v>2021</v>
      </c>
      <c r="L33" s="193">
        <f>H21</f>
        <v>2031</v>
      </c>
      <c r="M33" s="193">
        <f>H22</f>
        <v>2041</v>
      </c>
      <c r="N33" s="193">
        <f>H23</f>
        <v>2051</v>
      </c>
      <c r="O33" s="193">
        <f>H24</f>
        <v>2061</v>
      </c>
      <c r="P33" s="193">
        <f>H25</f>
        <v>2071</v>
      </c>
      <c r="Q33" s="194"/>
      <c r="R33" s="194"/>
      <c r="S33" s="194"/>
      <c r="T33" s="11"/>
      <c r="U33" s="190"/>
      <c r="V33" s="189" t="s">
        <v>320</v>
      </c>
      <c r="W33" s="189" t="s">
        <v>321</v>
      </c>
      <c r="X33" s="191" t="s">
        <v>322</v>
      </c>
      <c r="Y33" s="192" t="s">
        <v>323</v>
      </c>
      <c r="Z33" s="192" t="s">
        <v>324</v>
      </c>
      <c r="AA33" s="191" t="s">
        <v>325</v>
      </c>
      <c r="AB33" s="191" t="s">
        <v>326</v>
      </c>
      <c r="AC33" s="192" t="s">
        <v>327</v>
      </c>
      <c r="AD33" s="192"/>
      <c r="AE33" s="166" t="str">
        <f t="shared" si="12"/>
        <v>寅</v>
      </c>
      <c r="AF33" s="167">
        <f t="shared" si="5"/>
        <v>17</v>
      </c>
      <c r="AG33" s="168">
        <f t="shared" si="13"/>
        <v>1998</v>
      </c>
      <c r="AH33" s="100" t="str">
        <f>VLOOKUP(AM33,[1]大運!$B$31:$C$90,2,FALSE)</f>
        <v>戊寅</v>
      </c>
      <c r="AI33" s="99" t="str">
        <f>VLOOKUP($F$5&amp;"+"&amp;AM33,[1]大運!$H$45:$K$3644,3,FALSE)</f>
        <v>貫索星</v>
      </c>
      <c r="AJ33" s="73"/>
      <c r="AK33" s="99" t="str">
        <f>VLOOKUP($F$5&amp;"+"&amp;AM33,[1]大運!$H$45:$K$3644,4,FALSE)</f>
        <v>天貴星</v>
      </c>
      <c r="AL33" s="73"/>
      <c r="AM33" s="171">
        <f t="shared" si="6"/>
        <v>15</v>
      </c>
      <c r="AN33" s="195" t="str">
        <f>VLOOKUP($F$5&amp;"+"&amp;AM33,[1]大運!$H$45:$K$3644,2,FALSE)</f>
        <v>－</v>
      </c>
      <c r="AO33" s="195" t="str">
        <f>VLOOKUP($G$5&amp;"+"&amp;AM33,[1]大運!$H$45:$K$3644,2,FALSE)</f>
        <v>対冲</v>
      </c>
      <c r="AP33" s="195" t="str">
        <f>VLOOKUP($H$5&amp;"+"&amp;AM33,[1]大運!$H$45:$K$3644,2,FALSE)</f>
        <v>－</v>
      </c>
      <c r="AQ33" s="100" t="str">
        <f t="shared" si="25"/>
        <v/>
      </c>
      <c r="AR33" s="172" t="str">
        <f t="shared" si="15"/>
        <v/>
      </c>
      <c r="AS33" s="172" t="str">
        <f t="shared" si="16"/>
        <v/>
      </c>
      <c r="AT33" s="172" t="str">
        <f t="shared" si="17"/>
        <v/>
      </c>
      <c r="AU33" s="49" t="str">
        <f>INDEX('12運シート'!C:C, MATCH(1, INDEX(('12運シート'!A:A=TRIM($T$42)) * ('12運シート'!B:B=TRIM(RIGHT(AE33, 1))), 0), 0))</f>
        <v>乱気</v>
      </c>
      <c r="AV33" s="49" t="str">
        <f>INDEX('12運シート'!$E:$E, MATCH(1, INDEX((TRIM('12運シート'!$A:$A)=TRIM($T$42)) * (TRIM('12運シート'!$B:$B)=TRIM(AE33)), 0), 0))</f>
        <v>伏魔天</v>
      </c>
      <c r="AW33" s="49" t="str">
        <f t="shared" si="18"/>
        <v>強すぎる運気の反動で迷いや摩擦が生じる。理性と現状維持が必要な嵐。</v>
      </c>
      <c r="AX33" s="192"/>
      <c r="AY33" s="192"/>
      <c r="AZ33" s="166" t="str">
        <f t="shared" ca="1" si="19"/>
        <v>卯</v>
      </c>
      <c r="BA33" s="173">
        <f t="shared" ca="1" si="20"/>
        <v>46159</v>
      </c>
      <c r="BB33" s="174">
        <f t="shared" ca="1" si="7"/>
        <v>28</v>
      </c>
      <c r="BC33" s="174" t="str">
        <f ca="1">VLOOKUP(BB33,[1]大運!$B$31:$C$90,2,FALSE)</f>
        <v>辛卯</v>
      </c>
      <c r="BD33" s="174" t="str">
        <f ca="1">VLOOKUP($F$5 &amp; "+" &amp; (MOD(BA33 - DATE(2024, 1, 1), 60) + 1), [1]大運!$H$45:$K$3644, 3, FALSE)</f>
        <v>調舒星</v>
      </c>
      <c r="BE33" s="174" t="str">
        <f ca="1">VLOOKUP($F$5 &amp; "+" &amp; (MOD(BA33 - DATE(2024, 1, 1), 60) + 1), [1]大運!$H$45:$K$3644, 4, FALSE)</f>
        <v>天恍星</v>
      </c>
      <c r="BF33" s="174" t="str">
        <f ca="1">VLOOKUP($F$5 &amp; "+" &amp; (MOD(BA33 - DATE(2024, 1, 1), 60) + 1), [1]大運!$H$45:$K$3644, 2, FALSE)</f>
        <v>刑</v>
      </c>
      <c r="BG33" s="174" t="str">
        <f ca="1">VLOOKUP($G$5 &amp; "+" &amp; (MOD(BA33 - DATE(2024, 1, 1), 60) + 1), [1]大運!$H$45:$K$3644, 2, FALSE)</f>
        <v>－</v>
      </c>
      <c r="BH33" s="174" t="str">
        <f ca="1">VLOOKUP($H$5 &amp; "+" &amp; (MOD(BA33 - DATE(2024, 1, 1), 60) + 1), [1]大運!$H$45:$K$3644, 2, FALSE)</f>
        <v>納音</v>
      </c>
      <c r="BI33" s="172" t="str">
        <f t="shared" ca="1" si="21"/>
        <v/>
      </c>
      <c r="BJ33" s="172" t="str">
        <f t="shared" ca="1" si="22"/>
        <v>丙辛干合</v>
      </c>
      <c r="BK33" s="172" t="str">
        <f t="shared" ca="1" si="23"/>
        <v/>
      </c>
      <c r="BL33" s="174" t="str">
        <f ca="1">INDEX('12運シート'!C:C, MATCH(1, INDEX(('12運シート'!A:A=TRIM($T$42)) * ('12運シート'!B:B=TRIM(RIGHT(AZ33, 1))), 0), 0))</f>
        <v>再会</v>
      </c>
      <c r="BM33" s="174" t="str">
        <f ca="1">INDEX('12運シート'!$E:$E, MATCH(1, INDEX((TRIM('12運シート'!$A:$A)=TRIM($T$42)) * (TRIM('12運シート'!$B:$B)=TRIM(AZ33)), 0), 0))</f>
        <v>有頂天</v>
      </c>
      <c r="BN33" s="49" t="str">
        <f t="shared" ca="1" si="24"/>
        <v>第2の絶頂期。過去の縁が繋がり、周囲を巻き込み大きな成果を出す。</v>
      </c>
      <c r="BO33" s="49"/>
      <c r="BP33" s="49"/>
      <c r="BQ33" s="49"/>
      <c r="BR33" s="49"/>
      <c r="BS33" s="49"/>
      <c r="BT33" s="49"/>
      <c r="BU33" s="49"/>
      <c r="BV33" s="49"/>
      <c r="BW33" s="147"/>
      <c r="BX33" s="148"/>
      <c r="BY33" s="149"/>
      <c r="BZ33" s="140"/>
      <c r="CA33" s="149"/>
      <c r="CB33" s="149"/>
      <c r="CC33" s="149"/>
      <c r="CD33" s="148"/>
      <c r="CE33" s="149"/>
      <c r="CF33" s="50">
        <v>23</v>
      </c>
      <c r="CG33" s="49"/>
      <c r="CH33" s="49"/>
      <c r="CI33" s="49"/>
      <c r="CJ33" s="49"/>
      <c r="CK33" s="49"/>
      <c r="CL33" s="49"/>
      <c r="CM33" s="49"/>
      <c r="CN33" s="49"/>
      <c r="CO33" s="49"/>
      <c r="CP33" s="49"/>
      <c r="CQ33" s="192"/>
      <c r="CR33" s="192"/>
      <c r="CS33" s="192"/>
      <c r="CT33" s="192"/>
      <c r="CU33" s="192"/>
      <c r="CV33" s="192"/>
      <c r="CW33" s="192"/>
      <c r="CX33" s="192"/>
      <c r="CY33" s="192"/>
      <c r="CZ33" s="192"/>
      <c r="DA33" s="192"/>
      <c r="DB33" s="192"/>
      <c r="DC33" s="192"/>
      <c r="DD33" s="192"/>
      <c r="DE33" s="192"/>
      <c r="DF33" s="192"/>
      <c r="DG33" s="192"/>
      <c r="DH33" s="192"/>
      <c r="DI33" s="192"/>
      <c r="DJ33" s="49"/>
      <c r="DK33" s="63"/>
      <c r="DL33" s="192"/>
      <c r="DM33" s="192"/>
      <c r="DN33" s="192"/>
      <c r="DO33" s="192"/>
      <c r="DP33" s="192"/>
      <c r="DQ33" s="192"/>
      <c r="DR33" s="192"/>
      <c r="DS33" s="192"/>
      <c r="DT33" s="192"/>
      <c r="DU33" s="192"/>
      <c r="DV33" s="192"/>
      <c r="DW33" s="192"/>
      <c r="DX33" s="192"/>
    </row>
    <row r="34" spans="1:128" ht="18" customHeight="1">
      <c r="A34" s="49"/>
      <c r="B34" s="49"/>
      <c r="C34" s="49"/>
      <c r="D34" s="49"/>
      <c r="E34" s="49"/>
      <c r="F34" s="49"/>
      <c r="G34" s="49"/>
      <c r="H34" s="196">
        <f>I17</f>
        <v>10</v>
      </c>
      <c r="I34" s="196">
        <f>I18</f>
        <v>20</v>
      </c>
      <c r="J34" s="196">
        <f>I19</f>
        <v>30</v>
      </c>
      <c r="K34" s="196">
        <f>I20</f>
        <v>40</v>
      </c>
      <c r="L34" s="196">
        <f>I21</f>
        <v>50</v>
      </c>
      <c r="M34" s="196">
        <f>I22</f>
        <v>60</v>
      </c>
      <c r="N34" s="196">
        <f>I23</f>
        <v>70</v>
      </c>
      <c r="O34" s="196">
        <f>I24</f>
        <v>80</v>
      </c>
      <c r="P34" s="196">
        <f>I25</f>
        <v>90</v>
      </c>
      <c r="Q34" s="197"/>
      <c r="R34" s="197"/>
      <c r="S34" s="197"/>
      <c r="T34" s="11"/>
      <c r="U34" s="190"/>
      <c r="V34" s="11" t="s">
        <v>328</v>
      </c>
      <c r="W34" s="11" t="s">
        <v>329</v>
      </c>
      <c r="X34" s="191" t="s">
        <v>330</v>
      </c>
      <c r="Y34" s="192" t="s">
        <v>331</v>
      </c>
      <c r="Z34" s="192" t="s">
        <v>332</v>
      </c>
      <c r="AA34" s="191" t="s">
        <v>333</v>
      </c>
      <c r="AB34" s="191" t="s">
        <v>334</v>
      </c>
      <c r="AC34" s="192" t="s">
        <v>335</v>
      </c>
      <c r="AD34" s="192"/>
      <c r="AE34" s="166" t="str">
        <f t="shared" si="12"/>
        <v>卯</v>
      </c>
      <c r="AF34" s="167">
        <f t="shared" si="5"/>
        <v>18</v>
      </c>
      <c r="AG34" s="168">
        <f t="shared" si="13"/>
        <v>1999</v>
      </c>
      <c r="AH34" s="100" t="str">
        <f>VLOOKUP(AM34,[1]大運!$B$31:$C$90,2,FALSE)</f>
        <v>己卯</v>
      </c>
      <c r="AI34" s="99" t="str">
        <f>VLOOKUP($F$5&amp;"+"&amp;AM34,[1]大運!$H$45:$K$3644,3,FALSE)</f>
        <v>石門星</v>
      </c>
      <c r="AJ34" s="73"/>
      <c r="AK34" s="99" t="str">
        <f>VLOOKUP($F$5&amp;"+"&amp;AM34,[1]大運!$H$45:$K$3644,4,FALSE)</f>
        <v>天恍星</v>
      </c>
      <c r="AL34" s="73"/>
      <c r="AM34" s="171">
        <f t="shared" si="6"/>
        <v>16</v>
      </c>
      <c r="AN34" s="195"/>
      <c r="AO34" s="195"/>
      <c r="AP34" s="195"/>
      <c r="AQ34" s="100" t="str">
        <f t="shared" si="25"/>
        <v/>
      </c>
      <c r="AR34" s="172" t="str">
        <f t="shared" si="15"/>
        <v/>
      </c>
      <c r="AS34" s="172" t="str">
        <f t="shared" si="16"/>
        <v/>
      </c>
      <c r="AT34" s="172" t="str">
        <f t="shared" si="17"/>
        <v/>
      </c>
      <c r="AU34" s="49" t="str">
        <f>INDEX('12運シート'!C:C, MATCH(1, INDEX(('12運シート'!A:A=TRIM($T$42)) * ('12運シート'!B:B=TRIM(RIGHT(AE34, 1))), 0), 0))</f>
        <v>再会</v>
      </c>
      <c r="AV34" s="49" t="str">
        <f>INDEX('12運シート'!$E:$E, MATCH(1, INDEX((TRIM('12運シート'!$A:$A)=TRIM($T$42)) * (TRIM('12運シート'!$B:$B)=TRIM(AE34)), 0), 0))</f>
        <v>有頂天</v>
      </c>
      <c r="AW34" s="49" t="str">
        <f t="shared" si="18"/>
        <v>第2の絶頂期。過去の縁が繋がり、周囲を巻き込み大きな成果を出す。</v>
      </c>
      <c r="AX34" s="135"/>
      <c r="AY34" s="135"/>
      <c r="AZ34" s="166" t="str">
        <f t="shared" ca="1" si="19"/>
        <v>辰</v>
      </c>
      <c r="BA34" s="173">
        <f t="shared" ca="1" si="20"/>
        <v>46160</v>
      </c>
      <c r="BB34" s="174">
        <f t="shared" ca="1" si="7"/>
        <v>29</v>
      </c>
      <c r="BC34" s="174" t="str">
        <f ca="1">VLOOKUP(BB34,[1]大運!$B$31:$C$90,2,FALSE)</f>
        <v>壬辰</v>
      </c>
      <c r="BD34" s="174" t="str">
        <f ca="1">VLOOKUP($F$5 &amp; "+" &amp; (MOD(BA34 - DATE(2024, 1, 1), 60) + 1), [1]大運!$H$45:$K$3644, 3, FALSE)</f>
        <v>禄存星</v>
      </c>
      <c r="BE34" s="174" t="str">
        <f ca="1">VLOOKUP($F$5 &amp; "+" &amp; (MOD(BA34 - DATE(2024, 1, 1), 60) + 1), [1]大運!$H$45:$K$3644, 4, FALSE)</f>
        <v>天南星</v>
      </c>
      <c r="BF34" s="174" t="str">
        <f ca="1">VLOOKUP($F$5 &amp; "+" &amp; (MOD(BA34 - DATE(2024, 1, 1), 60) + 1), [1]大運!$H$45:$K$3644, 2, FALSE)</f>
        <v>半会</v>
      </c>
      <c r="BG34" s="174" t="str">
        <f ca="1">VLOOKUP($G$5 &amp; "+" &amp; (MOD(BA34 - DATE(2024, 1, 1), 60) + 1), [1]大運!$H$45:$K$3644, 2, FALSE)</f>
        <v>半会</v>
      </c>
      <c r="BH34" s="174" t="str">
        <f ca="1">VLOOKUP($H$5 &amp; "+" &amp; (MOD(BA34 - DATE(2024, 1, 1), 60) + 1), [1]大運!$H$45:$K$3644, 2, FALSE)</f>
        <v>支合</v>
      </c>
      <c r="BI34" s="172" t="str">
        <f t="shared" ca="1" si="21"/>
        <v/>
      </c>
      <c r="BJ34" s="172" t="str">
        <f t="shared" ca="1" si="22"/>
        <v/>
      </c>
      <c r="BK34" s="172" t="str">
        <f t="shared" ca="1" si="23"/>
        <v/>
      </c>
      <c r="BL34" s="174" t="str">
        <f ca="1">INDEX('12運シート'!C:C, MATCH(1, INDEX(('12運シート'!A:A=TRIM($T$42)) * ('12運シート'!B:B=TRIM(RIGHT(AZ34, 1))), 0), 0))</f>
        <v>財成</v>
      </c>
      <c r="BM34" s="174" t="str">
        <f ca="1">INDEX('12運シート'!$E:$E, MATCH(1, INDEX((TRIM('12運シート'!$A:$A)=TRIM($T$42)) * (TRIM('12運シート'!$B:$B)=TRIM(AZ34)), 0), 0))</f>
        <v>満天</v>
      </c>
      <c r="BN34" s="49" t="str">
        <f t="shared" ca="1" si="24"/>
        <v>収穫の喜び。物質や人脈などあらゆる財を蓄積し、強固な基盤を作る。</v>
      </c>
      <c r="BO34" s="49"/>
      <c r="BP34" s="49"/>
      <c r="BQ34" s="49"/>
      <c r="BR34" s="49"/>
      <c r="BS34" s="49"/>
      <c r="BT34" s="49"/>
      <c r="BU34" s="49"/>
      <c r="BV34" s="49"/>
      <c r="BW34" s="147"/>
      <c r="BX34" s="148"/>
      <c r="BY34" s="149"/>
      <c r="BZ34" s="140"/>
      <c r="CA34" s="149"/>
      <c r="CB34" s="149"/>
      <c r="CC34" s="149"/>
      <c r="CD34" s="148"/>
      <c r="CE34" s="149"/>
      <c r="CF34" s="150">
        <v>24</v>
      </c>
      <c r="CG34" s="49"/>
      <c r="CH34" s="49"/>
      <c r="CI34" s="49"/>
      <c r="CJ34" s="49"/>
      <c r="CK34" s="49"/>
      <c r="CL34" s="49"/>
      <c r="CM34" s="49"/>
      <c r="CN34" s="49"/>
      <c r="CO34" s="49"/>
      <c r="CP34" s="49"/>
      <c r="CQ34" s="192"/>
      <c r="CR34" s="192"/>
      <c r="CS34" s="192"/>
      <c r="CT34" s="192"/>
      <c r="CU34" s="192"/>
      <c r="CV34" s="192"/>
      <c r="CW34" s="192"/>
      <c r="CX34" s="192"/>
      <c r="CY34" s="192"/>
      <c r="CZ34" s="192"/>
      <c r="DA34" s="192"/>
      <c r="DB34" s="192"/>
      <c r="DC34" s="192"/>
      <c r="DD34" s="192"/>
      <c r="DE34" s="192"/>
      <c r="DF34" s="192"/>
      <c r="DG34" s="192"/>
      <c r="DH34" s="192"/>
      <c r="DI34" s="192"/>
      <c r="DJ34" s="49"/>
      <c r="DK34" s="67"/>
      <c r="DL34" s="180"/>
      <c r="DM34" s="68"/>
      <c r="DN34" s="68"/>
      <c r="DO34" s="68"/>
      <c r="DP34" s="68"/>
      <c r="DQ34" s="68"/>
      <c r="DR34" s="68"/>
      <c r="DS34" s="68"/>
      <c r="DT34" s="68"/>
      <c r="DU34" s="68"/>
      <c r="DV34" s="68"/>
      <c r="DW34" s="68"/>
      <c r="DX34" s="68"/>
    </row>
    <row r="35" spans="1:128" ht="18" customHeight="1">
      <c r="A35" s="49"/>
      <c r="B35" s="49"/>
      <c r="C35" s="49"/>
      <c r="D35" s="49"/>
      <c r="E35" s="49"/>
      <c r="F35" s="49"/>
      <c r="G35" s="49"/>
      <c r="H35" s="198" t="str">
        <f>[1]大運!Q6</f>
        <v>幸山運</v>
      </c>
      <c r="I35" s="198" t="str">
        <f>[1]大運!Q7</f>
        <v>他山運</v>
      </c>
      <c r="J35" s="198" t="str">
        <f>[1]大運!Q8</f>
        <v>幸山運</v>
      </c>
      <c r="K35" s="198" t="str">
        <f>[1]大運!Q9</f>
        <v>幸山運</v>
      </c>
      <c r="L35" s="198" t="str">
        <f>[1]大運!Q10</f>
        <v>幸山運</v>
      </c>
      <c r="M35" s="198" t="str">
        <f>[1]大運!Q11</f>
        <v>幸山運</v>
      </c>
      <c r="N35" s="198" t="str">
        <f>[1]大運!Q12</f>
        <v>空転運</v>
      </c>
      <c r="O35" s="198" t="str">
        <f>[1]大運!Q13</f>
        <v>幸山運</v>
      </c>
      <c r="P35" s="198" t="str">
        <f>[1]大運!Q14</f>
        <v>幸山運</v>
      </c>
      <c r="Q35" s="199"/>
      <c r="R35" s="199"/>
      <c r="S35" s="199"/>
      <c r="T35" s="11"/>
      <c r="U35" s="190"/>
      <c r="V35" s="11" t="s">
        <v>336</v>
      </c>
      <c r="W35" s="11" t="s">
        <v>337</v>
      </c>
      <c r="X35" s="191" t="s">
        <v>338</v>
      </c>
      <c r="Y35" s="192" t="s">
        <v>339</v>
      </c>
      <c r="Z35" s="192" t="s">
        <v>340</v>
      </c>
      <c r="AA35" s="191" t="s">
        <v>341</v>
      </c>
      <c r="AB35" s="191" t="s">
        <v>342</v>
      </c>
      <c r="AC35" s="192" t="s">
        <v>343</v>
      </c>
      <c r="AD35" s="192"/>
      <c r="AE35" s="166" t="str">
        <f t="shared" si="12"/>
        <v>辰</v>
      </c>
      <c r="AF35" s="167">
        <f t="shared" si="5"/>
        <v>19</v>
      </c>
      <c r="AG35" s="168">
        <f t="shared" si="13"/>
        <v>2000</v>
      </c>
      <c r="AH35" s="100" t="str">
        <f>VLOOKUP(AM35,[1]大運!$B$31:$C$90,2,FALSE)</f>
        <v>庚辰</v>
      </c>
      <c r="AI35" s="99" t="str">
        <f>VLOOKUP($F$5&amp;"+"&amp;AM35,[1]大運!$H$45:$K$3644,3,FALSE)</f>
        <v>鳳閣星</v>
      </c>
      <c r="AJ35" s="73"/>
      <c r="AK35" s="99" t="str">
        <f>VLOOKUP($F$5&amp;"+"&amp;AM35,[1]大運!$H$45:$K$3644,4,FALSE)</f>
        <v>天南星</v>
      </c>
      <c r="AL35" s="73"/>
      <c r="AM35" s="171">
        <f t="shared" si="6"/>
        <v>17</v>
      </c>
      <c r="AN35" s="164" t="str">
        <f>VLOOKUP($F$5&amp;"+"&amp;AM35,[1]大運!$H$45:$K$3644,2,FALSE)</f>
        <v>半会</v>
      </c>
      <c r="AO35" s="164" t="str">
        <f>VLOOKUP($G$5&amp;"+"&amp;AM35,[1]大運!$H$45:$K$3644,2,FALSE)</f>
        <v>半会</v>
      </c>
      <c r="AP35" s="164" t="str">
        <f>VLOOKUP($H$5&amp;"+"&amp;AM35,[1]大運!$H$45:$K$3644,2,FALSE)</f>
        <v>支合</v>
      </c>
      <c r="AQ35" s="100" t="str">
        <f t="shared" si="25"/>
        <v/>
      </c>
      <c r="AR35" s="172" t="str">
        <f t="shared" si="15"/>
        <v/>
      </c>
      <c r="AS35" s="172" t="str">
        <f t="shared" si="16"/>
        <v/>
      </c>
      <c r="AT35" s="172" t="str">
        <f t="shared" si="17"/>
        <v/>
      </c>
      <c r="AU35" s="49" t="str">
        <f>INDEX('12運シート'!C:C, MATCH(1, INDEX(('12運シート'!A:A=TRIM($T$42)) * ('12運シート'!B:B=TRIM(RIGHT(AE35, 1))), 0), 0))</f>
        <v>財成</v>
      </c>
      <c r="AV35" s="49" t="str">
        <f>INDEX('12運シート'!$E:$E, MATCH(1, INDEX((TRIM('12運シート'!$A:$A)=TRIM($T$42)) * (TRIM('12運シート'!$B:$B)=TRIM(AE35)), 0), 0))</f>
        <v>満天</v>
      </c>
      <c r="AW35" s="49" t="str">
        <f t="shared" si="18"/>
        <v>収穫の喜び。物質や人脈などあらゆる財を蓄積し、強固な基盤を作る。</v>
      </c>
      <c r="AX35" s="135"/>
      <c r="AY35" s="135"/>
      <c r="AZ35" s="166" t="str">
        <f t="shared" ca="1" si="19"/>
        <v>巳</v>
      </c>
      <c r="BA35" s="173">
        <f t="shared" ca="1" si="20"/>
        <v>46161</v>
      </c>
      <c r="BB35" s="174">
        <f t="shared" ca="1" si="7"/>
        <v>30</v>
      </c>
      <c r="BC35" s="174" t="str">
        <f ca="1">VLOOKUP(BB35,[1]大運!$B$31:$C$90,2,FALSE)</f>
        <v>癸巳</v>
      </c>
      <c r="BD35" s="174" t="str">
        <f ca="1">VLOOKUP($F$5 &amp; "+" &amp; (MOD(BA35 - DATE(2024, 1, 1), 60) + 1), [1]大運!$H$45:$K$3644, 3, FALSE)</f>
        <v>司禄星</v>
      </c>
      <c r="BE35" s="174" t="str">
        <f ca="1">VLOOKUP($F$5 &amp; "+" &amp; (MOD(BA35 - DATE(2024, 1, 1), 60) + 1), [1]大運!$H$45:$K$3644, 4, FALSE)</f>
        <v>天禄星</v>
      </c>
      <c r="BF35" s="174" t="str">
        <f ca="1">VLOOKUP($F$5 &amp; "+" &amp; (MOD(BA35 - DATE(2024, 1, 1), 60) + 1), [1]大運!$H$45:$K$3644, 2, FALSE)</f>
        <v>－</v>
      </c>
      <c r="BG35" s="174" t="str">
        <f ca="1">VLOOKUP($G$5 &amp; "+" &amp; (MOD(BA35 - DATE(2024, 1, 1), 60) + 1), [1]大運!$H$45:$K$3644, 2, FALSE)</f>
        <v>支合</v>
      </c>
      <c r="BH35" s="174" t="str">
        <f ca="1">VLOOKUP($H$5 &amp; "+" &amp; (MOD(BA35 - DATE(2024, 1, 1), 60) + 1), [1]大運!$H$45:$K$3644, 2, FALSE)</f>
        <v>半会</v>
      </c>
      <c r="BI35" s="172" t="str">
        <f t="shared" ca="1" si="21"/>
        <v>戊癸干合</v>
      </c>
      <c r="BJ35" s="172" t="str">
        <f t="shared" ca="1" si="22"/>
        <v/>
      </c>
      <c r="BK35" s="172" t="str">
        <f t="shared" ca="1" si="23"/>
        <v/>
      </c>
      <c r="BL35" s="174" t="str">
        <f ca="1">INDEX('12運シート'!C:C, MATCH(1, INDEX(('12運シート'!A:A=TRIM($T$42)) * ('12運シート'!B:B=TRIM(RIGHT(AZ35, 1))), 0), 0))</f>
        <v>充実</v>
      </c>
      <c r="BM35" s="174" t="str">
        <f ca="1">INDEX('12運シート'!$E:$E, MATCH(1, INDEX((TRIM('12運シート'!$A:$A)=TRIM($T$42)) * (TRIM('12運シート'!$B:$B)=TRIM(AZ35)), 0), 0))</f>
        <v>静天</v>
      </c>
      <c r="BN35" s="49" t="str">
        <f t="shared" ca="1" si="24"/>
        <v>成果が出揃う。精神的な安定と充実の中で平和に人生を俯瞰する時期。</v>
      </c>
      <c r="BO35" s="49"/>
      <c r="BP35" s="49"/>
      <c r="BQ35" s="49"/>
      <c r="BR35" s="49"/>
      <c r="BS35" s="49"/>
      <c r="BT35" s="49"/>
      <c r="BU35" s="49"/>
      <c r="BV35" s="49"/>
      <c r="BW35" s="147"/>
      <c r="BX35" s="148"/>
      <c r="BY35" s="149"/>
      <c r="BZ35" s="140"/>
      <c r="CA35" s="149"/>
      <c r="CB35" s="149"/>
      <c r="CC35" s="149"/>
      <c r="CD35" s="148"/>
      <c r="CE35" s="149"/>
      <c r="CF35" s="50">
        <v>25</v>
      </c>
      <c r="CG35" s="49"/>
      <c r="CH35" s="49"/>
      <c r="CI35" s="49"/>
      <c r="CJ35" s="49"/>
      <c r="CK35" s="49"/>
      <c r="CL35" s="49"/>
      <c r="CM35" s="49"/>
      <c r="CN35" s="49"/>
      <c r="CO35" s="49"/>
      <c r="CP35" s="49"/>
      <c r="CQ35" s="192"/>
      <c r="CR35" s="192"/>
      <c r="CS35" s="192"/>
      <c r="CT35" s="192"/>
      <c r="CU35" s="192"/>
      <c r="CV35" s="192"/>
      <c r="CW35" s="192"/>
      <c r="CX35" s="192"/>
      <c r="CY35" s="192"/>
      <c r="CZ35" s="192"/>
      <c r="DA35" s="192"/>
      <c r="DB35" s="192"/>
      <c r="DC35" s="192"/>
      <c r="DD35" s="192"/>
      <c r="DE35" s="192"/>
      <c r="DF35" s="192"/>
      <c r="DG35" s="192"/>
      <c r="DH35" s="192"/>
      <c r="DI35" s="192"/>
      <c r="DJ35" s="49"/>
      <c r="DK35" s="68"/>
      <c r="DL35" s="68"/>
      <c r="DM35" s="68"/>
      <c r="DN35" s="68"/>
      <c r="DO35" s="68"/>
      <c r="DP35" s="68"/>
      <c r="DQ35" s="68"/>
      <c r="DR35" s="68"/>
      <c r="DS35" s="68"/>
      <c r="DT35" s="68"/>
      <c r="DU35" s="68"/>
      <c r="DV35" s="68"/>
      <c r="DW35" s="68"/>
      <c r="DX35" s="68"/>
    </row>
    <row r="36" spans="1:128" ht="18" customHeight="1">
      <c r="A36" s="49"/>
      <c r="B36" s="49"/>
      <c r="C36" s="49"/>
      <c r="D36" s="49"/>
      <c r="E36" s="49"/>
      <c r="F36" s="49"/>
      <c r="G36" s="49"/>
      <c r="H36" s="49"/>
      <c r="I36" s="49"/>
      <c r="J36" s="49"/>
      <c r="K36" s="49"/>
      <c r="L36" s="49"/>
      <c r="M36" s="49"/>
      <c r="N36" s="49"/>
      <c r="O36" s="49"/>
      <c r="P36" s="49"/>
      <c r="Q36" s="49"/>
      <c r="R36" s="49"/>
      <c r="S36" s="49"/>
      <c r="T36" s="11" t="s">
        <v>344</v>
      </c>
      <c r="U36" s="190" t="s">
        <v>345</v>
      </c>
      <c r="V36" s="11" t="s">
        <v>346</v>
      </c>
      <c r="W36" s="11" t="s">
        <v>347</v>
      </c>
      <c r="X36" s="191" t="s">
        <v>348</v>
      </c>
      <c r="Y36" s="192" t="s">
        <v>349</v>
      </c>
      <c r="Z36" s="192" t="s">
        <v>350</v>
      </c>
      <c r="AA36" s="191" t="s">
        <v>351</v>
      </c>
      <c r="AB36" s="191" t="s">
        <v>352</v>
      </c>
      <c r="AC36" s="192" t="s">
        <v>353</v>
      </c>
      <c r="AD36" s="192"/>
      <c r="AE36" s="166" t="str">
        <f t="shared" si="12"/>
        <v>巳</v>
      </c>
      <c r="AF36" s="167">
        <f t="shared" si="5"/>
        <v>20</v>
      </c>
      <c r="AG36" s="168">
        <f t="shared" si="13"/>
        <v>2001</v>
      </c>
      <c r="AH36" s="100" t="str">
        <f>VLOOKUP(AM36,[1]大運!$B$31:$C$90,2,FALSE)</f>
        <v>辛巳</v>
      </c>
      <c r="AI36" s="99" t="str">
        <f>VLOOKUP($F$5&amp;"+"&amp;AM36,[1]大運!$H$45:$K$3644,3,FALSE)</f>
        <v>調舒星</v>
      </c>
      <c r="AJ36" s="73"/>
      <c r="AK36" s="99" t="str">
        <f>VLOOKUP($F$5&amp;"+"&amp;AM36,[1]大運!$H$45:$K$3644,4,FALSE)</f>
        <v>天禄星</v>
      </c>
      <c r="AL36" s="73"/>
      <c r="AM36" s="171">
        <f t="shared" si="6"/>
        <v>18</v>
      </c>
      <c r="AN36" s="164" t="str">
        <f>VLOOKUP($F$5&amp;"+"&amp;AM36,[1]大運!$H$45:$K$3644,2,FALSE)</f>
        <v>－</v>
      </c>
      <c r="AO36" s="164" t="str">
        <f>VLOOKUP($G$5&amp;"+"&amp;AM36,[1]大運!$H$45:$K$3644,2,FALSE)</f>
        <v>支合</v>
      </c>
      <c r="AP36" s="164" t="str">
        <f>VLOOKUP($H$5&amp;"+"&amp;AM36,[1]大運!$H$45:$K$3644,2,FALSE)</f>
        <v>大半会</v>
      </c>
      <c r="AQ36" s="100" t="str">
        <f t="shared" si="25"/>
        <v>月</v>
      </c>
      <c r="AR36" s="172" t="str">
        <f t="shared" si="15"/>
        <v/>
      </c>
      <c r="AS36" s="172" t="str">
        <f t="shared" si="16"/>
        <v>丙辛干合</v>
      </c>
      <c r="AT36" s="172" t="str">
        <f t="shared" si="17"/>
        <v/>
      </c>
      <c r="AU36" s="49" t="str">
        <f>INDEX('12運シート'!C:C, MATCH(1, INDEX(('12運シート'!A:A=TRIM($T$42)) * ('12運シート'!B:B=TRIM(RIGHT(AE36, 1))), 0), 0))</f>
        <v>充実</v>
      </c>
      <c r="AV36" s="49" t="str">
        <f>INDEX('12運シート'!$E:$E, MATCH(1, INDEX((TRIM('12運シート'!$A:$A)=TRIM($T$42)) * (TRIM('12運シート'!$B:$B)=TRIM(AE36)), 0), 0))</f>
        <v>静天</v>
      </c>
      <c r="AW36" s="49" t="str">
        <f t="shared" si="18"/>
        <v>成果が出揃う。精神的な安定と充実の中で平和に人生を俯瞰する時期。</v>
      </c>
      <c r="AX36" s="135"/>
      <c r="AY36" s="135"/>
      <c r="AZ36" s="166" t="str">
        <f t="shared" ca="1" si="19"/>
        <v>午</v>
      </c>
      <c r="BA36" s="173">
        <f t="shared" ca="1" si="20"/>
        <v>46162</v>
      </c>
      <c r="BB36" s="174">
        <f t="shared" ca="1" si="7"/>
        <v>31</v>
      </c>
      <c r="BC36" s="174" t="str">
        <f ca="1">VLOOKUP(BB36,[1]大運!$B$31:$C$90,2,FALSE)</f>
        <v>甲午</v>
      </c>
      <c r="BD36" s="174" t="str">
        <f ca="1">VLOOKUP($F$5 &amp; "+" &amp; (MOD(BA36 - DATE(2024, 1, 1), 60) + 1), [1]大運!$H$45:$K$3644, 3, FALSE)</f>
        <v>車騎星</v>
      </c>
      <c r="BE36" s="174" t="str">
        <f ca="1">VLOOKUP($F$5 &amp; "+" &amp; (MOD(BA36 - DATE(2024, 1, 1), 60) + 1), [1]大運!$H$45:$K$3644, 4, FALSE)</f>
        <v>天将星</v>
      </c>
      <c r="BF36" s="174" t="str">
        <f ca="1">VLOOKUP($F$5 &amp; "+" &amp; (MOD(BA36 - DATE(2024, 1, 1), 60) + 1), [1]大運!$H$45:$K$3644, 2, FALSE)</f>
        <v>天剋地冲</v>
      </c>
      <c r="BG36" s="174" t="str">
        <f ca="1">VLOOKUP($G$5 &amp; "+" &amp; (MOD(BA36 - DATE(2024, 1, 1), 60) + 1), [1]大運!$H$45:$K$3644, 2, FALSE)</f>
        <v>－</v>
      </c>
      <c r="BH36" s="174" t="str">
        <f ca="1">VLOOKUP($H$5 &amp; "+" &amp; (MOD(BA36 - DATE(2024, 1, 1), 60) + 1), [1]大運!$H$45:$K$3644, 2, FALSE)</f>
        <v>－</v>
      </c>
      <c r="BI36" s="172" t="str">
        <f t="shared" ca="1" si="21"/>
        <v/>
      </c>
      <c r="BJ36" s="172" t="str">
        <f t="shared" ca="1" si="22"/>
        <v/>
      </c>
      <c r="BK36" s="172" t="str">
        <f t="shared" ca="1" si="23"/>
        <v/>
      </c>
      <c r="BL36" s="174" t="str">
        <f ca="1">INDEX('12運シート'!C:C, MATCH(1, INDEX(('12運シート'!A:A=TRIM($T$42)) * ('12運シート'!B:B=TRIM(RIGHT(AZ36, 1))), 0), 0))</f>
        <v>陰影</v>
      </c>
      <c r="BM36" s="174" t="str">
        <f ca="1">INDEX('12運シート'!$E:$E, MATCH(1, INDEX((TRIM('12運シート'!$A:$A)=TRIM($T$42)) * (TRIM('12運シート'!$B:$B)=TRIM(AZ36)), 0), 0))</f>
        <v>暗天</v>
      </c>
      <c r="BN36" s="49" t="str">
        <f t="shared" ca="1" si="24"/>
        <v>運気下降（運の冬入り）。孤独を感じやすいが水面下の自己鍛錬が必要。</v>
      </c>
      <c r="BO36" s="49"/>
      <c r="BP36" s="49"/>
      <c r="BQ36" s="49"/>
      <c r="BR36" s="49"/>
      <c r="BS36" s="49"/>
      <c r="BT36" s="49"/>
      <c r="BU36" s="49"/>
      <c r="BV36" s="49"/>
      <c r="BW36" s="147"/>
      <c r="BX36" s="148"/>
      <c r="BY36" s="149"/>
      <c r="BZ36" s="140"/>
      <c r="CA36" s="149"/>
      <c r="CB36" s="149"/>
      <c r="CC36" s="149"/>
      <c r="CD36" s="148"/>
      <c r="CE36" s="149"/>
      <c r="CF36" s="150">
        <v>26</v>
      </c>
      <c r="CG36" s="49"/>
      <c r="CH36" s="49"/>
      <c r="CI36" s="49"/>
      <c r="CJ36" s="49"/>
      <c r="CK36" s="49"/>
      <c r="CL36" s="49"/>
      <c r="CM36" s="49"/>
      <c r="CN36" s="49"/>
      <c r="CO36" s="49"/>
      <c r="CP36" s="49"/>
      <c r="CQ36" s="192"/>
      <c r="CR36" s="192"/>
      <c r="CS36" s="192"/>
      <c r="CT36" s="192"/>
      <c r="CU36" s="192"/>
      <c r="CV36" s="192"/>
      <c r="CW36" s="192"/>
      <c r="CX36" s="192"/>
      <c r="CY36" s="192"/>
      <c r="CZ36" s="192"/>
      <c r="DA36" s="192"/>
      <c r="DB36" s="192"/>
      <c r="DC36" s="192"/>
      <c r="DD36" s="192"/>
      <c r="DE36" s="192"/>
      <c r="DF36" s="192"/>
      <c r="DG36" s="192"/>
      <c r="DH36" s="192"/>
      <c r="DI36" s="192"/>
      <c r="DJ36" s="49"/>
      <c r="DK36" s="68"/>
      <c r="DL36" s="68"/>
      <c r="DM36" s="68"/>
      <c r="DN36" s="68"/>
      <c r="DO36" s="68"/>
      <c r="DP36" s="68"/>
      <c r="DQ36" s="68"/>
      <c r="DR36" s="68"/>
      <c r="DS36" s="68"/>
      <c r="DT36" s="68"/>
      <c r="DU36" s="68"/>
      <c r="DV36" s="68"/>
      <c r="DW36" s="68"/>
      <c r="DX36" s="68"/>
    </row>
    <row r="37" spans="1:128" ht="18" customHeight="1">
      <c r="A37" s="49"/>
      <c r="B37" s="49"/>
      <c r="C37" s="49"/>
      <c r="D37" s="49"/>
      <c r="E37" s="49"/>
      <c r="F37" s="200" t="str">
        <f>VLOOKUP(M143&amp;N143,J143:K167,2,FALSE)</f>
        <v xml:space="preserve">月支が身弱の場合・・これは「混迷の中で救われる」という意味を持ちます。なかなかまとまりのある形を作りにくいパターンです。職業変化や生活環境の変化が起こりやすく、混迷している感じになります。ただ、人に好かれやすい性質を持つようになり、窮地においても助けられることが多くなります。追い込まれたら、だれでもいいから人にすがれば、周りが助けてくれます。
月支が身強の場合・・運勢の波も人間性も大きくなります。人生のスケールが大きくなって、プラス面もマイナス面も大きいという、激しいものになります。「天国か地獄か」というパターンです。最上を極めたかと思えば、最下へと急降下することもあれば、地獄から天国へと舞い上がることもあります。
</v>
      </c>
      <c r="G37" s="127"/>
      <c r="H37" s="127"/>
      <c r="I37" s="127"/>
      <c r="J37" s="127"/>
      <c r="K37" s="127"/>
      <c r="L37" s="127"/>
      <c r="M37" s="127"/>
      <c r="N37" s="127"/>
      <c r="O37" s="127"/>
      <c r="P37" s="131"/>
      <c r="Q37" s="201"/>
      <c r="R37" s="201"/>
      <c r="S37" s="201"/>
      <c r="T37" s="189" t="s">
        <v>354</v>
      </c>
      <c r="U37" s="190" t="s">
        <v>355</v>
      </c>
      <c r="V37" s="11" t="s">
        <v>356</v>
      </c>
      <c r="W37" s="11" t="s">
        <v>357</v>
      </c>
      <c r="X37" s="191" t="s">
        <v>358</v>
      </c>
      <c r="Y37" s="192" t="s">
        <v>359</v>
      </c>
      <c r="Z37" s="192" t="s">
        <v>360</v>
      </c>
      <c r="AA37" s="191" t="s">
        <v>361</v>
      </c>
      <c r="AB37" s="191" t="s">
        <v>362</v>
      </c>
      <c r="AC37" s="192" t="s">
        <v>363</v>
      </c>
      <c r="AD37" s="192"/>
      <c r="AE37" s="166" t="str">
        <f t="shared" si="12"/>
        <v>午</v>
      </c>
      <c r="AF37" s="167">
        <f t="shared" si="5"/>
        <v>21</v>
      </c>
      <c r="AG37" s="168">
        <f t="shared" si="13"/>
        <v>2002</v>
      </c>
      <c r="AH37" s="100" t="str">
        <f>VLOOKUP(AM37,[1]大運!$B$31:$C$90,2,FALSE)</f>
        <v>壬午</v>
      </c>
      <c r="AI37" s="99" t="str">
        <f>VLOOKUP($F$5&amp;"+"&amp;AM37,[1]大運!$H$45:$K$3644,3,FALSE)</f>
        <v>禄存星</v>
      </c>
      <c r="AJ37" s="73"/>
      <c r="AK37" s="99" t="str">
        <f>VLOOKUP($F$5&amp;"+"&amp;AM37,[1]大運!$H$45:$K$3644,4,FALSE)</f>
        <v>天将星</v>
      </c>
      <c r="AL37" s="73"/>
      <c r="AM37" s="171">
        <f t="shared" si="6"/>
        <v>19</v>
      </c>
      <c r="AN37" s="164" t="str">
        <f>VLOOKUP($F$5&amp;"+"&amp;AM37,[1]大運!$H$45:$K$3644,2,FALSE)</f>
        <v>天剋地冲</v>
      </c>
      <c r="AO37" s="164" t="str">
        <f>VLOOKUP($G$5&amp;"+"&amp;AM37,[1]大運!$H$45:$K$3644,2,FALSE)</f>
        <v>－</v>
      </c>
      <c r="AP37" s="164" t="str">
        <f>VLOOKUP($H$5&amp;"+"&amp;AM37,[1]大運!$H$45:$K$3644,2,FALSE)</f>
        <v>－</v>
      </c>
      <c r="AQ37" s="100" t="str">
        <f t="shared" si="25"/>
        <v>殺</v>
      </c>
      <c r="AR37" s="172" t="str">
        <f t="shared" si="15"/>
        <v/>
      </c>
      <c r="AS37" s="172" t="str">
        <f t="shared" si="16"/>
        <v/>
      </c>
      <c r="AT37" s="172" t="str">
        <f t="shared" si="17"/>
        <v/>
      </c>
      <c r="AU37" s="49" t="str">
        <f>INDEX('12運シート'!C:C, MATCH(1, INDEX(('12運シート'!A:A=TRIM($T$42)) * ('12運シート'!B:B=TRIM(RIGHT(AE37, 1))), 0), 0))</f>
        <v>陰影</v>
      </c>
      <c r="AV37" s="49" t="str">
        <f>INDEX('12運シート'!$E:$E, MATCH(1, INDEX((TRIM('12運シート'!$A:$A)=TRIM($T$42)) * (TRIM('12運シート'!$B:$B)=TRIM(AE37)), 0), 0))</f>
        <v>暗天</v>
      </c>
      <c r="AW37" s="49" t="str">
        <f t="shared" si="18"/>
        <v>運気下降（運の冬入り）。孤独を感じやすいが水面下の自己鍛錬が必要。</v>
      </c>
      <c r="AX37" s="192"/>
      <c r="AY37" s="192"/>
      <c r="AZ37" s="166" t="str">
        <f t="shared" ca="1" si="19"/>
        <v>未</v>
      </c>
      <c r="BA37" s="173">
        <f t="shared" ca="1" si="20"/>
        <v>46163</v>
      </c>
      <c r="BB37" s="174">
        <f t="shared" ca="1" si="7"/>
        <v>32</v>
      </c>
      <c r="BC37" s="174" t="str">
        <f ca="1">VLOOKUP(BB37,[1]大運!$B$31:$C$90,2,FALSE)</f>
        <v>乙未</v>
      </c>
      <c r="BD37" s="174" t="str">
        <f ca="1">VLOOKUP($F$5 &amp; "+" &amp; (MOD(BA37 - DATE(2024, 1, 1), 60) + 1), [1]大運!$H$45:$K$3644, 3, FALSE)</f>
        <v>牽牛星</v>
      </c>
      <c r="BE37" s="174" t="str">
        <f ca="1">VLOOKUP($F$5 &amp; "+" &amp; (MOD(BA37 - DATE(2024, 1, 1), 60) + 1), [1]大運!$H$45:$K$3644, 4, FALSE)</f>
        <v>天堂星</v>
      </c>
      <c r="BF37" s="174" t="str">
        <f ca="1">VLOOKUP($F$5 &amp; "+" &amp; (MOD(BA37 - DATE(2024, 1, 1), 60) + 1), [1]大運!$H$45:$K$3644, 2, FALSE)</f>
        <v>害</v>
      </c>
      <c r="BG37" s="174" t="str">
        <f ca="1">VLOOKUP($G$5 &amp; "+" &amp; (MOD(BA37 - DATE(2024, 1, 1), 60) + 1), [1]大運!$H$45:$K$3644, 2, FALSE)</f>
        <v>－</v>
      </c>
      <c r="BH37" s="174" t="str">
        <f ca="1">VLOOKUP($H$5 &amp; "+" &amp; (MOD(BA37 - DATE(2024, 1, 1), 60) + 1), [1]大運!$H$45:$K$3644, 2, FALSE)</f>
        <v>－</v>
      </c>
      <c r="BI37" s="172" t="str">
        <f t="shared" ca="1" si="21"/>
        <v/>
      </c>
      <c r="BJ37" s="172" t="str">
        <f t="shared" ca="1" si="22"/>
        <v/>
      </c>
      <c r="BK37" s="172" t="str">
        <f t="shared" ca="1" si="23"/>
        <v/>
      </c>
      <c r="BL37" s="174" t="str">
        <f ca="1">INDEX('12運シート'!C:C, MATCH(1, INDEX(('12運シート'!A:A=TRIM($T$42)) * ('12運シート'!B:B=TRIM(RIGHT(AZ37, 1))), 0), 0))</f>
        <v>停止</v>
      </c>
      <c r="BM37" s="174" t="str">
        <f ca="1">INDEX('12運シート'!$E:$E, MATCH(1, INDEX((TRIM('12運シート'!$A:$A)=TRIM($T$42)) * (TRIM('12運シート'!$B:$B)=TRIM(AZ37)), 0), 0))</f>
        <v>大曇天</v>
      </c>
      <c r="BN37" s="49" t="str">
        <f t="shared" ca="1" si="24"/>
        <v>運命の停止（運の真冬時期）。古い価値観を手放す究極の浄化期間。</v>
      </c>
      <c r="BO37" s="49"/>
      <c r="BP37" s="49"/>
      <c r="BQ37" s="49"/>
      <c r="BR37" s="49"/>
      <c r="BS37" s="49"/>
      <c r="BT37" s="49"/>
      <c r="BU37" s="49"/>
      <c r="BV37" s="49"/>
      <c r="BW37" s="147"/>
      <c r="BX37" s="148"/>
      <c r="BY37" s="149"/>
      <c r="BZ37" s="140"/>
      <c r="CA37" s="149"/>
      <c r="CB37" s="149"/>
      <c r="CC37" s="149"/>
      <c r="CD37" s="148"/>
      <c r="CE37" s="149"/>
      <c r="CF37" s="50">
        <v>27</v>
      </c>
      <c r="CG37" s="49"/>
      <c r="CH37" s="49"/>
      <c r="CI37" s="49"/>
      <c r="CJ37" s="49"/>
      <c r="CK37" s="49"/>
      <c r="CL37" s="49"/>
      <c r="CM37" s="49"/>
      <c r="CN37" s="49"/>
      <c r="CO37" s="49"/>
      <c r="CP37" s="49"/>
      <c r="CQ37" s="192"/>
      <c r="CR37" s="192"/>
      <c r="CS37" s="192"/>
      <c r="CT37" s="192"/>
      <c r="CU37" s="192"/>
      <c r="CV37" s="192"/>
      <c r="CW37" s="192"/>
      <c r="CX37" s="192"/>
      <c r="CY37" s="192"/>
      <c r="CZ37" s="192"/>
      <c r="DA37" s="192"/>
      <c r="DB37" s="192"/>
      <c r="DC37" s="192"/>
      <c r="DD37" s="192"/>
      <c r="DE37" s="192"/>
      <c r="DF37" s="192"/>
      <c r="DG37" s="192"/>
      <c r="DH37" s="192"/>
      <c r="DI37" s="192"/>
      <c r="DJ37" s="49"/>
      <c r="DK37" s="63"/>
      <c r="DL37" s="192"/>
      <c r="DM37" s="192"/>
      <c r="DN37" s="192"/>
      <c r="DO37" s="192"/>
      <c r="DP37" s="192"/>
      <c r="DQ37" s="192"/>
      <c r="DR37" s="192"/>
      <c r="DS37" s="192"/>
      <c r="DT37" s="192"/>
      <c r="DU37" s="192"/>
      <c r="DV37" s="192"/>
      <c r="DW37" s="192"/>
      <c r="DX37" s="192"/>
    </row>
    <row r="38" spans="1:128" ht="18" customHeight="1">
      <c r="A38" s="49"/>
      <c r="B38" s="49"/>
      <c r="C38" s="49"/>
      <c r="D38" s="49"/>
      <c r="E38" s="49"/>
      <c r="F38" s="202"/>
      <c r="G38" s="68"/>
      <c r="H38" s="68"/>
      <c r="I38" s="68"/>
      <c r="J38" s="68"/>
      <c r="K38" s="68"/>
      <c r="L38" s="68"/>
      <c r="M38" s="68"/>
      <c r="N38" s="68"/>
      <c r="O38" s="68"/>
      <c r="P38" s="203"/>
      <c r="Q38" s="201"/>
      <c r="R38" s="201"/>
      <c r="S38" s="201"/>
      <c r="T38" s="11" t="s">
        <v>364</v>
      </c>
      <c r="U38" s="204" t="s">
        <v>365</v>
      </c>
      <c r="V38" s="11" t="s">
        <v>366</v>
      </c>
      <c r="W38" s="11" t="s">
        <v>367</v>
      </c>
      <c r="X38" s="191" t="s">
        <v>368</v>
      </c>
      <c r="Y38" s="192" t="s">
        <v>369</v>
      </c>
      <c r="Z38" s="192" t="s">
        <v>370</v>
      </c>
      <c r="AA38" s="191" t="s">
        <v>371</v>
      </c>
      <c r="AB38" s="191" t="s">
        <v>372</v>
      </c>
      <c r="AC38" s="192" t="s">
        <v>373</v>
      </c>
      <c r="AD38" s="192"/>
      <c r="AE38" s="166" t="str">
        <f t="shared" si="12"/>
        <v>未</v>
      </c>
      <c r="AF38" s="167">
        <f t="shared" si="5"/>
        <v>22</v>
      </c>
      <c r="AG38" s="168">
        <f t="shared" si="13"/>
        <v>2003</v>
      </c>
      <c r="AH38" s="100" t="str">
        <f>VLOOKUP(AM38,[1]大運!$B$31:$C$90,2,FALSE)</f>
        <v>癸未</v>
      </c>
      <c r="AI38" s="99" t="str">
        <f>VLOOKUP($F$5&amp;"+"&amp;AM38,[1]大運!$H$45:$K$3644,3,FALSE)</f>
        <v>司禄星</v>
      </c>
      <c r="AJ38" s="73"/>
      <c r="AK38" s="99" t="str">
        <f>VLOOKUP($F$5&amp;"+"&amp;AM38,[1]大運!$H$45:$K$3644,4,FALSE)</f>
        <v>天堂星</v>
      </c>
      <c r="AL38" s="73"/>
      <c r="AM38" s="171">
        <f t="shared" si="6"/>
        <v>20</v>
      </c>
      <c r="AN38" s="195"/>
      <c r="AO38" s="195"/>
      <c r="AP38" s="195"/>
      <c r="AQ38" s="100" t="str">
        <f t="shared" si="25"/>
        <v>殺日</v>
      </c>
      <c r="AR38" s="172" t="str">
        <f t="shared" si="15"/>
        <v>戊癸干合</v>
      </c>
      <c r="AS38" s="172" t="str">
        <f t="shared" si="16"/>
        <v/>
      </c>
      <c r="AT38" s="172" t="str">
        <f t="shared" si="17"/>
        <v/>
      </c>
      <c r="AU38" s="49" t="str">
        <f>INDEX('12運シート'!C:C, MATCH(1, INDEX(('12運シート'!A:A=TRIM($T$42)) * ('12運シート'!B:B=TRIM(RIGHT(AE38, 1))), 0), 0))</f>
        <v>停止</v>
      </c>
      <c r="AV38" s="49" t="str">
        <f>INDEX('12運シート'!$E:$E, MATCH(1, INDEX((TRIM('12運シート'!$A:$A)=TRIM($T$42)) * (TRIM('12運シート'!$B:$B)=TRIM(AE38)), 0), 0))</f>
        <v>大曇天</v>
      </c>
      <c r="AW38" s="49" t="str">
        <f t="shared" si="18"/>
        <v>運命の停止（運の真冬時期）。古い価値観を手放す究極の浄化期間。</v>
      </c>
      <c r="AX38" s="135"/>
      <c r="AY38" s="135"/>
      <c r="AZ38" s="166" t="str">
        <f t="shared" ca="1" si="19"/>
        <v>申</v>
      </c>
      <c r="BA38" s="173">
        <f t="shared" ca="1" si="20"/>
        <v>46164</v>
      </c>
      <c r="BB38" s="174">
        <f t="shared" ca="1" si="7"/>
        <v>33</v>
      </c>
      <c r="BC38" s="174" t="str">
        <f ca="1">VLOOKUP(BB38,[1]大運!$B$31:$C$90,2,FALSE)</f>
        <v>丙申</v>
      </c>
      <c r="BD38" s="174" t="str">
        <f ca="1">VLOOKUP($F$5 &amp; "+" &amp; (MOD(BA38 - DATE(2024, 1, 1), 60) + 1), [1]大運!$H$45:$K$3644, 3, FALSE)</f>
        <v>龍高星</v>
      </c>
      <c r="BE38" s="174" t="str">
        <f ca="1">VLOOKUP($F$5 &amp; "+" &amp; (MOD(BA38 - DATE(2024, 1, 1), 60) + 1), [1]大運!$H$45:$K$3644, 4, FALSE)</f>
        <v>天胡星</v>
      </c>
      <c r="BF38" s="174" t="str">
        <f ca="1">VLOOKUP($F$5 &amp; "+" &amp; (MOD(BA38 - DATE(2024, 1, 1), 60) + 1), [1]大運!$H$45:$K$3644, 2, FALSE)</f>
        <v>半会</v>
      </c>
      <c r="BG38" s="174" t="str">
        <f ca="1">VLOOKUP($G$5 &amp; "+" &amp; (MOD(BA38 - DATE(2024, 1, 1), 60) + 1), [1]大運!$H$45:$K$3644, 2, FALSE)</f>
        <v>律音</v>
      </c>
      <c r="BH38" s="174" t="str">
        <f ca="1">VLOOKUP($H$5 &amp; "+" &amp; (MOD(BA38 - DATE(2024, 1, 1), 60) + 1), [1]大運!$H$45:$K$3644, 2, FALSE)</f>
        <v>準方位</v>
      </c>
      <c r="BI38" s="172" t="str">
        <f t="shared" ca="1" si="21"/>
        <v/>
      </c>
      <c r="BJ38" s="172" t="str">
        <f t="shared" ca="1" si="22"/>
        <v/>
      </c>
      <c r="BK38" s="172" t="str">
        <f t="shared" ca="1" si="23"/>
        <v>丙辛干合</v>
      </c>
      <c r="BL38" s="174" t="str">
        <f ca="1">INDEX('12運シート'!C:C, MATCH(1, INDEX(('12運シート'!A:A=TRIM($T$42)) * ('12運シート'!B:B=TRIM(RIGHT(AZ38, 1))), 0), 0))</f>
        <v>減退</v>
      </c>
      <c r="BM38" s="174" t="str">
        <f ca="1">INDEX('12運シート'!$E:$E, MATCH(1, INDEX((TRIM('12運シート'!$A:$A)=TRIM($T$42)) * (TRIM('12運シート'!$B:$B)=TRIM(AZ38)), 0), 0))</f>
        <v>雨天</v>
      </c>
      <c r="BN38" s="49" t="str">
        <f t="shared" ca="1" si="24"/>
        <v>カルマの精算。過去の執着をすべて洗い流し、次の春への準備を整える。</v>
      </c>
      <c r="BO38" s="49"/>
      <c r="BP38" s="49"/>
      <c r="BQ38" s="49"/>
      <c r="BR38" s="49"/>
      <c r="BS38" s="49"/>
      <c r="BT38" s="49"/>
      <c r="BU38" s="49"/>
      <c r="BV38" s="49"/>
      <c r="BW38" s="147"/>
      <c r="BX38" s="148"/>
      <c r="BY38" s="149"/>
      <c r="BZ38" s="140"/>
      <c r="CA38" s="149"/>
      <c r="CB38" s="149"/>
      <c r="CC38" s="149"/>
      <c r="CD38" s="148"/>
      <c r="CE38" s="149"/>
      <c r="CF38" s="150">
        <v>28</v>
      </c>
      <c r="CG38" s="49"/>
      <c r="CH38" s="49"/>
      <c r="CI38" s="49"/>
      <c r="CJ38" s="49"/>
      <c r="CK38" s="49"/>
      <c r="CL38" s="49"/>
      <c r="CM38" s="49"/>
      <c r="CN38" s="49"/>
      <c r="CO38" s="49"/>
      <c r="CP38" s="49"/>
      <c r="CQ38" s="192"/>
      <c r="CR38" s="192"/>
      <c r="CS38" s="192"/>
      <c r="CT38" s="192"/>
      <c r="CU38" s="192"/>
      <c r="CV38" s="192"/>
      <c r="CW38" s="192"/>
      <c r="CX38" s="192"/>
      <c r="CY38" s="192"/>
      <c r="CZ38" s="192"/>
      <c r="DA38" s="192"/>
      <c r="DB38" s="192"/>
      <c r="DC38" s="192"/>
      <c r="DD38" s="192"/>
      <c r="DE38" s="192"/>
      <c r="DF38" s="192"/>
      <c r="DG38" s="192"/>
      <c r="DH38" s="192"/>
      <c r="DI38" s="192"/>
      <c r="DJ38" s="49"/>
      <c r="DK38" s="67"/>
      <c r="DL38" s="180"/>
      <c r="DM38" s="68"/>
      <c r="DN38" s="68"/>
      <c r="DO38" s="68"/>
      <c r="DP38" s="68"/>
      <c r="DQ38" s="68"/>
      <c r="DR38" s="68"/>
      <c r="DS38" s="68"/>
      <c r="DT38" s="68"/>
      <c r="DU38" s="68"/>
      <c r="DV38" s="68"/>
      <c r="DW38" s="68"/>
      <c r="DX38" s="68"/>
    </row>
    <row r="39" spans="1:128" ht="18" customHeight="1">
      <c r="A39" s="49"/>
      <c r="B39" s="49"/>
      <c r="C39" s="49"/>
      <c r="D39" s="49"/>
      <c r="E39" s="49"/>
      <c r="F39" s="202"/>
      <c r="G39" s="68"/>
      <c r="H39" s="68"/>
      <c r="I39" s="68"/>
      <c r="J39" s="68"/>
      <c r="K39" s="68"/>
      <c r="L39" s="68"/>
      <c r="M39" s="68"/>
      <c r="N39" s="68"/>
      <c r="O39" s="68"/>
      <c r="P39" s="203"/>
      <c r="Q39" s="201"/>
      <c r="R39" s="201"/>
      <c r="S39" s="201"/>
      <c r="T39" s="11" t="s">
        <v>374</v>
      </c>
      <c r="U39" s="190" t="s">
        <v>375</v>
      </c>
      <c r="V39" s="11" t="s">
        <v>376</v>
      </c>
      <c r="W39" s="11" t="s">
        <v>377</v>
      </c>
      <c r="X39" s="191" t="s">
        <v>378</v>
      </c>
      <c r="Y39" s="192" t="s">
        <v>379</v>
      </c>
      <c r="Z39" s="192" t="s">
        <v>380</v>
      </c>
      <c r="AA39" s="191" t="s">
        <v>381</v>
      </c>
      <c r="AB39" s="191" t="s">
        <v>382</v>
      </c>
      <c r="AC39" s="192" t="s">
        <v>383</v>
      </c>
      <c r="AD39" s="192"/>
      <c r="AE39" s="166" t="str">
        <f t="shared" si="12"/>
        <v>申</v>
      </c>
      <c r="AF39" s="167">
        <f t="shared" si="5"/>
        <v>23</v>
      </c>
      <c r="AG39" s="168">
        <f t="shared" si="13"/>
        <v>2004</v>
      </c>
      <c r="AH39" s="100" t="str">
        <f>VLOOKUP(AM39,[1]大運!$B$31:$C$90,2,FALSE)</f>
        <v>甲申</v>
      </c>
      <c r="AI39" s="99" t="str">
        <f>VLOOKUP($F$5&amp;"+"&amp;AM39,[1]大運!$H$45:$K$3644,3,FALSE)</f>
        <v>車騎星</v>
      </c>
      <c r="AJ39" s="73"/>
      <c r="AK39" s="99" t="str">
        <f>VLOOKUP($F$5&amp;"+"&amp;AM39,[1]大運!$H$45:$K$3644,4,FALSE)</f>
        <v>天胡星</v>
      </c>
      <c r="AL39" s="73"/>
      <c r="AM39" s="171">
        <f t="shared" si="6"/>
        <v>21</v>
      </c>
      <c r="AN39" s="164" t="str">
        <f>VLOOKUP($F$5&amp;"+"&amp;AM39,[1]大運!$H$45:$K$3644,2,FALSE)</f>
        <v>半会</v>
      </c>
      <c r="AO39" s="164" t="str">
        <f>VLOOKUP($G$5&amp;"+"&amp;AM39,[1]大運!$H$45:$K$3644,2,FALSE)</f>
        <v>同</v>
      </c>
      <c r="AP39" s="164" t="str">
        <f>VLOOKUP($H$5&amp;"+"&amp;AM39,[1]大運!$H$45:$K$3644,2,FALSE)</f>
        <v>準方位</v>
      </c>
      <c r="AQ39" s="100" t="str">
        <f t="shared" si="25"/>
        <v/>
      </c>
      <c r="AR39" s="172" t="str">
        <f t="shared" si="15"/>
        <v/>
      </c>
      <c r="AS39" s="172" t="str">
        <f t="shared" si="16"/>
        <v/>
      </c>
      <c r="AT39" s="172" t="str">
        <f t="shared" si="17"/>
        <v/>
      </c>
      <c r="AU39" s="49" t="str">
        <f>INDEX('12運シート'!C:C, MATCH(1, INDEX(('12運シート'!A:A=TRIM($T$42)) * ('12運シート'!B:B=TRIM(RIGHT(AE39, 1))), 0), 0))</f>
        <v>減退</v>
      </c>
      <c r="AV39" s="49" t="str">
        <f>INDEX('12運シート'!$E:$E, MATCH(1, INDEX((TRIM('12運シート'!$A:$A)=TRIM($T$42)) * (TRIM('12運シート'!$B:$B)=TRIM(AE39)), 0), 0))</f>
        <v>雨天</v>
      </c>
      <c r="AW39" s="49" t="str">
        <f t="shared" si="18"/>
        <v>カルマの精算。過去の執着をすべて洗い流し、次の春への準備を整える。</v>
      </c>
      <c r="AX39" s="135"/>
      <c r="AY39" s="135"/>
      <c r="AZ39" s="166" t="str">
        <f t="shared" ca="1" si="19"/>
        <v>酉</v>
      </c>
      <c r="BA39" s="173">
        <f t="shared" ca="1" si="20"/>
        <v>46165</v>
      </c>
      <c r="BB39" s="174">
        <f t="shared" ca="1" si="7"/>
        <v>34</v>
      </c>
      <c r="BC39" s="174" t="str">
        <f ca="1">VLOOKUP(BB39,[1]大運!$B$31:$C$90,2,FALSE)</f>
        <v>丁酉</v>
      </c>
      <c r="BD39" s="174" t="str">
        <f ca="1">VLOOKUP($F$5 &amp; "+" &amp; (MOD(BA39 - DATE(2024, 1, 1), 60) + 1), [1]大運!$H$45:$K$3644, 3, FALSE)</f>
        <v>玉堂星</v>
      </c>
      <c r="BE39" s="174" t="str">
        <f ca="1">VLOOKUP($F$5 &amp; "+" &amp; (MOD(BA39 - DATE(2024, 1, 1), 60) + 1), [1]大運!$H$45:$K$3644, 4, FALSE)</f>
        <v>天極星</v>
      </c>
      <c r="BF39" s="174" t="str">
        <f ca="1">VLOOKUP($F$5 &amp; "+" &amp; (MOD(BA39 - DATE(2024, 1, 1), 60) + 1), [1]大運!$H$45:$K$3644, 2, FALSE)</f>
        <v>破</v>
      </c>
      <c r="BG39" s="174" t="str">
        <f ca="1">VLOOKUP($G$5 &amp; "+" &amp; (MOD(BA39 - DATE(2024, 1, 1), 60) + 1), [1]大運!$H$45:$K$3644, 2, FALSE)</f>
        <v>準方位</v>
      </c>
      <c r="BH39" s="174" t="str">
        <f ca="1">VLOOKUP($H$5 &amp; "+" &amp; (MOD(BA39 - DATE(2024, 1, 1), 60) + 1), [1]大運!$H$45:$K$3644, 2, FALSE)</f>
        <v>自刑</v>
      </c>
      <c r="BI39" s="172" t="str">
        <f t="shared" ca="1" si="21"/>
        <v/>
      </c>
      <c r="BJ39" s="172" t="str">
        <f t="shared" ca="1" si="22"/>
        <v/>
      </c>
      <c r="BK39" s="172" t="str">
        <f t="shared" ca="1" si="23"/>
        <v/>
      </c>
      <c r="BL39" s="174" t="str">
        <f ca="1">INDEX('12運シート'!C:C, MATCH(1, INDEX(('12運シート'!A:A=TRIM($T$42)) * ('12運シート'!B:B=TRIM(RIGHT(AZ39, 1))), 0), 0))</f>
        <v>種子</v>
      </c>
      <c r="BM39" s="174" t="str">
        <f ca="1">INDEX('12運シート'!$E:$E, MATCH(1, INDEX((TRIM('12運シート'!$A:$A)=TRIM($T$42)) * (TRIM('12運シート'!$B:$B)=TRIM(AZ39)), 0), 0))</f>
        <v>起天</v>
      </c>
      <c r="BN39" s="49" t="str">
        <f t="shared" ca="1" si="24"/>
        <v>運命の幕開け。過去を断ち切り新しい種をまく開拓期。</v>
      </c>
      <c r="BO39" s="49"/>
      <c r="BP39" s="49"/>
      <c r="BQ39" s="49"/>
      <c r="BR39" s="49"/>
      <c r="BS39" s="49"/>
      <c r="BT39" s="49"/>
      <c r="BU39" s="49"/>
      <c r="BV39" s="63"/>
      <c r="BW39" s="147"/>
      <c r="BX39" s="148"/>
      <c r="BY39" s="149"/>
      <c r="BZ39" s="140"/>
      <c r="CA39" s="149"/>
      <c r="CB39" s="149"/>
      <c r="CC39" s="149"/>
      <c r="CD39" s="148"/>
      <c r="CE39" s="149"/>
      <c r="CF39" s="50">
        <v>29</v>
      </c>
      <c r="CG39" s="49"/>
      <c r="CH39" s="49"/>
      <c r="CI39" s="49"/>
      <c r="CJ39" s="49"/>
      <c r="CK39" s="49"/>
      <c r="CL39" s="49"/>
      <c r="CM39" s="49"/>
      <c r="CN39" s="49"/>
      <c r="CO39" s="49"/>
      <c r="CP39" s="49"/>
      <c r="CQ39" s="192"/>
      <c r="CR39" s="192"/>
      <c r="CS39" s="192"/>
      <c r="CT39" s="192"/>
      <c r="CU39" s="192"/>
      <c r="CV39" s="192"/>
      <c r="CW39" s="192"/>
      <c r="CX39" s="192"/>
      <c r="CY39" s="192"/>
      <c r="CZ39" s="192"/>
      <c r="DA39" s="192"/>
      <c r="DB39" s="192"/>
      <c r="DC39" s="192"/>
      <c r="DD39" s="192"/>
      <c r="DE39" s="192"/>
      <c r="DF39" s="192"/>
      <c r="DG39" s="192"/>
      <c r="DH39" s="192"/>
      <c r="DI39" s="192"/>
      <c r="DJ39" s="49"/>
      <c r="DK39" s="68"/>
      <c r="DL39" s="68"/>
      <c r="DM39" s="68"/>
      <c r="DN39" s="68"/>
      <c r="DO39" s="68"/>
      <c r="DP39" s="68"/>
      <c r="DQ39" s="68"/>
      <c r="DR39" s="68"/>
      <c r="DS39" s="68"/>
      <c r="DT39" s="68"/>
      <c r="DU39" s="68"/>
      <c r="DV39" s="68"/>
      <c r="DW39" s="68"/>
      <c r="DX39" s="68"/>
    </row>
    <row r="40" spans="1:128" ht="18" customHeight="1">
      <c r="A40" s="49"/>
      <c r="B40" s="49"/>
      <c r="C40" s="49"/>
      <c r="D40" s="49"/>
      <c r="E40" s="49"/>
      <c r="F40" s="202"/>
      <c r="G40" s="68"/>
      <c r="H40" s="68"/>
      <c r="I40" s="68"/>
      <c r="J40" s="68"/>
      <c r="K40" s="68"/>
      <c r="L40" s="68"/>
      <c r="M40" s="68"/>
      <c r="N40" s="68"/>
      <c r="O40" s="68"/>
      <c r="P40" s="203"/>
      <c r="Q40" s="201"/>
      <c r="R40" s="201"/>
      <c r="S40" s="201"/>
      <c r="T40" s="11" t="s">
        <v>384</v>
      </c>
      <c r="U40" s="190" t="s">
        <v>385</v>
      </c>
      <c r="V40" s="11" t="s">
        <v>386</v>
      </c>
      <c r="W40" s="11" t="s">
        <v>387</v>
      </c>
      <c r="X40" s="191" t="s">
        <v>388</v>
      </c>
      <c r="Y40" s="192" t="s">
        <v>389</v>
      </c>
      <c r="Z40" s="192" t="s">
        <v>390</v>
      </c>
      <c r="AA40" s="191" t="s">
        <v>391</v>
      </c>
      <c r="AB40" s="191" t="s">
        <v>392</v>
      </c>
      <c r="AC40" s="192" t="s">
        <v>393</v>
      </c>
      <c r="AD40" s="192"/>
      <c r="AE40" s="166" t="str">
        <f t="shared" si="12"/>
        <v>酉</v>
      </c>
      <c r="AF40" s="167">
        <f t="shared" si="5"/>
        <v>24</v>
      </c>
      <c r="AG40" s="168">
        <f t="shared" si="13"/>
        <v>2005</v>
      </c>
      <c r="AH40" s="100" t="str">
        <f>VLOOKUP(AM40,[1]大運!$B$31:$C$90,2,FALSE)</f>
        <v>乙酉</v>
      </c>
      <c r="AI40" s="99" t="str">
        <f>VLOOKUP($F$5&amp;"+"&amp;AM40,[1]大運!$H$45:$K$3644,3,FALSE)</f>
        <v>牽牛星</v>
      </c>
      <c r="AJ40" s="73"/>
      <c r="AK40" s="99" t="str">
        <f>VLOOKUP($F$5&amp;"+"&amp;AM40,[1]大運!$H$45:$K$3644,4,FALSE)</f>
        <v>天極星</v>
      </c>
      <c r="AL40" s="73"/>
      <c r="AM40" s="171">
        <f t="shared" si="6"/>
        <v>22</v>
      </c>
      <c r="AN40" s="164" t="str">
        <f>VLOOKUP($F$5&amp;"+"&amp;AM40,[1]大運!$H$45:$K$3644,2,FALSE)</f>
        <v>破</v>
      </c>
      <c r="AO40" s="164" t="str">
        <f>VLOOKUP($G$5&amp;"+"&amp;AM40,[1]大運!$H$45:$K$3644,2,FALSE)</f>
        <v>準方位</v>
      </c>
      <c r="AP40" s="164" t="str">
        <f>VLOOKUP($H$5&amp;"+"&amp;AM40,[1]大運!$H$45:$K$3644,2,FALSE)</f>
        <v>自刑</v>
      </c>
      <c r="AQ40" s="100" t="str">
        <f t="shared" si="25"/>
        <v/>
      </c>
      <c r="AR40" s="172" t="str">
        <f t="shared" si="15"/>
        <v/>
      </c>
      <c r="AS40" s="172" t="str">
        <f t="shared" si="16"/>
        <v/>
      </c>
      <c r="AT40" s="172" t="str">
        <f t="shared" si="17"/>
        <v/>
      </c>
      <c r="AU40" s="49" t="str">
        <f>INDEX('12運シート'!C:C, MATCH(1, INDEX(('12運シート'!A:A=TRIM($T$42)) * ('12運シート'!B:B=TRIM(RIGHT(AE40, 1))), 0), 0))</f>
        <v>種子</v>
      </c>
      <c r="AV40" s="49" t="str">
        <f>INDEX('12運シート'!$E:$E, MATCH(1, INDEX((TRIM('12運シート'!$A:$A)=TRIM($T$42)) * (TRIM('12運シート'!$B:$B)=TRIM(AE40)), 0), 0))</f>
        <v>起天</v>
      </c>
      <c r="AW40" s="49" t="str">
        <f t="shared" si="18"/>
        <v>運命の幕開け。過去を断ち切り新しい種をまく開拓期。</v>
      </c>
      <c r="AX40" s="135"/>
      <c r="AY40" s="135"/>
      <c r="AZ40" s="166" t="str">
        <f t="shared" ca="1" si="19"/>
        <v>戌</v>
      </c>
      <c r="BA40" s="173">
        <f t="shared" ca="1" si="20"/>
        <v>46166</v>
      </c>
      <c r="BB40" s="174">
        <f t="shared" ca="1" si="7"/>
        <v>35</v>
      </c>
      <c r="BC40" s="174" t="str">
        <f ca="1">VLOOKUP(BB40,[1]大運!$B$31:$C$90,2,FALSE)</f>
        <v>戊戌</v>
      </c>
      <c r="BD40" s="174" t="str">
        <f ca="1">VLOOKUP($F$5 &amp; "+" &amp; (MOD(BA40 - DATE(2024, 1, 1), 60) + 1), [1]大運!$H$45:$K$3644, 3, FALSE)</f>
        <v>貫索星</v>
      </c>
      <c r="BE40" s="174" t="str">
        <f ca="1">VLOOKUP($F$5 &amp; "+" &amp; (MOD(BA40 - DATE(2024, 1, 1), 60) + 1), [1]大運!$H$45:$K$3644, 4, FALSE)</f>
        <v>天庫星</v>
      </c>
      <c r="BF40" s="174" t="str">
        <f ca="1">VLOOKUP($F$5 &amp; "+" &amp; (MOD(BA40 - DATE(2024, 1, 1), 60) + 1), [1]大運!$H$45:$K$3644, 2, FALSE)</f>
        <v>－</v>
      </c>
      <c r="BG40" s="174" t="str">
        <f ca="1">VLOOKUP($G$5 &amp; "+" &amp; (MOD(BA40 - DATE(2024, 1, 1), 60) + 1), [1]大運!$H$45:$K$3644, 2, FALSE)</f>
        <v>準方位</v>
      </c>
      <c r="BH40" s="174" t="str">
        <f ca="1">VLOOKUP($H$5 &amp; "+" &amp; (MOD(BA40 - DATE(2024, 1, 1), 60) + 1), [1]大運!$H$45:$K$3644, 2, FALSE)</f>
        <v>害</v>
      </c>
      <c r="BI40" s="172" t="str">
        <f t="shared" ca="1" si="21"/>
        <v/>
      </c>
      <c r="BJ40" s="172" t="str">
        <f t="shared" ca="1" si="22"/>
        <v/>
      </c>
      <c r="BK40" s="172" t="str">
        <f t="shared" ca="1" si="23"/>
        <v/>
      </c>
      <c r="BL40" s="174" t="str">
        <f ca="1">INDEX('12運シート'!C:C, MATCH(1, INDEX(('12運シート'!A:A=TRIM($T$42)) * ('12運シート'!B:B=TRIM(RIGHT(AZ40, 1))), 0), 0))</f>
        <v>緑生</v>
      </c>
      <c r="BM40" s="174" t="str">
        <f ca="1">INDEX('12運シート'!$E:$E, MATCH(1, INDEX((TRIM('12運シート'!$A:$A)=TRIM($T$42)) * (TRIM('12運シート'!$B:$B)=TRIM(AZ40)), 0), 0))</f>
        <v>吉祥天</v>
      </c>
      <c r="BN40" s="49" t="str">
        <f t="shared" ca="1" si="24"/>
        <v>まいた種が芽吹き、周囲の支援を受けて着実に育つ時期。</v>
      </c>
      <c r="BO40" s="49"/>
      <c r="BP40" s="49"/>
      <c r="BQ40" s="49"/>
      <c r="BR40" s="49"/>
      <c r="BS40" s="49"/>
      <c r="BT40" s="49"/>
      <c r="BU40" s="49"/>
      <c r="BV40" s="63"/>
      <c r="BW40" s="147"/>
      <c r="BX40" s="148"/>
      <c r="BY40" s="149"/>
      <c r="BZ40" s="140"/>
      <c r="CA40" s="149"/>
      <c r="CB40" s="149"/>
      <c r="CC40" s="149"/>
      <c r="CD40" s="148"/>
      <c r="CE40" s="149"/>
      <c r="CF40" s="150">
        <v>30</v>
      </c>
      <c r="CG40" s="49"/>
      <c r="CH40" s="49"/>
      <c r="CI40" s="49"/>
      <c r="CJ40" s="49"/>
      <c r="CK40" s="49"/>
      <c r="CL40" s="49"/>
      <c r="CM40" s="49"/>
      <c r="CN40" s="49"/>
      <c r="CO40" s="49"/>
      <c r="CP40" s="49"/>
      <c r="CQ40" s="192"/>
      <c r="CR40" s="192"/>
      <c r="CS40" s="192"/>
      <c r="CT40" s="192"/>
      <c r="CU40" s="192"/>
      <c r="CV40" s="192"/>
      <c r="CW40" s="192"/>
      <c r="CX40" s="192"/>
      <c r="CY40" s="192"/>
      <c r="CZ40" s="192"/>
      <c r="DA40" s="192"/>
      <c r="DB40" s="192"/>
      <c r="DC40" s="192"/>
      <c r="DD40" s="192"/>
      <c r="DE40" s="192"/>
      <c r="DF40" s="192"/>
      <c r="DG40" s="192"/>
      <c r="DH40" s="192"/>
      <c r="DI40" s="192"/>
      <c r="DJ40" s="49"/>
      <c r="DK40" s="68"/>
      <c r="DL40" s="68"/>
      <c r="DM40" s="68"/>
      <c r="DN40" s="68"/>
      <c r="DO40" s="68"/>
      <c r="DP40" s="68"/>
      <c r="DQ40" s="68"/>
      <c r="DR40" s="68"/>
      <c r="DS40" s="68"/>
      <c r="DT40" s="68"/>
      <c r="DU40" s="68"/>
      <c r="DV40" s="68"/>
      <c r="DW40" s="68"/>
      <c r="DX40" s="68"/>
    </row>
    <row r="41" spans="1:128" ht="18" customHeight="1">
      <c r="A41" s="49"/>
      <c r="B41" s="49"/>
      <c r="C41" s="49"/>
      <c r="D41" s="49"/>
      <c r="E41" s="49"/>
      <c r="F41" s="202"/>
      <c r="G41" s="68"/>
      <c r="H41" s="68"/>
      <c r="I41" s="68"/>
      <c r="J41" s="68"/>
      <c r="K41" s="68"/>
      <c r="L41" s="68"/>
      <c r="M41" s="68"/>
      <c r="N41" s="68"/>
      <c r="O41" s="68"/>
      <c r="P41" s="203"/>
      <c r="Q41" s="201"/>
      <c r="R41" s="201"/>
      <c r="S41" s="201"/>
      <c r="T41" s="11" t="s">
        <v>394</v>
      </c>
      <c r="U41" s="190" t="s">
        <v>395</v>
      </c>
      <c r="V41" s="11" t="s">
        <v>396</v>
      </c>
      <c r="W41" s="11" t="s">
        <v>397</v>
      </c>
      <c r="X41" s="191" t="s">
        <v>398</v>
      </c>
      <c r="Y41" s="49" t="s">
        <v>399</v>
      </c>
      <c r="Z41" s="49" t="s">
        <v>400</v>
      </c>
      <c r="AA41" s="191" t="s">
        <v>401</v>
      </c>
      <c r="AB41" s="191" t="s">
        <v>402</v>
      </c>
      <c r="AC41" s="49" t="s">
        <v>403</v>
      </c>
      <c r="AD41" s="49"/>
      <c r="AE41" s="166" t="str">
        <f t="shared" si="12"/>
        <v>戌</v>
      </c>
      <c r="AF41" s="167">
        <f t="shared" si="5"/>
        <v>25</v>
      </c>
      <c r="AG41" s="168">
        <f t="shared" si="13"/>
        <v>2006</v>
      </c>
      <c r="AH41" s="100" t="str">
        <f>VLOOKUP(AM41,[1]大運!$B$31:$C$90,2,FALSE)</f>
        <v>丙戌</v>
      </c>
      <c r="AI41" s="99" t="str">
        <f>VLOOKUP($F$5&amp;"+"&amp;AM41,[1]大運!$H$45:$K$3644,3,FALSE)</f>
        <v>龍高星</v>
      </c>
      <c r="AJ41" s="73"/>
      <c r="AK41" s="99" t="str">
        <f>VLOOKUP($F$5&amp;"+"&amp;AM41,[1]大運!$H$45:$K$3644,4,FALSE)</f>
        <v>天庫星</v>
      </c>
      <c r="AL41" s="73"/>
      <c r="AM41" s="171">
        <f t="shared" si="6"/>
        <v>23</v>
      </c>
      <c r="AN41" s="164" t="str">
        <f>VLOOKUP($F$5&amp;"+"&amp;AM41,[1]大運!$H$45:$K$3644,2,FALSE)</f>
        <v>－</v>
      </c>
      <c r="AO41" s="164" t="str">
        <f>VLOOKUP($G$5&amp;"+"&amp;AM41,[1]大運!$H$45:$K$3644,2,FALSE)</f>
        <v>準方位</v>
      </c>
      <c r="AP41" s="164" t="str">
        <f>VLOOKUP($H$5&amp;"+"&amp;AM41,[1]大運!$H$45:$K$3644,2,FALSE)</f>
        <v>害</v>
      </c>
      <c r="AQ41" s="100" t="str">
        <f t="shared" si="25"/>
        <v>年</v>
      </c>
      <c r="AR41" s="172" t="str">
        <f t="shared" si="15"/>
        <v/>
      </c>
      <c r="AS41" s="172" t="str">
        <f t="shared" si="16"/>
        <v/>
      </c>
      <c r="AT41" s="172" t="str">
        <f t="shared" si="17"/>
        <v>丙辛干合</v>
      </c>
      <c r="AU41" s="49" t="str">
        <f>INDEX('12運シート'!C:C, MATCH(1, INDEX(('12運シート'!A:A=TRIM($T$42)) * ('12運シート'!B:B=TRIM(RIGHT(AE41, 1))), 0), 0))</f>
        <v>緑生</v>
      </c>
      <c r="AV41" s="49" t="str">
        <f>INDEX('12運シート'!$E:$E, MATCH(1, INDEX((TRIM('12運シート'!$A:$A)=TRIM($T$42)) * (TRIM('12運シート'!$B:$B)=TRIM(AE41)), 0), 0))</f>
        <v>吉祥天</v>
      </c>
      <c r="AW41" s="49" t="str">
        <f t="shared" si="18"/>
        <v>まいた種が芽吹き、周囲の支援を受けて着実に育つ時期。</v>
      </c>
      <c r="AX41" s="49"/>
      <c r="AY41" s="49"/>
      <c r="AZ41" s="166" t="str">
        <f t="shared" ca="1" si="19"/>
        <v>亥</v>
      </c>
      <c r="BA41" s="173">
        <f t="shared" ca="1" si="20"/>
        <v>46167</v>
      </c>
      <c r="BB41" s="174">
        <f t="shared" ca="1" si="7"/>
        <v>36</v>
      </c>
      <c r="BC41" s="174" t="str">
        <f ca="1">VLOOKUP(BB41,[1]大運!$B$31:$C$90,2,FALSE)</f>
        <v>己亥</v>
      </c>
      <c r="BD41" s="174" t="str">
        <f ca="1">VLOOKUP($F$5 &amp; "+" &amp; (MOD(BA41 - DATE(2024, 1, 1), 60) + 1), [1]大運!$H$45:$K$3644, 3, FALSE)</f>
        <v>石門星</v>
      </c>
      <c r="BE41" s="174" t="str">
        <f ca="1">VLOOKUP($F$5 &amp; "+" &amp; (MOD(BA41 - DATE(2024, 1, 1), 60) + 1), [1]大運!$H$45:$K$3644, 4, FALSE)</f>
        <v>天馳星</v>
      </c>
      <c r="BF41" s="174" t="str">
        <f ca="1">VLOOKUP($F$5 &amp; "+" &amp; (MOD(BA41 - DATE(2024, 1, 1), 60) + 1), [1]大運!$H$45:$K$3644, 2, FALSE)</f>
        <v>準方位</v>
      </c>
      <c r="BG41" s="174" t="str">
        <f ca="1">VLOOKUP($G$5 &amp; "+" &amp; (MOD(BA41 - DATE(2024, 1, 1), 60) + 1), [1]大運!$H$45:$K$3644, 2, FALSE)</f>
        <v>害</v>
      </c>
      <c r="BH41" s="174" t="str">
        <f ca="1">VLOOKUP($H$5 &amp; "+" &amp; (MOD(BA41 - DATE(2024, 1, 1), 60) + 1), [1]大運!$H$45:$K$3644, 2, FALSE)</f>
        <v>－</v>
      </c>
      <c r="BI41" s="172" t="str">
        <f t="shared" ca="1" si="21"/>
        <v/>
      </c>
      <c r="BJ41" s="172" t="str">
        <f t="shared" ca="1" si="22"/>
        <v/>
      </c>
      <c r="BK41" s="172" t="str">
        <f t="shared" ca="1" si="23"/>
        <v/>
      </c>
      <c r="BL41" s="174" t="str">
        <f ca="1">INDEX('12運シート'!C:C, MATCH(1, INDEX(('12運シート'!A:A=TRIM($T$42)) * ('12運シート'!B:B=TRIM(RIGHT(AZ41, 1))), 0), 0))</f>
        <v>立花</v>
      </c>
      <c r="BM41" s="174" t="str">
        <f ca="1">INDEX('12運シート'!$E:$E, MATCH(1, INDEX((TRIM('12運シート'!$A:$A)=TRIM($T$42)) * (TRIM('12運シート'!$B:$B)=TRIM(AZ41)), 0), 0))</f>
        <v>弁財天</v>
      </c>
      <c r="BN41" s="49" t="str">
        <f t="shared" ca="1" si="24"/>
        <v>才能がパッと花開き、今後の人生を左右する重要な決定を下す発展期。</v>
      </c>
      <c r="BO41" s="49"/>
      <c r="BP41" s="49"/>
      <c r="BQ41" s="49"/>
      <c r="BR41" s="49"/>
      <c r="BS41" s="49"/>
      <c r="BT41" s="49"/>
      <c r="BU41" s="49"/>
      <c r="BV41" s="63"/>
      <c r="BW41" s="147"/>
      <c r="BX41" s="148"/>
      <c r="BY41" s="149"/>
      <c r="BZ41" s="140"/>
      <c r="CA41" s="149"/>
      <c r="CB41" s="149"/>
      <c r="CC41" s="149"/>
      <c r="CD41" s="148"/>
      <c r="CE41" s="149"/>
      <c r="CF41" s="50">
        <v>31</v>
      </c>
      <c r="CG41" s="49"/>
      <c r="CH41" s="49"/>
      <c r="CI41" s="49"/>
      <c r="CJ41" s="49"/>
      <c r="CK41" s="49"/>
      <c r="CL41" s="49"/>
      <c r="CM41" s="49"/>
      <c r="CN41" s="192"/>
      <c r="CO41" s="192"/>
      <c r="CP41" s="192"/>
      <c r="CQ41" s="192"/>
      <c r="CR41" s="192"/>
      <c r="CS41" s="192"/>
      <c r="CT41" s="192"/>
      <c r="CU41" s="192"/>
      <c r="CV41" s="192"/>
      <c r="CW41" s="192"/>
      <c r="CX41" s="192"/>
      <c r="CY41" s="192"/>
      <c r="CZ41" s="192"/>
      <c r="DA41" s="192"/>
      <c r="DB41" s="192"/>
      <c r="DC41" s="192"/>
      <c r="DD41" s="192"/>
      <c r="DE41" s="192"/>
      <c r="DF41" s="192"/>
      <c r="DG41" s="49"/>
      <c r="DH41" s="49"/>
      <c r="DI41" s="49"/>
      <c r="DJ41" s="49"/>
      <c r="DK41" s="49"/>
      <c r="DL41" s="49"/>
      <c r="DM41" s="49"/>
      <c r="DN41" s="49"/>
      <c r="DO41" s="49"/>
      <c r="DP41" s="49"/>
      <c r="DQ41" s="49"/>
      <c r="DR41" s="49"/>
      <c r="DS41" s="49"/>
      <c r="DT41" s="49"/>
      <c r="DU41" s="49"/>
      <c r="DV41" s="49"/>
      <c r="DW41" s="49"/>
      <c r="DX41" s="49"/>
    </row>
    <row r="42" spans="1:128" ht="18" customHeight="1">
      <c r="A42" s="49"/>
      <c r="B42" s="49"/>
      <c r="C42" s="49"/>
      <c r="D42" s="49"/>
      <c r="E42" s="49"/>
      <c r="F42" s="205"/>
      <c r="G42" s="206"/>
      <c r="H42" s="206"/>
      <c r="I42" s="206"/>
      <c r="J42" s="206"/>
      <c r="K42" s="206"/>
      <c r="L42" s="206"/>
      <c r="M42" s="206"/>
      <c r="N42" s="206"/>
      <c r="O42" s="206"/>
      <c r="P42" s="206"/>
      <c r="Q42" s="201"/>
      <c r="R42" s="201"/>
      <c r="S42" s="201"/>
      <c r="T42" s="207" t="str">
        <f>VLOOKUP(E8, $T$36:$U$41, 2, FALSE) &amp; "（" &amp; T44 &amp; "）"</f>
        <v xml:space="preserve"> 火星人（－）</v>
      </c>
      <c r="U42" s="208" t="str">
        <f>VLOOKUP(TRIM($T$42),V:X, 2, FALSE)</f>
        <v>午未－</v>
      </c>
      <c r="V42" s="209" t="str">
        <f>VLOOKUP(TRIM($T$42),V:X, 3, FALSE)</f>
        <v>裏かに座</v>
      </c>
      <c r="W42" s="49" t="s">
        <v>404</v>
      </c>
      <c r="X42" s="53"/>
      <c r="Y42" s="49"/>
      <c r="Z42" s="49"/>
      <c r="AA42" s="53"/>
      <c r="AB42" s="53"/>
      <c r="AC42" s="49"/>
      <c r="AD42" s="49"/>
      <c r="AE42" s="166" t="str">
        <f t="shared" si="12"/>
        <v>亥</v>
      </c>
      <c r="AF42" s="167">
        <f t="shared" si="5"/>
        <v>26</v>
      </c>
      <c r="AG42" s="168">
        <f t="shared" si="13"/>
        <v>2007</v>
      </c>
      <c r="AH42" s="100" t="str">
        <f>VLOOKUP(AM42,[1]大運!$B$31:$C$90,2,FALSE)</f>
        <v>丁亥</v>
      </c>
      <c r="AI42" s="99" t="str">
        <f>VLOOKUP($F$5&amp;"+"&amp;AM42,[1]大運!$H$45:$K$3644,3,FALSE)</f>
        <v>玉堂星</v>
      </c>
      <c r="AJ42" s="73"/>
      <c r="AK42" s="99" t="str">
        <f>VLOOKUP($F$5&amp;"+"&amp;AM42,[1]大運!$H$45:$K$3644,4,FALSE)</f>
        <v>天馳星</v>
      </c>
      <c r="AL42" s="73"/>
      <c r="AM42" s="171">
        <f t="shared" si="6"/>
        <v>24</v>
      </c>
      <c r="AN42" s="164" t="str">
        <f>VLOOKUP($F$5&amp;"+"&amp;AM42,[1]大運!$H$45:$K$3644,2,FALSE)</f>
        <v>準方位</v>
      </c>
      <c r="AO42" s="164" t="str">
        <f>VLOOKUP($G$5&amp;"+"&amp;AM42,[1]大運!$H$45:$K$3644,2,FALSE)</f>
        <v>害</v>
      </c>
      <c r="AP42" s="164" t="str">
        <f>VLOOKUP($H$5&amp;"+"&amp;AM42,[1]大運!$H$45:$K$3644,2,FALSE)</f>
        <v>－</v>
      </c>
      <c r="AQ42" s="100" t="str">
        <f t="shared" si="25"/>
        <v/>
      </c>
      <c r="AR42" s="172" t="str">
        <f t="shared" si="15"/>
        <v/>
      </c>
      <c r="AS42" s="172" t="str">
        <f t="shared" si="16"/>
        <v/>
      </c>
      <c r="AT42" s="172" t="str">
        <f t="shared" si="17"/>
        <v/>
      </c>
      <c r="AU42" s="49" t="str">
        <f>INDEX('12運シート'!C:C, MATCH(1, INDEX(('12運シート'!A:A=TRIM($T$42)) * ('12運シート'!B:B=TRIM(RIGHT(AE42, 1))), 0), 0))</f>
        <v>立花</v>
      </c>
      <c r="AV42" s="49" t="str">
        <f>INDEX('12運シート'!$E:$E, MATCH(1, INDEX((TRIM('12運シート'!$A:$A)=TRIM($T$42)) * (TRIM('12運シート'!$B:$B)=TRIM(AE42)), 0), 0))</f>
        <v>弁財天</v>
      </c>
      <c r="AW42" s="49" t="str">
        <f t="shared" si="18"/>
        <v>才能がパッと花開き、今後の人生を左右する重要な決定を下す発展期。</v>
      </c>
      <c r="AX42" s="49"/>
      <c r="AY42" s="49"/>
      <c r="AZ42" s="166" t="str">
        <f t="shared" ca="1" si="19"/>
        <v>子</v>
      </c>
      <c r="BA42" s="173">
        <f t="shared" ca="1" si="20"/>
        <v>46168</v>
      </c>
      <c r="BB42" s="174">
        <f t="shared" ca="1" si="7"/>
        <v>37</v>
      </c>
      <c r="BC42" s="174" t="str">
        <f ca="1">VLOOKUP(BB42,[1]大運!$B$31:$C$90,2,FALSE)</f>
        <v>庚子</v>
      </c>
      <c r="BD42" s="174" t="str">
        <f ca="1">VLOOKUP($F$5 &amp; "+" &amp; (MOD(BA42 - DATE(2024, 1, 1), 60) + 1), [1]大運!$H$45:$K$3644, 3, FALSE)</f>
        <v>鳳閣星</v>
      </c>
      <c r="BE42" s="174" t="str">
        <f ca="1">VLOOKUP($F$5 &amp; "+" &amp; (MOD(BA42 - DATE(2024, 1, 1), 60) + 1), [1]大運!$H$45:$K$3644, 4, FALSE)</f>
        <v>天報星</v>
      </c>
      <c r="BF42" s="174" t="str">
        <f ca="1">VLOOKUP($F$5 &amp; "+" &amp; (MOD(BA42 - DATE(2024, 1, 1), 60) + 1), [1]大運!$H$45:$K$3644, 2, FALSE)</f>
        <v>同</v>
      </c>
      <c r="BG42" s="174" t="str">
        <f ca="1">VLOOKUP($G$5 &amp; "+" &amp; (MOD(BA42 - DATE(2024, 1, 1), 60) + 1), [1]大運!$H$45:$K$3644, 2, FALSE)</f>
        <v>半会</v>
      </c>
      <c r="BH42" s="174" t="str">
        <f ca="1">VLOOKUP($H$5 &amp; "+" &amp; (MOD(BA42 - DATE(2024, 1, 1), 60) + 1), [1]大運!$H$45:$K$3644, 2, FALSE)</f>
        <v>破</v>
      </c>
      <c r="BI42" s="172" t="str">
        <f t="shared" ca="1" si="21"/>
        <v/>
      </c>
      <c r="BJ42" s="172" t="str">
        <f t="shared" ca="1" si="22"/>
        <v/>
      </c>
      <c r="BK42" s="172" t="str">
        <f t="shared" ca="1" si="23"/>
        <v/>
      </c>
      <c r="BL42" s="174" t="str">
        <f ca="1">INDEX('12運シート'!C:C, MATCH(1, INDEX(('12運シート'!A:A=TRIM($T$42)) * ('12運シート'!B:B=TRIM(RIGHT(AZ42, 1))), 0), 0))</f>
        <v>健弱</v>
      </c>
      <c r="BM42" s="174" t="str">
        <f ca="1">INDEX('12運シート'!$E:$E, MATCH(1, INDEX((TRIM('12運シート'!$A:$A)=TRIM($T$42)) * (TRIM('12運シート'!$B:$B)=TRIM(AZ42)), 0), 0))</f>
        <v>曇天</v>
      </c>
      <c r="BN42" s="49" t="str">
        <f t="shared" ca="1" si="24"/>
        <v>運気の勢いに心身が追いつかない小休止。自己治癒の時期。</v>
      </c>
      <c r="BO42" s="49"/>
      <c r="BP42" s="49"/>
      <c r="BQ42" s="49"/>
      <c r="BR42" s="49"/>
      <c r="BS42" s="49"/>
      <c r="BT42" s="49"/>
      <c r="BU42" s="49"/>
      <c r="BV42" s="63"/>
      <c r="BW42" s="210"/>
      <c r="BX42" s="148"/>
      <c r="BY42" s="149"/>
      <c r="BZ42" s="140"/>
      <c r="CA42" s="149"/>
      <c r="CB42" s="149"/>
      <c r="CC42" s="149"/>
      <c r="CD42" s="148"/>
      <c r="CE42" s="149"/>
      <c r="CF42" s="150">
        <v>32</v>
      </c>
      <c r="CG42" s="49"/>
      <c r="CH42" s="49"/>
      <c r="CI42" s="49"/>
      <c r="CJ42" s="49"/>
      <c r="CK42" s="49"/>
      <c r="CL42" s="49"/>
      <c r="CM42" s="49"/>
      <c r="CN42" s="49"/>
      <c r="CO42" s="49"/>
      <c r="CP42" s="49"/>
      <c r="CQ42" s="49"/>
      <c r="CR42" s="49"/>
      <c r="CS42" s="49"/>
      <c r="CT42" s="49"/>
      <c r="CU42" s="49"/>
      <c r="CV42" s="49"/>
      <c r="CW42" s="49"/>
      <c r="CX42" s="49"/>
      <c r="CY42" s="49"/>
      <c r="CZ42" s="49"/>
      <c r="DA42" s="49"/>
      <c r="DB42" s="49"/>
      <c r="DC42" s="49"/>
      <c r="DD42" s="49"/>
      <c r="DE42" s="49"/>
      <c r="DF42" s="49"/>
      <c r="DG42" s="49"/>
      <c r="DH42" s="49"/>
      <c r="DI42" s="49"/>
      <c r="DJ42" s="49"/>
      <c r="DK42" s="49"/>
      <c r="DL42" s="49"/>
      <c r="DM42" s="49"/>
      <c r="DN42" s="49"/>
      <c r="DO42" s="49"/>
      <c r="DP42" s="49"/>
      <c r="DQ42" s="49"/>
      <c r="DR42" s="49"/>
      <c r="DS42" s="49"/>
      <c r="DT42" s="49"/>
      <c r="DU42" s="49"/>
      <c r="DV42" s="49"/>
      <c r="DW42" s="49"/>
      <c r="DX42" s="49"/>
    </row>
    <row r="43" spans="1:128" ht="36.75" customHeight="1">
      <c r="A43" s="49"/>
      <c r="B43" s="49"/>
      <c r="C43" s="49"/>
      <c r="D43" s="49"/>
      <c r="E43" s="49"/>
      <c r="F43" s="192"/>
      <c r="G43" s="192"/>
      <c r="H43" s="192"/>
      <c r="I43" s="192"/>
      <c r="J43" s="192"/>
      <c r="K43" s="192"/>
      <c r="L43" s="192"/>
      <c r="M43" s="192"/>
      <c r="N43" s="192"/>
      <c r="O43" s="192"/>
      <c r="P43" s="192"/>
      <c r="Q43" s="192"/>
      <c r="R43" s="192"/>
      <c r="S43" s="192"/>
      <c r="T43" s="211">
        <f>[1]五指裏干支占い!D2</f>
        <v>29836</v>
      </c>
      <c r="U43" s="190" t="s">
        <v>5</v>
      </c>
      <c r="V43" s="212" t="str">
        <f>IF(T43="","", VLOOKUP(VALUE(TEXT(T43,"mmdd")),{101,"やぎ座";120,"みずがめ座";219,"うお座";321,"おひつじ座";420,"おうし座";521,"ふたご座";622,"かに座";723,"しし座";823,"おとめ座";923,"てんびん座";1024,"さそり座";1123,"いて座";1222,"やぎ座"},2,TRUE))</f>
        <v>おとめ座</v>
      </c>
      <c r="W43" s="213" t="str">
        <f>INDEX(表裏星座一覧!C:C, MATCH(1, INDEX((表裏星座一覧!A:A=$V$43) * (表裏星座一覧!B:B=$V$42), 0), 0))</f>
        <v>60°・120°（セクスタイル・トライン）</v>
      </c>
      <c r="X43" s="214" t="str">
        <f>VLOOKUP(W43, 表裏星座一覧!A:B, 2, FALSE)</f>
        <v>【ナチュラル・ハーモニー型】</v>
      </c>
      <c r="Y43" s="215"/>
      <c r="Z43" s="215"/>
      <c r="AA43" s="191"/>
      <c r="AB43" s="191"/>
      <c r="AC43" s="49"/>
      <c r="AD43" s="49"/>
      <c r="AE43" s="166" t="str">
        <f t="shared" si="12"/>
        <v>子</v>
      </c>
      <c r="AF43" s="167">
        <f t="shared" si="5"/>
        <v>27</v>
      </c>
      <c r="AG43" s="168">
        <f t="shared" si="13"/>
        <v>2008</v>
      </c>
      <c r="AH43" s="100" t="str">
        <f>VLOOKUP(AM43,[1]大運!$B$31:$C$90,2,FALSE)</f>
        <v>戊子</v>
      </c>
      <c r="AI43" s="99" t="str">
        <f>VLOOKUP($F$5&amp;"+"&amp;AM43,[1]大運!$H$45:$K$3644,3,FALSE)</f>
        <v>貫索星</v>
      </c>
      <c r="AJ43" s="73"/>
      <c r="AK43" s="99" t="str">
        <f>VLOOKUP($F$5&amp;"+"&amp;AM43,[1]大運!$H$45:$K$3644,4,FALSE)</f>
        <v>天報星</v>
      </c>
      <c r="AL43" s="73"/>
      <c r="AM43" s="171">
        <f t="shared" si="6"/>
        <v>25</v>
      </c>
      <c r="AN43" s="164" t="str">
        <f>VLOOKUP($F$5&amp;"+"&amp;AM43,[1]大運!$H$45:$K$3644,2,FALSE)</f>
        <v>律音</v>
      </c>
      <c r="AO43" s="164" t="str">
        <f>VLOOKUP($G$5&amp;"+"&amp;AM43,[1]大運!$H$45:$K$3644,2,FALSE)</f>
        <v>半会</v>
      </c>
      <c r="AP43" s="164" t="str">
        <f>VLOOKUP($H$5&amp;"+"&amp;AM43,[1]大運!$H$45:$K$3644,2,FALSE)</f>
        <v>破</v>
      </c>
      <c r="AQ43" s="100" t="str">
        <f t="shared" si="25"/>
        <v/>
      </c>
      <c r="AR43" s="172" t="str">
        <f t="shared" si="15"/>
        <v/>
      </c>
      <c r="AS43" s="172" t="str">
        <f t="shared" si="16"/>
        <v/>
      </c>
      <c r="AT43" s="172" t="str">
        <f t="shared" si="17"/>
        <v/>
      </c>
      <c r="AU43" s="49" t="str">
        <f>INDEX('12運シート'!C:C, MATCH(1, INDEX(('12運シート'!A:A=TRIM($T$42)) * ('12運シート'!B:B=TRIM(RIGHT(AE43, 1))), 0), 0))</f>
        <v>健弱</v>
      </c>
      <c r="AV43" s="49" t="str">
        <f>INDEX('12運シート'!$E:$E, MATCH(1, INDEX((TRIM('12運シート'!$A:$A)=TRIM($T$42)) * (TRIM('12運シート'!$B:$B)=TRIM(AE43)), 0), 0))</f>
        <v>曇天</v>
      </c>
      <c r="AW43" s="49" t="str">
        <f t="shared" si="18"/>
        <v>運気の勢いに心身が追いつかない小休止。自己治癒の時期。</v>
      </c>
      <c r="AX43" s="49"/>
      <c r="AY43" s="49"/>
      <c r="AZ43" s="166" t="str">
        <f t="shared" ca="1" si="19"/>
        <v>丑</v>
      </c>
      <c r="BA43" s="173">
        <f t="shared" ca="1" si="20"/>
        <v>46169</v>
      </c>
      <c r="BB43" s="174">
        <f t="shared" ca="1" si="7"/>
        <v>38</v>
      </c>
      <c r="BC43" s="174" t="str">
        <f ca="1">VLOOKUP(BB43,[1]大運!$B$31:$C$90,2,FALSE)</f>
        <v>辛丑</v>
      </c>
      <c r="BD43" s="174" t="str">
        <f ca="1">VLOOKUP($F$5 &amp; "+" &amp; (MOD(BA43 - DATE(2024, 1, 1), 60) + 1), [1]大運!$H$45:$K$3644, 3, FALSE)</f>
        <v>調舒星</v>
      </c>
      <c r="BE43" s="174" t="str">
        <f ca="1">VLOOKUP($F$5 &amp; "+" &amp; (MOD(BA43 - DATE(2024, 1, 1), 60) + 1), [1]大運!$H$45:$K$3644, 4, FALSE)</f>
        <v>天印星</v>
      </c>
      <c r="BF43" s="174" t="str">
        <f ca="1">VLOOKUP($F$5 &amp; "+" &amp; (MOD(BA43 - DATE(2024, 1, 1), 60) + 1), [1]大運!$H$45:$K$3644, 2, FALSE)</f>
        <v>支合</v>
      </c>
      <c r="BG43" s="174" t="str">
        <f ca="1">VLOOKUP($G$5 &amp; "+" &amp; (MOD(BA43 - DATE(2024, 1, 1), 60) + 1), [1]大運!$H$45:$K$3644, 2, FALSE)</f>
        <v>－</v>
      </c>
      <c r="BH43" s="174" t="str">
        <f ca="1">VLOOKUP($H$5 &amp; "+" &amp; (MOD(BA43 - DATE(2024, 1, 1), 60) + 1), [1]大運!$H$45:$K$3644, 2, FALSE)</f>
        <v>大半会</v>
      </c>
      <c r="BI43" s="172" t="str">
        <f t="shared" ca="1" si="21"/>
        <v/>
      </c>
      <c r="BJ43" s="172" t="str">
        <f t="shared" ca="1" si="22"/>
        <v>丙辛干合</v>
      </c>
      <c r="BK43" s="172" t="str">
        <f t="shared" ca="1" si="23"/>
        <v/>
      </c>
      <c r="BL43" s="174" t="str">
        <f ca="1">INDEX('12運シート'!C:C, MATCH(1, INDEX(('12運シート'!A:A=TRIM($T$42)) * ('12運シート'!B:B=TRIM(RIGHT(AZ43, 1))), 0), 0))</f>
        <v>達成</v>
      </c>
      <c r="BM43" s="174" t="str">
        <f ca="1">INDEX('12運シート'!$E:$E, MATCH(1, INDEX((TRIM('12運シート'!$A:$A)=TRIM($T$42)) * (TRIM('12運シート'!$B:$B)=TRIM(AZ43)), 0), 0))</f>
        <v>韋駄天</v>
      </c>
      <c r="BN43" s="49" t="str">
        <f t="shared" ca="1" si="24"/>
        <v>運気絶頂。これまでの努力が実を結び、最高のスポットライトを浴びる。</v>
      </c>
      <c r="BO43" s="49"/>
      <c r="BP43" s="49"/>
      <c r="BQ43" s="49"/>
      <c r="BR43" s="49"/>
      <c r="BS43" s="49"/>
      <c r="BT43" s="49"/>
      <c r="BU43" s="49"/>
      <c r="BV43" s="49"/>
      <c r="BW43" s="147"/>
      <c r="BX43" s="148"/>
      <c r="BY43" s="149"/>
      <c r="BZ43" s="140"/>
      <c r="CA43" s="149"/>
      <c r="CB43" s="149"/>
      <c r="CC43" s="149"/>
      <c r="CD43" s="148"/>
      <c r="CE43" s="149"/>
      <c r="CF43" s="50"/>
      <c r="CG43" s="49"/>
      <c r="CH43" s="49"/>
      <c r="CI43" s="49"/>
      <c r="CJ43" s="49"/>
      <c r="CK43" s="49"/>
      <c r="CL43" s="49"/>
      <c r="CM43" s="49"/>
      <c r="CN43" s="180"/>
      <c r="CO43" s="68"/>
      <c r="CP43" s="68"/>
      <c r="CQ43" s="68"/>
      <c r="CR43" s="68"/>
      <c r="CS43" s="68"/>
      <c r="CT43" s="68"/>
      <c r="CU43" s="68"/>
      <c r="CV43" s="68"/>
      <c r="CW43" s="68"/>
      <c r="CX43" s="68"/>
      <c r="CY43" s="68"/>
      <c r="CZ43" s="68"/>
      <c r="DA43" s="68"/>
      <c r="DB43" s="68"/>
      <c r="DC43" s="68"/>
      <c r="DD43" s="68"/>
      <c r="DE43" s="68"/>
      <c r="DF43" s="68"/>
      <c r="DG43" s="49"/>
      <c r="DH43" s="49"/>
      <c r="DI43" s="49"/>
      <c r="DJ43" s="49"/>
      <c r="DK43" s="49"/>
      <c r="DL43" s="49"/>
      <c r="DM43" s="49"/>
      <c r="DN43" s="49"/>
      <c r="DO43" s="49"/>
      <c r="DP43" s="49"/>
      <c r="DQ43" s="49"/>
      <c r="DR43" s="49"/>
      <c r="DS43" s="49"/>
      <c r="DT43" s="49"/>
      <c r="DU43" s="49"/>
      <c r="DV43" s="49"/>
      <c r="DW43" s="49"/>
      <c r="DX43" s="49"/>
    </row>
    <row r="44" spans="1:128" ht="18" customHeight="1">
      <c r="A44" s="49"/>
      <c r="B44" s="49"/>
      <c r="C44" s="49"/>
      <c r="D44" s="49"/>
      <c r="E44" s="49"/>
      <c r="F44" s="216" t="s">
        <v>405</v>
      </c>
      <c r="G44" s="216" t="s">
        <v>406</v>
      </c>
      <c r="H44" s="216"/>
      <c r="I44" s="216"/>
      <c r="J44" s="216"/>
      <c r="K44" s="216"/>
      <c r="L44" s="216"/>
      <c r="M44" s="216"/>
      <c r="N44" s="216"/>
      <c r="O44" s="216"/>
      <c r="P44" s="216"/>
      <c r="Q44" s="216"/>
      <c r="R44" s="216"/>
      <c r="S44" s="216"/>
      <c r="T44" s="217" t="str">
        <f>IF(MOD(YEAR(T43), 2)=0, "＋", "－")</f>
        <v>－</v>
      </c>
      <c r="U44" s="218"/>
      <c r="V44" s="216"/>
      <c r="W44" s="216"/>
      <c r="X44" s="219"/>
      <c r="Y44" s="49"/>
      <c r="Z44" s="49"/>
      <c r="AA44" s="219"/>
      <c r="AB44" s="219"/>
      <c r="AC44" s="49"/>
      <c r="AD44" s="49"/>
      <c r="AE44" s="166" t="str">
        <f t="shared" si="12"/>
        <v>丑</v>
      </c>
      <c r="AF44" s="167">
        <f t="shared" si="5"/>
        <v>28</v>
      </c>
      <c r="AG44" s="168">
        <f t="shared" si="13"/>
        <v>2009</v>
      </c>
      <c r="AH44" s="100" t="str">
        <f>VLOOKUP(AM44,[1]大運!$B$31:$C$90,2,FALSE)</f>
        <v>己丑</v>
      </c>
      <c r="AI44" s="99" t="str">
        <f>VLOOKUP($F$5&amp;"+"&amp;AM44,[1]大運!$H$45:$K$3644,3,FALSE)</f>
        <v>石門星</v>
      </c>
      <c r="AJ44" s="73"/>
      <c r="AK44" s="99" t="str">
        <f>VLOOKUP($F$5&amp;"+"&amp;AM44,[1]大運!$H$45:$K$3644,4,FALSE)</f>
        <v>天印星</v>
      </c>
      <c r="AL44" s="73"/>
      <c r="AM44" s="171">
        <f t="shared" si="6"/>
        <v>26</v>
      </c>
      <c r="AN44" s="164" t="str">
        <f>VLOOKUP($F$5&amp;"+"&amp;AM44,[1]大運!$H$45:$K$3644,2,FALSE)</f>
        <v>支合</v>
      </c>
      <c r="AO44" s="164" t="str">
        <f>VLOOKUP($G$5&amp;"+"&amp;AM44,[1]大運!$H$45:$K$3644,2,FALSE)</f>
        <v>－</v>
      </c>
      <c r="AP44" s="164" t="str">
        <f>VLOOKUP($H$5&amp;"+"&amp;AM44,[1]大運!$H$45:$K$3644,2,FALSE)</f>
        <v>半会</v>
      </c>
      <c r="AQ44" s="100" t="str">
        <f t="shared" si="25"/>
        <v/>
      </c>
      <c r="AR44" s="172" t="str">
        <f t="shared" si="15"/>
        <v/>
      </c>
      <c r="AS44" s="172" t="str">
        <f t="shared" si="16"/>
        <v/>
      </c>
      <c r="AT44" s="172" t="str">
        <f t="shared" si="17"/>
        <v/>
      </c>
      <c r="AU44" s="49" t="str">
        <f>INDEX('12運シート'!C:C, MATCH(1, INDEX(('12運シート'!A:A=TRIM($T$42)) * ('12運シート'!B:B=TRIM(RIGHT(AE44, 1))), 0), 0))</f>
        <v>達成</v>
      </c>
      <c r="AV44" s="49" t="str">
        <f>INDEX('12運シート'!$E:$E, MATCH(1, INDEX((TRIM('12運シート'!$A:$A)=TRIM($T$42)) * (TRIM('12運シート'!$B:$B)=TRIM(AE44)), 0), 0))</f>
        <v>韋駄天</v>
      </c>
      <c r="AW44" s="49" t="str">
        <f t="shared" si="18"/>
        <v>運気絶頂。これまでの努力が実を結び、最高のスポットライトを浴びる。</v>
      </c>
      <c r="AX44" s="49"/>
      <c r="AY44" s="49"/>
      <c r="AZ44" s="166" t="str">
        <f t="shared" ca="1" si="19"/>
        <v>寅</v>
      </c>
      <c r="BA44" s="173">
        <f t="shared" ca="1" si="20"/>
        <v>46170</v>
      </c>
      <c r="BB44" s="174">
        <f t="shared" ca="1" si="7"/>
        <v>39</v>
      </c>
      <c r="BC44" s="174" t="str">
        <f ca="1">VLOOKUP(BB44,[1]大運!$B$31:$C$90,2,FALSE)</f>
        <v>壬寅</v>
      </c>
      <c r="BD44" s="174" t="str">
        <f ca="1">VLOOKUP($F$5 &amp; "+" &amp; (MOD(BA44 - DATE(2024, 1, 1), 60) + 1), [1]大運!$H$45:$K$3644, 3, FALSE)</f>
        <v>禄存星</v>
      </c>
      <c r="BE44" s="174" t="str">
        <f ca="1">VLOOKUP($F$5 &amp; "+" &amp; (MOD(BA44 - DATE(2024, 1, 1), 60) + 1), [1]大運!$H$45:$K$3644, 4, FALSE)</f>
        <v>天貴星</v>
      </c>
      <c r="BF44" s="174" t="str">
        <f ca="1">VLOOKUP($F$5 &amp; "+" &amp; (MOD(BA44 - DATE(2024, 1, 1), 60) + 1), [1]大運!$H$45:$K$3644, 2, FALSE)</f>
        <v>－</v>
      </c>
      <c r="BG44" s="174" t="str">
        <f ca="1">VLOOKUP($G$5 &amp; "+" &amp; (MOD(BA44 - DATE(2024, 1, 1), 60) + 1), [1]大運!$H$45:$K$3644, 2, FALSE)</f>
        <v>天剋地冲</v>
      </c>
      <c r="BH44" s="174" t="str">
        <f ca="1">VLOOKUP($H$5 &amp; "+" &amp; (MOD(BA44 - DATE(2024, 1, 1), 60) + 1), [1]大運!$H$45:$K$3644, 2, FALSE)</f>
        <v>－</v>
      </c>
      <c r="BI44" s="172" t="str">
        <f t="shared" ca="1" si="21"/>
        <v/>
      </c>
      <c r="BJ44" s="172" t="str">
        <f t="shared" ca="1" si="22"/>
        <v/>
      </c>
      <c r="BK44" s="172" t="str">
        <f t="shared" ca="1" si="23"/>
        <v/>
      </c>
      <c r="BL44" s="174" t="str">
        <f ca="1">INDEX('12運シート'!C:C, MATCH(1, INDEX(('12運シート'!A:A=TRIM($T$42)) * ('12運シート'!B:B=TRIM(RIGHT(AZ44, 1))), 0), 0))</f>
        <v>乱気</v>
      </c>
      <c r="BM44" s="174" t="str">
        <f ca="1">INDEX('12運シート'!$E:$E, MATCH(1, INDEX((TRIM('12運シート'!$A:$A)=TRIM($T$42)) * (TRIM('12運シート'!$B:$B)=TRIM(AZ44)), 0), 0))</f>
        <v>伏魔天</v>
      </c>
      <c r="BN44" s="49" t="str">
        <f t="shared" ca="1" si="24"/>
        <v>強すぎる運気の反動で迷いや摩擦が生じる。理性と現状維持が必要な嵐。</v>
      </c>
      <c r="BO44" s="49"/>
      <c r="BP44" s="49"/>
      <c r="BQ44" s="49"/>
      <c r="BR44" s="49"/>
      <c r="BS44" s="49"/>
      <c r="BT44" s="49"/>
      <c r="BU44" s="49"/>
      <c r="BV44" s="49"/>
      <c r="BW44" s="147"/>
      <c r="BX44" s="148"/>
      <c r="BY44" s="149"/>
      <c r="BZ44" s="140"/>
      <c r="CA44" s="149"/>
      <c r="CB44" s="149"/>
      <c r="CC44" s="149"/>
      <c r="CD44" s="148"/>
      <c r="CE44" s="149"/>
      <c r="CF44" s="150"/>
      <c r="CG44" s="49"/>
      <c r="CH44" s="49"/>
      <c r="CI44" s="49"/>
      <c r="CJ44" s="49"/>
      <c r="CK44" s="49"/>
      <c r="CL44" s="49"/>
      <c r="CM44" s="49"/>
      <c r="CN44" s="68"/>
      <c r="CO44" s="68"/>
      <c r="CP44" s="68"/>
      <c r="CQ44" s="68"/>
      <c r="CR44" s="68"/>
      <c r="CS44" s="68"/>
      <c r="CT44" s="68"/>
      <c r="CU44" s="68"/>
      <c r="CV44" s="68"/>
      <c r="CW44" s="68"/>
      <c r="CX44" s="68"/>
      <c r="CY44" s="68"/>
      <c r="CZ44" s="68"/>
      <c r="DA44" s="68"/>
      <c r="DB44" s="68"/>
      <c r="DC44" s="68"/>
      <c r="DD44" s="68"/>
      <c r="DE44" s="68"/>
      <c r="DF44" s="68"/>
      <c r="DG44" s="49"/>
      <c r="DH44" s="49"/>
      <c r="DI44" s="49"/>
      <c r="DJ44" s="49"/>
      <c r="DK44" s="49"/>
      <c r="DL44" s="49"/>
      <c r="DM44" s="49"/>
      <c r="DN44" s="49"/>
      <c r="DO44" s="49"/>
      <c r="DP44" s="49"/>
      <c r="DQ44" s="49"/>
      <c r="DR44" s="49"/>
      <c r="DS44" s="49"/>
      <c r="DT44" s="49"/>
      <c r="DU44" s="49"/>
      <c r="DV44" s="49"/>
      <c r="DW44" s="49"/>
      <c r="DX44" s="49"/>
    </row>
    <row r="45" spans="1:128" ht="18" customHeight="1">
      <c r="A45" s="49"/>
      <c r="B45" s="49"/>
      <c r="C45" s="49"/>
      <c r="D45" s="49"/>
      <c r="E45" s="166" t="str">
        <f ca="1">RIGHT(G45, 1)</f>
        <v>午</v>
      </c>
      <c r="F45" s="220" t="str">
        <f ca="1">TEXT(EDATE(TODAY(), ROW(A1) - 13), "yyyy/m")</f>
        <v>2025/6</v>
      </c>
      <c r="G45" s="178" t="str">
        <f ca="1">VLOOKUP(MOD((YEAR(F45)-2024)*12 + MONTH(F45), 60) + 1, [1]大運!$B$31:$C$90, 2, FALSE)</f>
        <v>壬午</v>
      </c>
      <c r="H45" s="178" t="str">
        <f ca="1">VLOOKUP($F$5 &amp; "+" &amp; (MOD((YEAR(F45)-1900)*12 + MONTH(F45) + 2, 60) + 1), [1]大運!$H$45:$K$3644, 3, FALSE)</f>
        <v>禄存星</v>
      </c>
      <c r="I45" s="221"/>
      <c r="J45" s="178" t="str">
        <f ca="1">VLOOKUP($F$5 &amp; "+" &amp; (MOD((YEAR(F45)-1900)*12 + MONTH(F45), 60) + 1), [1]大運!$H$45:$K$3644, 4, FALSE)</f>
        <v>天将星</v>
      </c>
      <c r="K45" s="221"/>
      <c r="L45" s="222">
        <f ca="1">MOD((YEAR(F45)-1900)*12 + MONTH(F45) + 35, 60) + 1</f>
        <v>42</v>
      </c>
      <c r="M45" s="223" t="str">
        <f ca="1">VLOOKUP($F$5 &amp; "+" &amp; (MOD((YEAR(F45)-1900)*12 + MONTH(F45) + 12, 60) + 1), [1]大運!$H$45:$K$3644, 2, FALSE)</f>
        <v>天剋地冲</v>
      </c>
      <c r="N45" s="178" t="str">
        <f ca="1">VLOOKUP($G$5 &amp; "+" &amp; (MOD((YEAR(F45)-1900)*12 + MONTH(F45) + 12, 60) + 1), [1]大運!$H$45:$K$3644, 2, FALSE)</f>
        <v>－</v>
      </c>
      <c r="O45" s="178" t="str">
        <f ca="1">VLOOKUP($H$5 &amp; "+" &amp; (MOD((YEAR(F45)-1900)*12 + MONTH(F45) + 12, 60) + 1), [1]大運!$H$45:$K$3644, 2, FALSE)</f>
        <v>－</v>
      </c>
      <c r="P45" s="100" t="str">
        <f ca="1">IF(OR(RIGHT(G45,1)=$E$6,RIGHT(G45,1)=$E$7),"殺","")&amp;IF(ABS(RIGHT(L45,1)-RIGHT($F$5,1))=5,"日",)&amp;IF(ABS(RIGHT(L45,1)-RIGHT($G$5,1))=5,"月","")&amp;IF(ABS(RIGHT(L45,1)-RIGHT($H$5,1))=5,"年","")</f>
        <v>殺</v>
      </c>
      <c r="Q45" s="172" t="str">
        <f ca="1">IF($G45="","", IFERROR(IF(COUNTIF($F$6, MID("己庚辛壬癸甲乙丙丁戊", FIND(LEFT($G45,1), "甲乙丙丁戊己庚辛壬癸"), 1))&gt;0, CHOOSE(INT((FIND(LEFT($G45,1), "甲己乙庚丙辛丁壬戊癸")+1)/2), "甲己干合", "乙庚干合", "丙辛干合", "丁壬干合", "戊癸干合"), ""), ""))</f>
        <v/>
      </c>
      <c r="R45" s="172" t="str">
        <f ca="1">IF($G45="","", IFERROR(IF(COUNTIF($G$6, MID("己庚辛壬癸甲乙丙丁戊", FIND(LEFT($G45,1), "甲乙丙丁戊己庚辛壬癸"), 1))&gt;0, CHOOSE(INT((FIND(LEFT($G45,1), "甲己乙庚丙辛丁壬戊癸")+1)/2), "甲己干合", "乙庚干合", "丙辛干合", "丁壬干合", "戊癸干合"), ""), ""))</f>
        <v/>
      </c>
      <c r="S45" s="172" t="str">
        <f ca="1">IF($G45="","", IFERROR(IF(COUNTIF($H$6, MID("己庚辛壬癸甲乙丙丁戊", FIND(LEFT($G45,1), "甲乙丙丁戊己庚辛壬癸"), 1))&gt;0, CHOOSE(INT((FIND(LEFT($G45,1), "甲己乙庚丙辛丁壬戊癸")+1)/2), "甲己干合", "乙庚干合", "丙辛干合", "丁壬干合", "戊癸干合"), ""), ""))</f>
        <v/>
      </c>
      <c r="T45" s="135" t="str">
        <f ca="1">INDEX('12運シート'!C:C, MATCH(1, INDEX(('12運シート'!A:A=TRIM($T$42)) * ('12運シート'!B:B=TRIM(E45)), 0), 0))</f>
        <v>陰影</v>
      </c>
      <c r="U45" s="224" t="str">
        <f ca="1">INDEX('12運シート'!$E:$E, MATCH(1, INDEX((TRIM('12運シート'!$A:$A)=TRIM($T$42)) * (TRIM('12運シート'!$B:$B)=TRIM(E45)), 0), 0))</f>
        <v>暗天</v>
      </c>
      <c r="V45" s="225" t="str">
        <f ca="1">VLOOKUP(U45,$V$6:$W$18, 2, FALSE)</f>
        <v>運気下降（運の冬入り）。孤独を感じやすいが水面下の自己鍛錬が必要。</v>
      </c>
      <c r="W45" s="135"/>
      <c r="X45" s="188"/>
      <c r="Y45" s="49"/>
      <c r="Z45" s="49"/>
      <c r="AA45" s="188"/>
      <c r="AB45" s="188"/>
      <c r="AC45" s="49"/>
      <c r="AD45" s="49"/>
      <c r="AE45" s="166" t="str">
        <f t="shared" si="12"/>
        <v>寅</v>
      </c>
      <c r="AF45" s="167">
        <f t="shared" si="5"/>
        <v>29</v>
      </c>
      <c r="AG45" s="168">
        <f t="shared" si="13"/>
        <v>2010</v>
      </c>
      <c r="AH45" s="100" t="str">
        <f>VLOOKUP(AM45,[1]大運!$B$31:$C$90,2,FALSE)</f>
        <v>庚寅</v>
      </c>
      <c r="AI45" s="99" t="str">
        <f>VLOOKUP($F$5&amp;"+"&amp;AM45,[1]大運!$H$45:$K$3644,3,FALSE)</f>
        <v>鳳閣星</v>
      </c>
      <c r="AJ45" s="73"/>
      <c r="AK45" s="99" t="str">
        <f>VLOOKUP($F$5&amp;"+"&amp;AM45,[1]大運!$H$45:$K$3644,4,FALSE)</f>
        <v>天貴星</v>
      </c>
      <c r="AL45" s="73"/>
      <c r="AM45" s="171">
        <f t="shared" si="6"/>
        <v>27</v>
      </c>
      <c r="AN45" s="164" t="str">
        <f>VLOOKUP($F$5&amp;"+"&amp;AM45,[1]大運!$H$45:$K$3644,2,FALSE)</f>
        <v>－</v>
      </c>
      <c r="AO45" s="164" t="str">
        <f>VLOOKUP($G$5&amp;"+"&amp;AM45,[1]大運!$H$45:$K$3644,2,FALSE)</f>
        <v>天剋地冲</v>
      </c>
      <c r="AP45" s="164" t="str">
        <f>VLOOKUP($H$5&amp;"+"&amp;AM45,[1]大運!$H$45:$K$3644,2,FALSE)</f>
        <v>－</v>
      </c>
      <c r="AQ45" s="100" t="str">
        <f t="shared" si="25"/>
        <v/>
      </c>
      <c r="AR45" s="172" t="str">
        <f t="shared" si="15"/>
        <v/>
      </c>
      <c r="AS45" s="172" t="str">
        <f t="shared" si="16"/>
        <v/>
      </c>
      <c r="AT45" s="172" t="str">
        <f t="shared" si="17"/>
        <v/>
      </c>
      <c r="AU45" s="49" t="str">
        <f>INDEX('12運シート'!C:C, MATCH(1, INDEX(('12運シート'!A:A=TRIM($T$42)) * ('12運シート'!B:B=TRIM(RIGHT(AE45, 1))), 0), 0))</f>
        <v>乱気</v>
      </c>
      <c r="AV45" s="49" t="str">
        <f>INDEX('12運シート'!$E:$E, MATCH(1, INDEX((TRIM('12運シート'!$A:$A)=TRIM($T$42)) * (TRIM('12運シート'!$B:$B)=TRIM(AE45)), 0), 0))</f>
        <v>伏魔天</v>
      </c>
      <c r="AW45" s="49" t="str">
        <f t="shared" si="18"/>
        <v>強すぎる運気の反動で迷いや摩擦が生じる。理性と現状維持が必要な嵐。</v>
      </c>
      <c r="AX45" s="49"/>
      <c r="AY45" s="49"/>
      <c r="AZ45" s="166" t="str">
        <f t="shared" ca="1" si="19"/>
        <v>卯</v>
      </c>
      <c r="BA45" s="173">
        <f t="shared" ca="1" si="20"/>
        <v>46171</v>
      </c>
      <c r="BB45" s="174">
        <f t="shared" ca="1" si="7"/>
        <v>40</v>
      </c>
      <c r="BC45" s="174" t="str">
        <f ca="1">VLOOKUP(BB45,[1]大運!$B$31:$C$90,2,FALSE)</f>
        <v>癸卯</v>
      </c>
      <c r="BD45" s="174" t="str">
        <f ca="1">VLOOKUP($F$5 &amp; "+" &amp; (MOD(BA45 - DATE(2024, 1, 1), 60) + 1), [1]大運!$H$45:$K$3644, 3, FALSE)</f>
        <v>司禄星</v>
      </c>
      <c r="BE45" s="174" t="str">
        <f ca="1">VLOOKUP($F$5 &amp; "+" &amp; (MOD(BA45 - DATE(2024, 1, 1), 60) + 1), [1]大運!$H$45:$K$3644, 4, FALSE)</f>
        <v>天恍星</v>
      </c>
      <c r="BF45" s="174" t="str">
        <f ca="1">VLOOKUP($F$5 &amp; "+" &amp; (MOD(BA45 - DATE(2024, 1, 1), 60) + 1), [1]大運!$H$45:$K$3644, 2, FALSE)</f>
        <v>刑</v>
      </c>
      <c r="BG45" s="174" t="str">
        <f ca="1">VLOOKUP($G$5 &amp; "+" &amp; (MOD(BA45 - DATE(2024, 1, 1), 60) + 1), [1]大運!$H$45:$K$3644, 2, FALSE)</f>
        <v>－</v>
      </c>
      <c r="BH45" s="174" t="str">
        <f ca="1">VLOOKUP($H$5 &amp; "+" &amp; (MOD(BA45 - DATE(2024, 1, 1), 60) + 1), [1]大運!$H$45:$K$3644, 2, FALSE)</f>
        <v>対冲</v>
      </c>
      <c r="BI45" s="172" t="str">
        <f t="shared" ca="1" si="21"/>
        <v>戊癸干合</v>
      </c>
      <c r="BJ45" s="172" t="str">
        <f t="shared" ca="1" si="22"/>
        <v/>
      </c>
      <c r="BK45" s="172" t="str">
        <f t="shared" ca="1" si="23"/>
        <v/>
      </c>
      <c r="BL45" s="174" t="str">
        <f ca="1">INDEX('12運シート'!C:C, MATCH(1, INDEX(('12運シート'!A:A=TRIM($T$42)) * ('12運シート'!B:B=TRIM(RIGHT(AZ45, 1))), 0), 0))</f>
        <v>再会</v>
      </c>
      <c r="BM45" s="174" t="str">
        <f ca="1">INDEX('12運シート'!$E:$E, MATCH(1, INDEX((TRIM('12運シート'!$A:$A)=TRIM($T$42)) * (TRIM('12運シート'!$B:$B)=TRIM(AZ45)), 0), 0))</f>
        <v>有頂天</v>
      </c>
      <c r="BN45" s="49" t="str">
        <f t="shared" ca="1" si="24"/>
        <v>第2の絶頂期。過去の縁が繋がり、周囲を巻き込み大きな成果を出す。</v>
      </c>
      <c r="BO45" s="49"/>
      <c r="BP45" s="49"/>
      <c r="BQ45" s="49"/>
      <c r="BR45" s="49"/>
      <c r="BS45" s="49"/>
      <c r="BT45" s="49"/>
      <c r="BU45" s="49"/>
      <c r="BV45" s="49"/>
      <c r="BW45" s="147"/>
      <c r="BX45" s="148"/>
      <c r="BY45" s="149"/>
      <c r="BZ45" s="140"/>
      <c r="CA45" s="149"/>
      <c r="CB45" s="149"/>
      <c r="CC45" s="149"/>
      <c r="CD45" s="148"/>
      <c r="CE45" s="149"/>
      <c r="CF45" s="50"/>
      <c r="CG45" s="49"/>
      <c r="CH45" s="49"/>
      <c r="CI45" s="49"/>
      <c r="CJ45" s="49"/>
      <c r="CK45" s="49"/>
      <c r="CL45" s="49"/>
      <c r="CM45" s="49"/>
      <c r="CN45" s="68"/>
      <c r="CO45" s="68"/>
      <c r="CP45" s="68"/>
      <c r="CQ45" s="68"/>
      <c r="CR45" s="68"/>
      <c r="CS45" s="68"/>
      <c r="CT45" s="68"/>
      <c r="CU45" s="68"/>
      <c r="CV45" s="68"/>
      <c r="CW45" s="68"/>
      <c r="CX45" s="68"/>
      <c r="CY45" s="68"/>
      <c r="CZ45" s="68"/>
      <c r="DA45" s="68"/>
      <c r="DB45" s="68"/>
      <c r="DC45" s="68"/>
      <c r="DD45" s="68"/>
      <c r="DE45" s="68"/>
      <c r="DF45" s="68"/>
      <c r="DG45" s="49"/>
      <c r="DH45" s="49"/>
      <c r="DI45" s="49"/>
      <c r="DJ45" s="49"/>
      <c r="DK45" s="49"/>
      <c r="DL45" s="49"/>
      <c r="DM45" s="49"/>
      <c r="DN45" s="49"/>
      <c r="DO45" s="49"/>
      <c r="DP45" s="49"/>
      <c r="DQ45" s="49"/>
      <c r="DR45" s="49"/>
      <c r="DS45" s="49"/>
      <c r="DT45" s="49"/>
      <c r="DU45" s="49"/>
      <c r="DV45" s="49"/>
      <c r="DW45" s="49"/>
      <c r="DX45" s="49"/>
    </row>
    <row r="46" spans="1:128" ht="18" customHeight="1">
      <c r="A46" s="49"/>
      <c r="B46" s="49"/>
      <c r="C46" s="49"/>
      <c r="D46" s="49"/>
      <c r="E46" s="166" t="str">
        <f t="shared" ref="E46:E69" ca="1" si="26">RIGHT(G46, 1)</f>
        <v>未</v>
      </c>
      <c r="F46" s="226" t="str">
        <f t="shared" ref="F46:F69" ca="1" si="27">TEXT(EDATE(TODAY(), ROW(A2) - 13), "yyyy/m")</f>
        <v>2025/7</v>
      </c>
      <c r="G46" s="178" t="str">
        <f ca="1">VLOOKUP(MOD((YEAR(F46)-2024)*12 + MONTH(F46), 60) + 1, [1]大運!$B$31:$C$90, 2, FALSE)</f>
        <v>癸未</v>
      </c>
      <c r="H46" s="178" t="str">
        <f ca="1">VLOOKUP($F$5 &amp; "+" &amp; (MOD((YEAR(F46)-1900)*12 + MONTH(F46) + 2, 60) + 1), [1]大運!$H$45:$K$3644, 3, FALSE)</f>
        <v>司禄星</v>
      </c>
      <c r="I46" s="221"/>
      <c r="J46" s="178" t="str">
        <f ca="1">VLOOKUP($F$5 &amp; "+" &amp; (MOD((YEAR(F46)-1900)*12 + MONTH(F46), 60) + 1), [1]大運!$H$45:$K$3644, 4, FALSE)</f>
        <v>天堂星</v>
      </c>
      <c r="K46" s="221"/>
      <c r="L46" s="222">
        <f t="shared" ref="L46:L69" ca="1" si="28">MOD((YEAR(F46)-1900)*12 + MONTH(F46) + 35, 60) + 1</f>
        <v>43</v>
      </c>
      <c r="M46" s="178" t="str">
        <f ca="1">VLOOKUP($F$5 &amp; "+" &amp; (MOD((YEAR(F46)-1900)*12 + MONTH(F46) + 12, 60) + 1), [1]大運!$H$45:$K$3644, 2, FALSE)</f>
        <v>害</v>
      </c>
      <c r="N46" s="178" t="str">
        <f ca="1">VLOOKUP($G$5 &amp; "+" &amp; (MOD((YEAR(F46)-1900)*12 + MONTH(F46) + 12, 60) + 1), [1]大運!$H$45:$K$3644, 2, FALSE)</f>
        <v>－</v>
      </c>
      <c r="O46" s="178" t="str">
        <f ca="1">VLOOKUP($H$5 &amp; "+" &amp; (MOD((YEAR(F46)-1900)*12 + MONTH(F46) + 12, 60) + 1), [1]大運!$H$45:$K$3644, 2, FALSE)</f>
        <v>－</v>
      </c>
      <c r="P46" s="100" t="str">
        <f t="shared" ref="P46:P69" ca="1" si="29">IF(OR(RIGHT(G46,1)=$E$6,RIGHT(G46,1)=$E$7),"殺","")&amp;IF(ABS(RIGHT(L46,1)-RIGHT($F$5,1))=5,"日","")&amp;IF(ABS(RIGHT(L46,1)-RIGHT($G$5,1))=5,"月","")&amp;IF(ABS(RIGHT(L46,1)-RIGHT($H$5,1))=5,"年","")</f>
        <v>殺年</v>
      </c>
      <c r="Q46" s="172" t="str">
        <f t="shared" ref="Q46:Q69" ca="1" si="30">IF($G46="","", IFERROR(IF(COUNTIF($F$6, MID("己庚辛壬癸甲乙丙丁戊", FIND(LEFT($G46,1), "甲乙丙丁戊己庚辛壬癸"), 1))&gt;0, CHOOSE(INT((FIND(LEFT($G46,1), "甲己乙庚丙辛丁壬戊癸")+1)/2), "甲己干合", "乙庚干合", "丙辛干合", "丁壬干合", "戊癸干合"), ""), ""))</f>
        <v>戊癸干合</v>
      </c>
      <c r="R46" s="172" t="str">
        <f t="shared" ref="R46:R69" ca="1" si="31">IF($G46="","", IFERROR(IF(COUNTIF($G$6, MID("己庚辛壬癸甲乙丙丁戊", FIND(LEFT($G46,1), "甲乙丙丁戊己庚辛壬癸"), 1))&gt;0, CHOOSE(INT((FIND(LEFT($G46,1), "甲己乙庚丙辛丁壬戊癸")+1)/2), "甲己干合", "乙庚干合", "丙辛干合", "丁壬干合", "戊癸干合"), ""), ""))</f>
        <v/>
      </c>
      <c r="S46" s="172" t="str">
        <f t="shared" ref="S46:S69" ca="1" si="32">IF($G46="","", IFERROR(IF(COUNTIF($H$6, MID("己庚辛壬癸甲乙丙丁戊", FIND(LEFT($G46,1), "甲乙丙丁戊己庚辛壬癸"), 1))&gt;0, CHOOSE(INT((FIND(LEFT($G46,1), "甲己乙庚丙辛丁壬戊癸")+1)/2), "甲己干合", "乙庚干合", "丙辛干合", "丁壬干合", "戊癸干合"), ""), ""))</f>
        <v/>
      </c>
      <c r="T46" s="135" t="str">
        <f ca="1">INDEX('12運シート'!C:C, MATCH(1, INDEX(('12運シート'!A:A=TRIM($T$42)) * ('12運シート'!B:B=TRIM(E46)), 0), 0))</f>
        <v>停止</v>
      </c>
      <c r="U46" s="224" t="str">
        <f ca="1">INDEX('12運シート'!E:E, MATCH(1, INDEX((TRIM('12運シート'!A:A)=TRIM($T$42)) * (TRIM('12運シート'!B:B)=TRIM(E46)), 0), 0))</f>
        <v>大曇天</v>
      </c>
      <c r="V46" s="225" t="str">
        <f t="shared" ref="V46:V69" ca="1" si="33">VLOOKUP(U46,$V$6:$W$18, 2, FALSE)</f>
        <v>運命の停止（運の真冬時期）。古い価値観を手放す究極の浄化期間。</v>
      </c>
      <c r="W46" s="135"/>
      <c r="X46" s="188"/>
      <c r="Y46" s="49"/>
      <c r="Z46" s="49"/>
      <c r="AA46" s="188"/>
      <c r="AB46" s="188"/>
      <c r="AC46" s="49"/>
      <c r="AD46" s="49"/>
      <c r="AE46" s="166" t="str">
        <f t="shared" si="12"/>
        <v>卯</v>
      </c>
      <c r="AF46" s="167">
        <f t="shared" si="5"/>
        <v>30</v>
      </c>
      <c r="AG46" s="168">
        <f t="shared" si="13"/>
        <v>2011</v>
      </c>
      <c r="AH46" s="100" t="str">
        <f>VLOOKUP(AM46,[1]大運!$B$31:$C$90,2,FALSE)</f>
        <v>辛卯</v>
      </c>
      <c r="AI46" s="99" t="str">
        <f>VLOOKUP($F$5&amp;"+"&amp;AM46,[1]大運!$H$45:$K$3644,3,FALSE)</f>
        <v>調舒星</v>
      </c>
      <c r="AJ46" s="73"/>
      <c r="AK46" s="99" t="str">
        <f>VLOOKUP($F$5&amp;"+"&amp;AM46,[1]大運!$H$45:$K$3644,4,FALSE)</f>
        <v>天恍星</v>
      </c>
      <c r="AL46" s="73"/>
      <c r="AM46" s="171">
        <f t="shared" si="6"/>
        <v>28</v>
      </c>
      <c r="AN46" s="164" t="str">
        <f>VLOOKUP($F$5&amp;"+"&amp;AM46,[1]大運!$H$45:$K$3644,2,FALSE)</f>
        <v>刑</v>
      </c>
      <c r="AO46" s="164" t="str">
        <f>VLOOKUP($G$5&amp;"+"&amp;AM46,[1]大運!$H$45:$K$3644,2,FALSE)</f>
        <v>－</v>
      </c>
      <c r="AP46" s="164" t="str">
        <f>VLOOKUP($H$5&amp;"+"&amp;AM46,[1]大運!$H$45:$K$3644,2,FALSE)</f>
        <v>納音</v>
      </c>
      <c r="AQ46" s="100" t="str">
        <f t="shared" si="25"/>
        <v>月</v>
      </c>
      <c r="AR46" s="172" t="str">
        <f t="shared" si="15"/>
        <v/>
      </c>
      <c r="AS46" s="172" t="str">
        <f t="shared" si="16"/>
        <v>丙辛干合</v>
      </c>
      <c r="AT46" s="172" t="str">
        <f t="shared" si="17"/>
        <v/>
      </c>
      <c r="AU46" s="49" t="str">
        <f>INDEX('12運シート'!C:C, MATCH(1, INDEX(('12運シート'!A:A=TRIM($T$42)) * ('12運シート'!B:B=TRIM(RIGHT(AE46, 1))), 0), 0))</f>
        <v>再会</v>
      </c>
      <c r="AV46" s="49" t="str">
        <f>INDEX('12運シート'!$E:$E, MATCH(1, INDEX((TRIM('12運シート'!$A:$A)=TRIM($T$42)) * (TRIM('12運シート'!$B:$B)=TRIM(AE46)), 0), 0))</f>
        <v>有頂天</v>
      </c>
      <c r="AW46" s="49" t="str">
        <f t="shared" si="18"/>
        <v>第2の絶頂期。過去の縁が繋がり、周囲を巻き込み大きな成果を出す。</v>
      </c>
      <c r="AX46" s="49"/>
      <c r="AY46" s="49"/>
      <c r="AZ46" s="166" t="str">
        <f t="shared" ca="1" si="19"/>
        <v>辰</v>
      </c>
      <c r="BA46" s="173">
        <f t="shared" ca="1" si="20"/>
        <v>46172</v>
      </c>
      <c r="BB46" s="174">
        <f t="shared" ca="1" si="7"/>
        <v>41</v>
      </c>
      <c r="BC46" s="174" t="str">
        <f ca="1">VLOOKUP(BB46,[1]大運!$B$31:$C$90,2,FALSE)</f>
        <v>甲辰</v>
      </c>
      <c r="BD46" s="174" t="str">
        <f ca="1">VLOOKUP($F$5 &amp; "+" &amp; (MOD(BA46 - DATE(2024, 1, 1), 60) + 1), [1]大運!$H$45:$K$3644, 3, FALSE)</f>
        <v>車騎星</v>
      </c>
      <c r="BE46" s="174" t="str">
        <f ca="1">VLOOKUP($F$5 &amp; "+" &amp; (MOD(BA46 - DATE(2024, 1, 1), 60) + 1), [1]大運!$H$45:$K$3644, 4, FALSE)</f>
        <v>天南星</v>
      </c>
      <c r="BF46" s="174" t="str">
        <f ca="1">VLOOKUP($F$5 &amp; "+" &amp; (MOD(BA46 - DATE(2024, 1, 1), 60) + 1), [1]大運!$H$45:$K$3644, 2, FALSE)</f>
        <v>半会</v>
      </c>
      <c r="BG46" s="174" t="str">
        <f ca="1">VLOOKUP($G$5 &amp; "+" &amp; (MOD(BA46 - DATE(2024, 1, 1), 60) + 1), [1]大運!$H$45:$K$3644, 2, FALSE)</f>
        <v>半会</v>
      </c>
      <c r="BH46" s="174" t="str">
        <f ca="1">VLOOKUP($H$5 &amp; "+" &amp; (MOD(BA46 - DATE(2024, 1, 1), 60) + 1), [1]大運!$H$45:$K$3644, 2, FALSE)</f>
        <v>支合</v>
      </c>
      <c r="BI46" s="172" t="str">
        <f t="shared" ca="1" si="21"/>
        <v/>
      </c>
      <c r="BJ46" s="172" t="str">
        <f t="shared" ca="1" si="22"/>
        <v/>
      </c>
      <c r="BK46" s="172" t="str">
        <f t="shared" ca="1" si="23"/>
        <v/>
      </c>
      <c r="BL46" s="174" t="str">
        <f ca="1">INDEX('12運シート'!C:C, MATCH(1, INDEX(('12運シート'!A:A=TRIM($T$42)) * ('12運シート'!B:B=TRIM(RIGHT(AZ46, 1))), 0), 0))</f>
        <v>財成</v>
      </c>
      <c r="BM46" s="174" t="str">
        <f ca="1">INDEX('12運シート'!$E:$E, MATCH(1, INDEX((TRIM('12運シート'!$A:$A)=TRIM($T$42)) * (TRIM('12運シート'!$B:$B)=TRIM(AZ46)), 0), 0))</f>
        <v>満天</v>
      </c>
      <c r="BN46" s="49" t="str">
        <f t="shared" ca="1" si="24"/>
        <v>収穫の喜び。物質や人脈などあらゆる財を蓄積し、強固な基盤を作る。</v>
      </c>
      <c r="BO46" s="49"/>
      <c r="BP46" s="49"/>
      <c r="BQ46" s="49"/>
      <c r="BR46" s="49"/>
      <c r="BS46" s="49"/>
      <c r="BT46" s="49"/>
      <c r="BU46" s="49"/>
      <c r="BV46" s="49"/>
      <c r="BW46" s="210"/>
      <c r="BX46" s="148"/>
      <c r="BY46" s="149"/>
      <c r="BZ46" s="140"/>
      <c r="CA46" s="149"/>
      <c r="CB46" s="149"/>
      <c r="CC46" s="149"/>
      <c r="CD46" s="148"/>
      <c r="CE46" s="149"/>
      <c r="CF46" s="150"/>
      <c r="CG46" s="49"/>
      <c r="CH46" s="49"/>
      <c r="CI46" s="49"/>
      <c r="CJ46" s="49"/>
      <c r="CK46" s="49"/>
      <c r="CL46" s="49"/>
      <c r="CM46" s="49"/>
      <c r="CN46" s="68"/>
      <c r="CO46" s="68"/>
      <c r="CP46" s="68"/>
      <c r="CQ46" s="68"/>
      <c r="CR46" s="68"/>
      <c r="CS46" s="68"/>
      <c r="CT46" s="68"/>
      <c r="CU46" s="68"/>
      <c r="CV46" s="68"/>
      <c r="CW46" s="68"/>
      <c r="CX46" s="68"/>
      <c r="CY46" s="68"/>
      <c r="CZ46" s="68"/>
      <c r="DA46" s="68"/>
      <c r="DB46" s="68"/>
      <c r="DC46" s="68"/>
      <c r="DD46" s="68"/>
      <c r="DE46" s="68"/>
      <c r="DF46" s="68"/>
      <c r="DG46" s="49"/>
      <c r="DH46" s="49"/>
      <c r="DI46" s="49"/>
      <c r="DJ46" s="49"/>
      <c r="DK46" s="49"/>
      <c r="DL46" s="49"/>
      <c r="DM46" s="49"/>
      <c r="DN46" s="49"/>
      <c r="DO46" s="49"/>
      <c r="DP46" s="49"/>
      <c r="DQ46" s="49"/>
      <c r="DR46" s="49"/>
      <c r="DS46" s="49"/>
      <c r="DT46" s="49"/>
      <c r="DU46" s="49"/>
      <c r="DV46" s="49"/>
      <c r="DW46" s="49"/>
      <c r="DX46" s="49"/>
    </row>
    <row r="47" spans="1:128" ht="18" customHeight="1">
      <c r="A47" s="49"/>
      <c r="B47" s="49"/>
      <c r="C47" s="49"/>
      <c r="D47" s="49"/>
      <c r="E47" s="166" t="str">
        <f t="shared" ca="1" si="26"/>
        <v>申</v>
      </c>
      <c r="F47" s="226" t="str">
        <f t="shared" ca="1" si="27"/>
        <v>2025/8</v>
      </c>
      <c r="G47" s="178" t="str">
        <f ca="1">VLOOKUP(MOD((YEAR(F47)-2024)*12 + MONTH(F47), 60) + 1, [1]大運!$B$31:$C$90, 2, FALSE)</f>
        <v>甲申</v>
      </c>
      <c r="H47" s="178" t="str">
        <f ca="1">VLOOKUP($F$5 &amp; "+" &amp; (MOD((YEAR(F47)-1900)*12 + MONTH(F47) + 2, 60) + 1), [1]大運!$H$45:$K$3644, 3, FALSE)</f>
        <v>車騎星</v>
      </c>
      <c r="I47" s="221"/>
      <c r="J47" s="178" t="str">
        <f ca="1">VLOOKUP($F$5 &amp; "+" &amp; (MOD((YEAR(F47)-1900)*12 + MONTH(F47), 60) + 1), [1]大運!$H$45:$K$3644, 4, FALSE)</f>
        <v>天胡星</v>
      </c>
      <c r="K47" s="221"/>
      <c r="L47" s="222">
        <f t="shared" ca="1" si="28"/>
        <v>44</v>
      </c>
      <c r="M47" s="178" t="str">
        <f ca="1">VLOOKUP($F$5 &amp; "+" &amp; (MOD((YEAR(F47)-1900)*12 + MONTH(F47) + 12, 60) + 1), [1]大運!$H$45:$K$3644, 2, FALSE)</f>
        <v>半会</v>
      </c>
      <c r="N47" s="178" t="str">
        <f ca="1">VLOOKUP($G$5 &amp; "+" &amp; (MOD((YEAR(F47)-1900)*12 + MONTH(F47) + 12, 60) + 1), [1]大運!$H$45:$K$3644, 2, FALSE)</f>
        <v>同</v>
      </c>
      <c r="O47" s="178" t="str">
        <f ca="1">VLOOKUP($H$5 &amp; "+" &amp; (MOD((YEAR(F47)-1900)*12 + MONTH(F47) + 12, 60) + 1), [1]大運!$H$45:$K$3644, 2, FALSE)</f>
        <v>準方位</v>
      </c>
      <c r="P47" s="100" t="str">
        <f t="shared" ca="1" si="29"/>
        <v/>
      </c>
      <c r="Q47" s="172" t="str">
        <f t="shared" ca="1" si="30"/>
        <v/>
      </c>
      <c r="R47" s="172" t="str">
        <f t="shared" ca="1" si="31"/>
        <v/>
      </c>
      <c r="S47" s="172" t="str">
        <f t="shared" ca="1" si="32"/>
        <v/>
      </c>
      <c r="T47" s="135" t="str">
        <f ca="1">INDEX('12運シート'!C:C, MATCH(1, INDEX(('12運シート'!A:A=TRIM($T$42)) * ('12運シート'!B:B=TRIM(E47)), 0), 0))</f>
        <v>減退</v>
      </c>
      <c r="U47" s="224" t="str">
        <f ca="1">INDEX('12運シート'!E:E, MATCH(1, INDEX((TRIM('12運シート'!A:A)=TRIM($T$42)) * (TRIM('12運シート'!B:B)=TRIM(E47)), 0), 0))</f>
        <v>雨天</v>
      </c>
      <c r="V47" s="225" t="str">
        <f t="shared" ca="1" si="33"/>
        <v>カルマの精算。過去の執着をすべて洗い流し、次の春への準備を整える。</v>
      </c>
      <c r="W47" s="135"/>
      <c r="X47" s="188"/>
      <c r="Y47" s="49"/>
      <c r="Z47" s="49"/>
      <c r="AA47" s="188"/>
      <c r="AB47" s="188"/>
      <c r="AC47" s="49"/>
      <c r="AD47" s="49"/>
      <c r="AE47" s="166" t="str">
        <f t="shared" si="12"/>
        <v>辰</v>
      </c>
      <c r="AF47" s="167">
        <f t="shared" si="5"/>
        <v>31</v>
      </c>
      <c r="AG47" s="168">
        <f t="shared" si="13"/>
        <v>2012</v>
      </c>
      <c r="AH47" s="100" t="str">
        <f>VLOOKUP(AM47,[1]大運!$B$31:$C$90,2,FALSE)</f>
        <v>壬辰</v>
      </c>
      <c r="AI47" s="99" t="str">
        <f>VLOOKUP($F$5&amp;"+"&amp;AM47,[1]大運!$H$45:$K$3644,3,FALSE)</f>
        <v>禄存星</v>
      </c>
      <c r="AJ47" s="73"/>
      <c r="AK47" s="99" t="str">
        <f>VLOOKUP($F$5&amp;"+"&amp;AM47,[1]大運!$H$45:$K$3644,4,FALSE)</f>
        <v>天南星</v>
      </c>
      <c r="AL47" s="73"/>
      <c r="AM47" s="171">
        <f t="shared" si="6"/>
        <v>29</v>
      </c>
      <c r="AN47" s="164" t="str">
        <f>VLOOKUP($F$5&amp;"+"&amp;AM47,[1]大運!$H$45:$K$3644,2,FALSE)</f>
        <v>半会</v>
      </c>
      <c r="AO47" s="164" t="str">
        <f>VLOOKUP($G$5&amp;"+"&amp;AM47,[1]大運!$H$45:$K$3644,2,FALSE)</f>
        <v>半会</v>
      </c>
      <c r="AP47" s="164" t="str">
        <f>VLOOKUP($H$5&amp;"+"&amp;AM47,[1]大運!$H$45:$K$3644,2,FALSE)</f>
        <v>支合</v>
      </c>
      <c r="AQ47" s="100" t="str">
        <f t="shared" si="25"/>
        <v/>
      </c>
      <c r="AR47" s="172" t="str">
        <f t="shared" si="15"/>
        <v/>
      </c>
      <c r="AS47" s="172" t="str">
        <f t="shared" si="16"/>
        <v/>
      </c>
      <c r="AT47" s="172" t="str">
        <f t="shared" si="17"/>
        <v/>
      </c>
      <c r="AU47" s="49" t="str">
        <f>INDEX('12運シート'!C:C, MATCH(1, INDEX(('12運シート'!A:A=TRIM($T$42)) * ('12運シート'!B:B=TRIM(RIGHT(AE47, 1))), 0), 0))</f>
        <v>財成</v>
      </c>
      <c r="AV47" s="49" t="str">
        <f>INDEX('12運シート'!$E:$E, MATCH(1, INDEX((TRIM('12運シート'!$A:$A)=TRIM($T$42)) * (TRIM('12運シート'!$B:$B)=TRIM(AE47)), 0), 0))</f>
        <v>満天</v>
      </c>
      <c r="AW47" s="49" t="str">
        <f t="shared" si="18"/>
        <v>収穫の喜び。物質や人脈などあらゆる財を蓄積し、強固な基盤を作る。</v>
      </c>
      <c r="AX47" s="49"/>
      <c r="AY47" s="49"/>
      <c r="AZ47" s="166" t="str">
        <f t="shared" ca="1" si="19"/>
        <v>巳</v>
      </c>
      <c r="BA47" s="173">
        <f t="shared" ca="1" si="20"/>
        <v>46173</v>
      </c>
      <c r="BB47" s="174">
        <f t="shared" ca="1" si="7"/>
        <v>42</v>
      </c>
      <c r="BC47" s="174" t="str">
        <f ca="1">VLOOKUP(BB47,[1]大運!$B$31:$C$90,2,FALSE)</f>
        <v>乙巳</v>
      </c>
      <c r="BD47" s="174" t="str">
        <f ca="1">VLOOKUP($F$5 &amp; "+" &amp; (MOD(BA47 - DATE(2024, 1, 1), 60) + 1), [1]大運!$H$45:$K$3644, 3, FALSE)</f>
        <v>牽牛星</v>
      </c>
      <c r="BE47" s="174" t="str">
        <f ca="1">VLOOKUP($F$5 &amp; "+" &amp; (MOD(BA47 - DATE(2024, 1, 1), 60) + 1), [1]大運!$H$45:$K$3644, 4, FALSE)</f>
        <v>天禄星</v>
      </c>
      <c r="BF47" s="174" t="str">
        <f ca="1">VLOOKUP($F$5 &amp; "+" &amp; (MOD(BA47 - DATE(2024, 1, 1), 60) + 1), [1]大運!$H$45:$K$3644, 2, FALSE)</f>
        <v>－</v>
      </c>
      <c r="BG47" s="174" t="str">
        <f ca="1">VLOOKUP($G$5 &amp; "+" &amp; (MOD(BA47 - DATE(2024, 1, 1), 60) + 1), [1]大運!$H$45:$K$3644, 2, FALSE)</f>
        <v>支合</v>
      </c>
      <c r="BH47" s="174" t="str">
        <f ca="1">VLOOKUP($H$5 &amp; "+" &amp; (MOD(BA47 - DATE(2024, 1, 1), 60) + 1), [1]大運!$H$45:$K$3644, 2, FALSE)</f>
        <v>半会</v>
      </c>
      <c r="BI47" s="172" t="str">
        <f t="shared" ca="1" si="21"/>
        <v/>
      </c>
      <c r="BJ47" s="172" t="str">
        <f t="shared" ca="1" si="22"/>
        <v/>
      </c>
      <c r="BK47" s="172" t="str">
        <f t="shared" ca="1" si="23"/>
        <v/>
      </c>
      <c r="BL47" s="174" t="str">
        <f ca="1">INDEX('12運シート'!C:C, MATCH(1, INDEX(('12運シート'!A:A=TRIM($T$42)) * ('12運シート'!B:B=TRIM(RIGHT(AZ47, 1))), 0), 0))</f>
        <v>充実</v>
      </c>
      <c r="BM47" s="174" t="str">
        <f ca="1">INDEX('12運シート'!$E:$E, MATCH(1, INDEX((TRIM('12運シート'!$A:$A)=TRIM($T$42)) * (TRIM('12運シート'!$B:$B)=TRIM(AZ47)), 0), 0))</f>
        <v>静天</v>
      </c>
      <c r="BN47" s="49" t="str">
        <f t="shared" ca="1" si="24"/>
        <v>成果が出揃う。精神的な安定と充実の中で平和に人生を俯瞰する時期。</v>
      </c>
      <c r="BO47" s="49"/>
      <c r="BP47" s="49"/>
      <c r="BQ47" s="49"/>
      <c r="BR47" s="49"/>
      <c r="BS47" s="49"/>
      <c r="BT47" s="49"/>
      <c r="BU47" s="49"/>
      <c r="BV47" s="49"/>
      <c r="BW47" s="147"/>
      <c r="BX47" s="148"/>
      <c r="BY47" s="149"/>
      <c r="BZ47" s="140"/>
      <c r="CA47" s="149"/>
      <c r="CB47" s="149"/>
      <c r="CC47" s="149"/>
      <c r="CD47" s="148"/>
      <c r="CE47" s="149"/>
      <c r="CF47" s="50"/>
      <c r="CG47" s="49"/>
      <c r="CH47" s="49"/>
      <c r="CI47" s="49"/>
      <c r="CJ47" s="49"/>
      <c r="CK47" s="49"/>
      <c r="CL47" s="49"/>
      <c r="CM47" s="49"/>
      <c r="CN47" s="68"/>
      <c r="CO47" s="68"/>
      <c r="CP47" s="68"/>
      <c r="CQ47" s="68"/>
      <c r="CR47" s="68"/>
      <c r="CS47" s="68"/>
      <c r="CT47" s="68"/>
      <c r="CU47" s="68"/>
      <c r="CV47" s="68"/>
      <c r="CW47" s="68"/>
      <c r="CX47" s="68"/>
      <c r="CY47" s="68"/>
      <c r="CZ47" s="68"/>
      <c r="DA47" s="68"/>
      <c r="DB47" s="68"/>
      <c r="DC47" s="68"/>
      <c r="DD47" s="68"/>
      <c r="DE47" s="68"/>
      <c r="DF47" s="68"/>
      <c r="DG47" s="49"/>
      <c r="DH47" s="49"/>
      <c r="DI47" s="49"/>
      <c r="DJ47" s="49"/>
      <c r="DK47" s="49"/>
      <c r="DL47" s="49"/>
      <c r="DM47" s="49"/>
      <c r="DN47" s="49"/>
      <c r="DO47" s="49"/>
      <c r="DP47" s="49"/>
      <c r="DQ47" s="49"/>
      <c r="DR47" s="49"/>
      <c r="DS47" s="49"/>
      <c r="DT47" s="49"/>
      <c r="DU47" s="49"/>
      <c r="DV47" s="49"/>
      <c r="DW47" s="49"/>
      <c r="DX47" s="49"/>
    </row>
    <row r="48" spans="1:128" ht="18" customHeight="1">
      <c r="A48" s="49"/>
      <c r="B48" s="49"/>
      <c r="C48" s="49"/>
      <c r="D48" s="49"/>
      <c r="E48" s="166" t="str">
        <f t="shared" ca="1" si="26"/>
        <v>酉</v>
      </c>
      <c r="F48" s="226" t="str">
        <f t="shared" ca="1" si="27"/>
        <v>2025/9</v>
      </c>
      <c r="G48" s="178" t="str">
        <f ca="1">VLOOKUP(MOD((YEAR(F48)-2024)*12 + MONTH(F48), 60) + 1, [1]大運!$B$31:$C$90, 2, FALSE)</f>
        <v>乙酉</v>
      </c>
      <c r="H48" s="178" t="str">
        <f ca="1">VLOOKUP($F$5 &amp; "+" &amp; (MOD((YEAR(F48)-1900)*12 + MONTH(F48) + 2, 60) + 1), [1]大運!$H$45:$K$3644, 3, FALSE)</f>
        <v>牽牛星</v>
      </c>
      <c r="I48" s="221"/>
      <c r="J48" s="178" t="str">
        <f ca="1">VLOOKUP($F$5 &amp; "+" &amp; (MOD((YEAR(F48)-1900)*12 + MONTH(F48), 60) + 1), [1]大運!$H$45:$K$3644, 4, FALSE)</f>
        <v>天極星</v>
      </c>
      <c r="K48" s="221"/>
      <c r="L48" s="222">
        <f t="shared" ca="1" si="28"/>
        <v>45</v>
      </c>
      <c r="M48" s="178" t="str">
        <f ca="1">VLOOKUP($F$5 &amp; "+" &amp; (MOD((YEAR(F48)-1900)*12 + MONTH(F48) + 12, 60) + 1), [1]大運!$H$45:$K$3644, 2, FALSE)</f>
        <v>破</v>
      </c>
      <c r="N48" s="178" t="str">
        <f ca="1">VLOOKUP($G$5 &amp; "+" &amp; (MOD((YEAR(F48)-1900)*12 + MONTH(F48) + 12, 60) + 1), [1]大運!$H$45:$K$3644, 2, FALSE)</f>
        <v>準方位</v>
      </c>
      <c r="O48" s="178" t="str">
        <f ca="1">VLOOKUP($H$5 &amp; "+" &amp; (MOD((YEAR(F48)-1900)*12 + MONTH(F48) + 12, 60) + 1), [1]大運!$H$45:$K$3644, 2, FALSE)</f>
        <v>自刑</v>
      </c>
      <c r="P48" s="100" t="str">
        <f t="shared" ca="1" si="29"/>
        <v/>
      </c>
      <c r="Q48" s="172" t="str">
        <f t="shared" ca="1" si="30"/>
        <v/>
      </c>
      <c r="R48" s="172" t="str">
        <f t="shared" ca="1" si="31"/>
        <v/>
      </c>
      <c r="S48" s="172" t="str">
        <f t="shared" ca="1" si="32"/>
        <v/>
      </c>
      <c r="T48" s="135" t="str">
        <f ca="1">INDEX('12運シート'!C:C, MATCH(1, INDEX(('12運シート'!A:A=TRIM($T$42)) * ('12運シート'!B:B=TRIM(E48)), 0), 0))</f>
        <v>種子</v>
      </c>
      <c r="U48" s="224" t="str">
        <f ca="1">INDEX('12運シート'!E:E, MATCH(1, INDEX((TRIM('12運シート'!A:A)=TRIM($T$42)) * (TRIM('12運シート'!B:B)=TRIM(E48)), 0), 0))</f>
        <v>起天</v>
      </c>
      <c r="V48" s="225" t="str">
        <f t="shared" ca="1" si="33"/>
        <v>運命の幕開け。過去を断ち切り新しい種をまく開拓期。</v>
      </c>
      <c r="W48" s="135"/>
      <c r="X48" s="188"/>
      <c r="Y48" s="49"/>
      <c r="Z48" s="49"/>
      <c r="AA48" s="188"/>
      <c r="AB48" s="188"/>
      <c r="AC48" s="49"/>
      <c r="AD48" s="49"/>
      <c r="AE48" s="166" t="str">
        <f t="shared" si="12"/>
        <v>巳</v>
      </c>
      <c r="AF48" s="167">
        <f t="shared" si="5"/>
        <v>32</v>
      </c>
      <c r="AG48" s="168">
        <f t="shared" si="13"/>
        <v>2013</v>
      </c>
      <c r="AH48" s="100" t="str">
        <f>VLOOKUP(AM48,[1]大運!$B$31:$C$90,2,FALSE)</f>
        <v>癸巳</v>
      </c>
      <c r="AI48" s="99" t="str">
        <f>VLOOKUP($F$5&amp;"+"&amp;AM48,[1]大運!$H$45:$K$3644,3,FALSE)</f>
        <v>司禄星</v>
      </c>
      <c r="AJ48" s="73"/>
      <c r="AK48" s="99" t="str">
        <f>VLOOKUP($F$5&amp;"+"&amp;AM48,[1]大運!$H$45:$K$3644,4,FALSE)</f>
        <v>天禄星</v>
      </c>
      <c r="AL48" s="73"/>
      <c r="AM48" s="171">
        <f t="shared" si="6"/>
        <v>30</v>
      </c>
      <c r="AN48" s="164" t="str">
        <f>VLOOKUP($F$5&amp;"+"&amp;AM48,[1]大運!$H$45:$K$3644,2,FALSE)</f>
        <v>－</v>
      </c>
      <c r="AO48" s="164" t="str">
        <f>VLOOKUP($G$5&amp;"+"&amp;AM48,[1]大運!$H$45:$K$3644,2,FALSE)</f>
        <v>支合</v>
      </c>
      <c r="AP48" s="164" t="str">
        <f>VLOOKUP($H$5&amp;"+"&amp;AM48,[1]大運!$H$45:$K$3644,2,FALSE)</f>
        <v>半会</v>
      </c>
      <c r="AQ48" s="100" t="str">
        <f t="shared" si="25"/>
        <v>日</v>
      </c>
      <c r="AR48" s="172" t="str">
        <f t="shared" si="15"/>
        <v>戊癸干合</v>
      </c>
      <c r="AS48" s="172" t="str">
        <f t="shared" si="16"/>
        <v/>
      </c>
      <c r="AT48" s="172" t="str">
        <f t="shared" si="17"/>
        <v/>
      </c>
      <c r="AU48" s="49" t="str">
        <f>INDEX('12運シート'!C:C, MATCH(1, INDEX(('12運シート'!A:A=TRIM($T$42)) * ('12運シート'!B:B=TRIM(RIGHT(AE48, 1))), 0), 0))</f>
        <v>充実</v>
      </c>
      <c r="AV48" s="49" t="str">
        <f>INDEX('12運シート'!$E:$E, MATCH(1, INDEX((TRIM('12運シート'!$A:$A)=TRIM($T$42)) * (TRIM('12運シート'!$B:$B)=TRIM(AE48)), 0), 0))</f>
        <v>静天</v>
      </c>
      <c r="AW48" s="49" t="str">
        <f t="shared" si="18"/>
        <v>成果が出揃う。精神的な安定と充実の中で平和に人生を俯瞰する時期。</v>
      </c>
      <c r="AX48" s="49"/>
      <c r="AY48" s="49"/>
      <c r="AZ48" s="166" t="str">
        <f t="shared" ca="1" si="19"/>
        <v>午</v>
      </c>
      <c r="BA48" s="173">
        <f t="shared" ca="1" si="20"/>
        <v>46174</v>
      </c>
      <c r="BB48" s="174">
        <f t="shared" ca="1" si="7"/>
        <v>43</v>
      </c>
      <c r="BC48" s="174" t="str">
        <f ca="1">VLOOKUP(BB48,[1]大運!$B$31:$C$90,2,FALSE)</f>
        <v>丙午</v>
      </c>
      <c r="BD48" s="174" t="str">
        <f ca="1">VLOOKUP($F$5 &amp; "+" &amp; (MOD(BA48 - DATE(2024, 1, 1), 60) + 1), [1]大運!$H$45:$K$3644, 3, FALSE)</f>
        <v>龍高星</v>
      </c>
      <c r="BE48" s="174" t="str">
        <f ca="1">VLOOKUP($F$5 &amp; "+" &amp; (MOD(BA48 - DATE(2024, 1, 1), 60) + 1), [1]大運!$H$45:$K$3644, 4, FALSE)</f>
        <v>天将星</v>
      </c>
      <c r="BF48" s="174" t="str">
        <f ca="1">VLOOKUP($F$5 &amp; "+" &amp; (MOD(BA48 - DATE(2024, 1, 1), 60) + 1), [1]大運!$H$45:$K$3644, 2, FALSE)</f>
        <v>対冲</v>
      </c>
      <c r="BG48" s="174" t="str">
        <f ca="1">VLOOKUP($G$5 &amp; "+" &amp; (MOD(BA48 - DATE(2024, 1, 1), 60) + 1), [1]大運!$H$45:$K$3644, 2, FALSE)</f>
        <v>－</v>
      </c>
      <c r="BH48" s="174" t="str">
        <f ca="1">VLOOKUP($H$5 &amp; "+" &amp; (MOD(BA48 - DATE(2024, 1, 1), 60) + 1), [1]大運!$H$45:$K$3644, 2, FALSE)</f>
        <v>－</v>
      </c>
      <c r="BI48" s="172" t="str">
        <f t="shared" ca="1" si="21"/>
        <v/>
      </c>
      <c r="BJ48" s="172" t="str">
        <f t="shared" ca="1" si="22"/>
        <v/>
      </c>
      <c r="BK48" s="172" t="str">
        <f t="shared" ca="1" si="23"/>
        <v>丙辛干合</v>
      </c>
      <c r="BL48" s="174" t="str">
        <f ca="1">INDEX('12運シート'!C:C, MATCH(1, INDEX(('12運シート'!A:A=TRIM($T$42)) * ('12運シート'!B:B=TRIM(RIGHT(AZ48, 1))), 0), 0))</f>
        <v>陰影</v>
      </c>
      <c r="BM48" s="174" t="str">
        <f ca="1">INDEX('12運シート'!$E:$E, MATCH(1, INDEX((TRIM('12運シート'!$A:$A)=TRIM($T$42)) * (TRIM('12運シート'!$B:$B)=TRIM(AZ48)), 0), 0))</f>
        <v>暗天</v>
      </c>
      <c r="BN48" s="49" t="str">
        <f t="shared" ca="1" si="24"/>
        <v>運気下降（運の冬入り）。孤独を感じやすいが水面下の自己鍛錬が必要。</v>
      </c>
      <c r="BO48" s="49"/>
      <c r="BP48" s="49"/>
      <c r="BQ48" s="49"/>
      <c r="BR48" s="49"/>
      <c r="BS48" s="49"/>
      <c r="BT48" s="49"/>
      <c r="BU48" s="49"/>
      <c r="BV48" s="49"/>
      <c r="BW48" s="147"/>
      <c r="BX48" s="148"/>
      <c r="BY48" s="149"/>
      <c r="BZ48" s="140"/>
      <c r="CA48" s="149"/>
      <c r="CB48" s="149"/>
      <c r="CC48" s="149"/>
      <c r="CD48" s="148"/>
      <c r="CE48" s="149"/>
      <c r="CF48" s="150"/>
      <c r="CG48" s="49"/>
      <c r="CH48" s="49"/>
      <c r="CI48" s="49"/>
      <c r="CJ48" s="49"/>
      <c r="CK48" s="49"/>
      <c r="CL48" s="49"/>
      <c r="CM48" s="49"/>
      <c r="CN48" s="68"/>
      <c r="CO48" s="68"/>
      <c r="CP48" s="68"/>
      <c r="CQ48" s="68"/>
      <c r="CR48" s="68"/>
      <c r="CS48" s="68"/>
      <c r="CT48" s="68"/>
      <c r="CU48" s="68"/>
      <c r="CV48" s="68"/>
      <c r="CW48" s="68"/>
      <c r="CX48" s="68"/>
      <c r="CY48" s="68"/>
      <c r="CZ48" s="68"/>
      <c r="DA48" s="68"/>
      <c r="DB48" s="68"/>
      <c r="DC48" s="68"/>
      <c r="DD48" s="68"/>
      <c r="DE48" s="68"/>
      <c r="DF48" s="68"/>
      <c r="DG48" s="49"/>
      <c r="DH48" s="49"/>
      <c r="DI48" s="49"/>
      <c r="DJ48" s="49"/>
      <c r="DK48" s="49"/>
      <c r="DL48" s="49"/>
      <c r="DM48" s="49"/>
      <c r="DN48" s="49"/>
      <c r="DO48" s="49"/>
      <c r="DP48" s="49"/>
      <c r="DQ48" s="49"/>
      <c r="DR48" s="49"/>
      <c r="DS48" s="49"/>
      <c r="DT48" s="49"/>
      <c r="DU48" s="49"/>
      <c r="DV48" s="49"/>
      <c r="DW48" s="49"/>
      <c r="DX48" s="49"/>
    </row>
    <row r="49" spans="1:128" ht="18" customHeight="1">
      <c r="A49" s="49"/>
      <c r="B49" s="49"/>
      <c r="C49" s="49"/>
      <c r="D49" s="49"/>
      <c r="E49" s="166" t="str">
        <f t="shared" ca="1" si="26"/>
        <v>戌</v>
      </c>
      <c r="F49" s="226" t="str">
        <f t="shared" ca="1" si="27"/>
        <v>2025/10</v>
      </c>
      <c r="G49" s="178" t="str">
        <f ca="1">VLOOKUP(MOD((YEAR(F49)-2024)*12 + MONTH(F49), 60) + 1, [1]大運!$B$31:$C$90, 2, FALSE)</f>
        <v>丙戌</v>
      </c>
      <c r="H49" s="178" t="str">
        <f ca="1">VLOOKUP($F$5 &amp; "+" &amp; (MOD((YEAR(F49)-1900)*12 + MONTH(F49) + 2, 60) + 1), [1]大運!$H$45:$K$3644, 3, FALSE)</f>
        <v>龍高星</v>
      </c>
      <c r="I49" s="221"/>
      <c r="J49" s="178" t="str">
        <f ca="1">VLOOKUP($F$5 &amp; "+" &amp; (MOD((YEAR(F49)-1900)*12 + MONTH(F49), 60) + 1), [1]大運!$H$45:$K$3644, 4, FALSE)</f>
        <v>天庫星</v>
      </c>
      <c r="K49" s="221"/>
      <c r="L49" s="222">
        <f t="shared" ca="1" si="28"/>
        <v>46</v>
      </c>
      <c r="M49" s="178" t="str">
        <f ca="1">VLOOKUP($F$5 &amp; "+" &amp; (MOD((YEAR(F49)-1900)*12 + MONTH(F49) + 12, 60) + 1), [1]大運!$H$45:$K$3644, 2, FALSE)</f>
        <v>－</v>
      </c>
      <c r="N49" s="178" t="str">
        <f ca="1">VLOOKUP($G$5 &amp; "+" &amp; (MOD((YEAR(F49)-1900)*12 + MONTH(F49) + 12, 60) + 1), [1]大運!$H$45:$K$3644, 2, FALSE)</f>
        <v>準方位</v>
      </c>
      <c r="O49" s="178" t="str">
        <f ca="1">VLOOKUP($H$5 &amp; "+" &amp; (MOD((YEAR(F49)-1900)*12 + MONTH(F49) + 12, 60) + 1), [1]大運!$H$45:$K$3644, 2, FALSE)</f>
        <v>害</v>
      </c>
      <c r="P49" s="100" t="str">
        <f t="shared" ca="1" si="29"/>
        <v/>
      </c>
      <c r="Q49" s="172" t="str">
        <f t="shared" ca="1" si="30"/>
        <v/>
      </c>
      <c r="R49" s="172" t="str">
        <f t="shared" ca="1" si="31"/>
        <v/>
      </c>
      <c r="S49" s="172" t="str">
        <f t="shared" ca="1" si="32"/>
        <v>丙辛干合</v>
      </c>
      <c r="T49" s="135" t="str">
        <f ca="1">INDEX('12運シート'!C:C, MATCH(1, INDEX(('12運シート'!A:A=TRIM($T$42)) * ('12運シート'!B:B=TRIM(E49)), 0), 0))</f>
        <v>緑生</v>
      </c>
      <c r="U49" s="224" t="str">
        <f ca="1">INDEX('12運シート'!E:E, MATCH(1, INDEX((TRIM('12運シート'!A:A)=TRIM($T$42)) * (TRIM('12運シート'!B:B)=TRIM(E49)), 0), 0))</f>
        <v>吉祥天</v>
      </c>
      <c r="V49" s="225" t="str">
        <f t="shared" ca="1" si="33"/>
        <v>まいた種が芽吹き、周囲の支援を受けて着実に育つ時期。</v>
      </c>
      <c r="W49" s="135"/>
      <c r="X49" s="188"/>
      <c r="Y49" s="49"/>
      <c r="Z49" s="49"/>
      <c r="AA49" s="188"/>
      <c r="AB49" s="188"/>
      <c r="AC49" s="49"/>
      <c r="AD49" s="49"/>
      <c r="AE49" s="166" t="str">
        <f t="shared" si="12"/>
        <v>午</v>
      </c>
      <c r="AF49" s="167">
        <f t="shared" si="5"/>
        <v>33</v>
      </c>
      <c r="AG49" s="168">
        <f t="shared" si="13"/>
        <v>2014</v>
      </c>
      <c r="AH49" s="100" t="str">
        <f>VLOOKUP(AM49,[1]大運!$B$31:$C$90,2,FALSE)</f>
        <v>甲午</v>
      </c>
      <c r="AI49" s="99" t="str">
        <f>VLOOKUP($F$5&amp;"+"&amp;AM49,[1]大運!$H$45:$K$3644,3,FALSE)</f>
        <v>車騎星</v>
      </c>
      <c r="AJ49" s="73"/>
      <c r="AK49" s="99" t="str">
        <f>VLOOKUP($F$5&amp;"+"&amp;AM49,[1]大運!$H$45:$K$3644,4,FALSE)</f>
        <v>天将星</v>
      </c>
      <c r="AL49" s="73"/>
      <c r="AM49" s="171">
        <f t="shared" si="6"/>
        <v>31</v>
      </c>
      <c r="AN49" s="164" t="str">
        <f>VLOOKUP($F$5&amp;"+"&amp;AM49,[1]大運!$H$45:$K$3644,2,FALSE)</f>
        <v>天剋地冲</v>
      </c>
      <c r="AO49" s="164" t="str">
        <f>VLOOKUP($G$5&amp;"+"&amp;AM49,[1]大運!$H$45:$K$3644,2,FALSE)</f>
        <v>－</v>
      </c>
      <c r="AP49" s="164" t="str">
        <f>VLOOKUP($H$5&amp;"+"&amp;AM49,[1]大運!$H$45:$K$3644,2,FALSE)</f>
        <v>－</v>
      </c>
      <c r="AQ49" s="100" t="str">
        <f t="shared" si="25"/>
        <v>殺</v>
      </c>
      <c r="AR49" s="172" t="str">
        <f t="shared" si="15"/>
        <v/>
      </c>
      <c r="AS49" s="172" t="str">
        <f t="shared" si="16"/>
        <v/>
      </c>
      <c r="AT49" s="172" t="str">
        <f t="shared" si="17"/>
        <v/>
      </c>
      <c r="AU49" s="49" t="str">
        <f>INDEX('12運シート'!C:C, MATCH(1, INDEX(('12運シート'!A:A=TRIM($T$42)) * ('12運シート'!B:B=TRIM(RIGHT(AE49, 1))), 0), 0))</f>
        <v>陰影</v>
      </c>
      <c r="AV49" s="49" t="str">
        <f>INDEX('12運シート'!$E:$E, MATCH(1, INDEX((TRIM('12運シート'!$A:$A)=TRIM($T$42)) * (TRIM('12運シート'!$B:$B)=TRIM(AE49)), 0), 0))</f>
        <v>暗天</v>
      </c>
      <c r="AW49" s="49" t="str">
        <f t="shared" si="18"/>
        <v>運気下降（運の冬入り）。孤独を感じやすいが水面下の自己鍛錬が必要。</v>
      </c>
      <c r="AX49" s="49"/>
      <c r="AY49" s="49"/>
      <c r="AZ49" s="166" t="str">
        <f t="shared" ca="1" si="19"/>
        <v>未</v>
      </c>
      <c r="BA49" s="173">
        <f t="shared" ca="1" si="20"/>
        <v>46175</v>
      </c>
      <c r="BB49" s="174">
        <f t="shared" ca="1" si="7"/>
        <v>44</v>
      </c>
      <c r="BC49" s="174" t="str">
        <f ca="1">VLOOKUP(BB49,[1]大運!$B$31:$C$90,2,FALSE)</f>
        <v>丁未</v>
      </c>
      <c r="BD49" s="174" t="str">
        <f ca="1">VLOOKUP($F$5 &amp; "+" &amp; (MOD(BA49 - DATE(2024, 1, 1), 60) + 1), [1]大運!$H$45:$K$3644, 3, FALSE)</f>
        <v>玉堂星</v>
      </c>
      <c r="BE49" s="174" t="str">
        <f ca="1">VLOOKUP($F$5 &amp; "+" &amp; (MOD(BA49 - DATE(2024, 1, 1), 60) + 1), [1]大運!$H$45:$K$3644, 4, FALSE)</f>
        <v>天堂星</v>
      </c>
      <c r="BF49" s="174" t="str">
        <f ca="1">VLOOKUP($F$5 &amp; "+" &amp; (MOD(BA49 - DATE(2024, 1, 1), 60) + 1), [1]大運!$H$45:$K$3644, 2, FALSE)</f>
        <v>害</v>
      </c>
      <c r="BG49" s="174" t="str">
        <f ca="1">VLOOKUP($G$5 &amp; "+" &amp; (MOD(BA49 - DATE(2024, 1, 1), 60) + 1), [1]大運!$H$45:$K$3644, 2, FALSE)</f>
        <v>－</v>
      </c>
      <c r="BH49" s="174" t="str">
        <f ca="1">VLOOKUP($H$5 &amp; "+" &amp; (MOD(BA49 - DATE(2024, 1, 1), 60) + 1), [1]大運!$H$45:$K$3644, 2, FALSE)</f>
        <v>－</v>
      </c>
      <c r="BI49" s="172" t="str">
        <f t="shared" ca="1" si="21"/>
        <v/>
      </c>
      <c r="BJ49" s="172" t="str">
        <f t="shared" ca="1" si="22"/>
        <v/>
      </c>
      <c r="BK49" s="172" t="str">
        <f t="shared" ca="1" si="23"/>
        <v/>
      </c>
      <c r="BL49" s="174" t="str">
        <f ca="1">INDEX('12運シート'!C:C, MATCH(1, INDEX(('12運シート'!A:A=TRIM($T$42)) * ('12運シート'!B:B=TRIM(RIGHT(AZ49, 1))), 0), 0))</f>
        <v>停止</v>
      </c>
      <c r="BM49" s="174" t="str">
        <f ca="1">INDEX('12運シート'!$E:$E, MATCH(1, INDEX((TRIM('12運シート'!$A:$A)=TRIM($T$42)) * (TRIM('12運シート'!$B:$B)=TRIM(AZ49)), 0), 0))</f>
        <v>大曇天</v>
      </c>
      <c r="BN49" s="49" t="str">
        <f t="shared" ca="1" si="24"/>
        <v>運命の停止（運の真冬時期）。古い価値観を手放す究極の浄化期間。</v>
      </c>
      <c r="BO49" s="49"/>
      <c r="BP49" s="49"/>
      <c r="BQ49" s="49"/>
      <c r="BR49" s="49"/>
      <c r="BS49" s="49"/>
      <c r="BT49" s="49"/>
      <c r="BU49" s="49"/>
      <c r="BV49" s="49"/>
      <c r="BW49" s="147"/>
      <c r="BX49" s="148"/>
      <c r="BY49" s="149"/>
      <c r="BZ49" s="140"/>
      <c r="CA49" s="149"/>
      <c r="CB49" s="149"/>
      <c r="CC49" s="149"/>
      <c r="CD49" s="148"/>
      <c r="CE49" s="149"/>
      <c r="CF49" s="50"/>
      <c r="CG49" s="49"/>
      <c r="CH49" s="49"/>
      <c r="CI49" s="49"/>
      <c r="CJ49" s="49"/>
      <c r="CK49" s="49"/>
      <c r="CL49" s="49"/>
      <c r="CM49" s="49"/>
      <c r="CN49" s="68"/>
      <c r="CO49" s="68"/>
      <c r="CP49" s="68"/>
      <c r="CQ49" s="68"/>
      <c r="CR49" s="68"/>
      <c r="CS49" s="68"/>
      <c r="CT49" s="68"/>
      <c r="CU49" s="68"/>
      <c r="CV49" s="68"/>
      <c r="CW49" s="68"/>
      <c r="CX49" s="68"/>
      <c r="CY49" s="68"/>
      <c r="CZ49" s="68"/>
      <c r="DA49" s="68"/>
      <c r="DB49" s="68"/>
      <c r="DC49" s="68"/>
      <c r="DD49" s="68"/>
      <c r="DE49" s="68"/>
      <c r="DF49" s="68"/>
      <c r="DG49" s="49"/>
      <c r="DH49" s="49"/>
      <c r="DI49" s="49"/>
      <c r="DJ49" s="49"/>
      <c r="DK49" s="49"/>
      <c r="DL49" s="49"/>
      <c r="DM49" s="49"/>
      <c r="DN49" s="49"/>
      <c r="DO49" s="49"/>
      <c r="DP49" s="49"/>
      <c r="DQ49" s="49"/>
      <c r="DR49" s="49"/>
      <c r="DS49" s="49"/>
      <c r="DT49" s="49"/>
      <c r="DU49" s="49"/>
      <c r="DV49" s="49"/>
      <c r="DW49" s="49"/>
      <c r="DX49" s="49"/>
    </row>
    <row r="50" spans="1:128" ht="18" customHeight="1">
      <c r="A50" s="49"/>
      <c r="B50" s="49"/>
      <c r="C50" s="49"/>
      <c r="D50" s="49"/>
      <c r="E50" s="166" t="str">
        <f t="shared" ca="1" si="26"/>
        <v>亥</v>
      </c>
      <c r="F50" s="226" t="str">
        <f t="shared" ca="1" si="27"/>
        <v>2025/11</v>
      </c>
      <c r="G50" s="178" t="str">
        <f ca="1">VLOOKUP(MOD((YEAR(F50)-2024)*12 + MONTH(F50), 60) + 1, [1]大運!$B$31:$C$90, 2, FALSE)</f>
        <v>丁亥</v>
      </c>
      <c r="H50" s="178" t="str">
        <f ca="1">VLOOKUP($F$5 &amp; "+" &amp; (MOD((YEAR(F50)-1900)*12 + MONTH(F50) + 2, 60) + 1), [1]大運!$H$45:$K$3644, 3, FALSE)</f>
        <v>玉堂星</v>
      </c>
      <c r="I50" s="221"/>
      <c r="J50" s="178" t="str">
        <f ca="1">VLOOKUP($F$5 &amp; "+" &amp; (MOD((YEAR(F50)-1900)*12 + MONTH(F50), 60) + 1), [1]大運!$H$45:$K$3644, 4, FALSE)</f>
        <v>天馳星</v>
      </c>
      <c r="K50" s="221"/>
      <c r="L50" s="222">
        <f t="shared" ca="1" si="28"/>
        <v>47</v>
      </c>
      <c r="M50" s="178" t="str">
        <f ca="1">VLOOKUP($F$5 &amp; "+" &amp; (MOD((YEAR(F50)-1900)*12 + MONTH(F50) + 12, 60) + 1), [1]大運!$H$45:$K$3644, 2, FALSE)</f>
        <v>準方位</v>
      </c>
      <c r="N50" s="178" t="str">
        <f ca="1">VLOOKUP($G$5 &amp; "+" &amp; (MOD((YEAR(F50)-1900)*12 + MONTH(F50) + 12, 60) + 1), [1]大運!$H$45:$K$3644, 2, FALSE)</f>
        <v>害</v>
      </c>
      <c r="O50" s="178" t="str">
        <f ca="1">VLOOKUP($H$5 &amp; "+" &amp; (MOD((YEAR(F50)-1900)*12 + MONTH(F50) + 12, 60) + 1), [1]大運!$H$45:$K$3644, 2, FALSE)</f>
        <v>－</v>
      </c>
      <c r="P50" s="100" t="str">
        <f t="shared" ca="1" si="29"/>
        <v/>
      </c>
      <c r="Q50" s="172" t="str">
        <f t="shared" ca="1" si="30"/>
        <v/>
      </c>
      <c r="R50" s="172" t="str">
        <f t="shared" ca="1" si="31"/>
        <v/>
      </c>
      <c r="S50" s="172" t="str">
        <f t="shared" ca="1" si="32"/>
        <v/>
      </c>
      <c r="T50" s="135" t="str">
        <f ca="1">INDEX('12運シート'!C:C, MATCH(1, INDEX(('12運シート'!A:A=TRIM($T$42)) * ('12運シート'!B:B=TRIM(E50)), 0), 0))</f>
        <v>立花</v>
      </c>
      <c r="U50" s="224" t="str">
        <f ca="1">INDEX('12運シート'!E:E, MATCH(1, INDEX((TRIM('12運シート'!A:A)=TRIM($T$42)) * (TRIM('12運シート'!B:B)=TRIM(E50)), 0), 0))</f>
        <v>弁財天</v>
      </c>
      <c r="V50" s="225" t="str">
        <f t="shared" ca="1" si="33"/>
        <v>才能がパッと花開き、今後の人生を左右する重要な決定を下す発展期。</v>
      </c>
      <c r="W50" s="135"/>
      <c r="X50" s="188"/>
      <c r="Y50" s="49"/>
      <c r="Z50" s="49"/>
      <c r="AA50" s="188"/>
      <c r="AB50" s="188"/>
      <c r="AC50" s="49"/>
      <c r="AD50" s="49"/>
      <c r="AE50" s="166" t="str">
        <f t="shared" si="12"/>
        <v>未</v>
      </c>
      <c r="AF50" s="167">
        <f t="shared" si="5"/>
        <v>34</v>
      </c>
      <c r="AG50" s="168">
        <f t="shared" si="13"/>
        <v>2015</v>
      </c>
      <c r="AH50" s="100" t="str">
        <f>VLOOKUP(AM50,[1]大運!$B$31:$C$90,2,FALSE)</f>
        <v>乙未</v>
      </c>
      <c r="AI50" s="99" t="str">
        <f>VLOOKUP($F$5&amp;"+"&amp;AM50,[1]大運!$H$45:$K$3644,3,FALSE)</f>
        <v>牽牛星</v>
      </c>
      <c r="AJ50" s="73"/>
      <c r="AK50" s="99" t="str">
        <f>VLOOKUP($F$5&amp;"+"&amp;AM50,[1]大運!$H$45:$K$3644,4,FALSE)</f>
        <v>天堂星</v>
      </c>
      <c r="AL50" s="73"/>
      <c r="AM50" s="171">
        <f t="shared" si="6"/>
        <v>32</v>
      </c>
      <c r="AN50" s="164" t="str">
        <f>VLOOKUP($F$5&amp;"+"&amp;AM50,[1]大運!$H$45:$K$3644,2,FALSE)</f>
        <v>害</v>
      </c>
      <c r="AO50" s="164" t="str">
        <f>VLOOKUP($G$5&amp;"+"&amp;AM50,[1]大運!$H$45:$K$3644,2,FALSE)</f>
        <v>－</v>
      </c>
      <c r="AP50" s="164" t="str">
        <f>VLOOKUP($H$5&amp;"+"&amp;AM50,[1]大運!$H$45:$K$3644,2,FALSE)</f>
        <v>－</v>
      </c>
      <c r="AQ50" s="100" t="str">
        <f t="shared" si="25"/>
        <v>殺</v>
      </c>
      <c r="AR50" s="172" t="str">
        <f t="shared" si="15"/>
        <v/>
      </c>
      <c r="AS50" s="172" t="str">
        <f t="shared" si="16"/>
        <v/>
      </c>
      <c r="AT50" s="172" t="str">
        <f t="shared" si="17"/>
        <v/>
      </c>
      <c r="AU50" s="49" t="str">
        <f>INDEX('12運シート'!C:C, MATCH(1, INDEX(('12運シート'!A:A=TRIM($T$42)) * ('12運シート'!B:B=TRIM(RIGHT(AE50, 1))), 0), 0))</f>
        <v>停止</v>
      </c>
      <c r="AV50" s="49" t="str">
        <f>INDEX('12運シート'!$E:$E, MATCH(1, INDEX((TRIM('12運シート'!$A:$A)=TRIM($T$42)) * (TRIM('12運シート'!$B:$B)=TRIM(AE50)), 0), 0))</f>
        <v>大曇天</v>
      </c>
      <c r="AW50" s="49" t="str">
        <f t="shared" si="18"/>
        <v>運命の停止（運の真冬時期）。古い価値観を手放す究極の浄化期間。</v>
      </c>
      <c r="AX50" s="49"/>
      <c r="AY50" s="49"/>
      <c r="AZ50" s="166" t="str">
        <f t="shared" ca="1" si="19"/>
        <v>申</v>
      </c>
      <c r="BA50" s="173">
        <f t="shared" ca="1" si="20"/>
        <v>46176</v>
      </c>
      <c r="BB50" s="174">
        <f t="shared" ca="1" si="7"/>
        <v>45</v>
      </c>
      <c r="BC50" s="174" t="str">
        <f ca="1">VLOOKUP(BB50,[1]大運!$B$31:$C$90,2,FALSE)</f>
        <v>戊申</v>
      </c>
      <c r="BD50" s="174" t="str">
        <f ca="1">VLOOKUP($F$5 &amp; "+" &amp; (MOD(BA50 - DATE(2024, 1, 1), 60) + 1), [1]大運!$H$45:$K$3644, 3, FALSE)</f>
        <v>貫索星</v>
      </c>
      <c r="BE50" s="174" t="str">
        <f ca="1">VLOOKUP($F$5 &amp; "+" &amp; (MOD(BA50 - DATE(2024, 1, 1), 60) + 1), [1]大運!$H$45:$K$3644, 4, FALSE)</f>
        <v>天胡星</v>
      </c>
      <c r="BF50" s="174" t="str">
        <f ca="1">VLOOKUP($F$5 &amp; "+" &amp; (MOD(BA50 - DATE(2024, 1, 1), 60) + 1), [1]大運!$H$45:$K$3644, 2, FALSE)</f>
        <v>大半会</v>
      </c>
      <c r="BG50" s="174" t="str">
        <f ca="1">VLOOKUP($G$5 &amp; "+" &amp; (MOD(BA50 - DATE(2024, 1, 1), 60) + 1), [1]大運!$H$45:$K$3644, 2, FALSE)</f>
        <v>同</v>
      </c>
      <c r="BH50" s="174" t="str">
        <f ca="1">VLOOKUP($H$5 &amp; "+" &amp; (MOD(BA50 - DATE(2024, 1, 1), 60) + 1), [1]大運!$H$45:$K$3644, 2, FALSE)</f>
        <v>準方位</v>
      </c>
      <c r="BI50" s="172" t="str">
        <f t="shared" ca="1" si="21"/>
        <v/>
      </c>
      <c r="BJ50" s="172" t="str">
        <f t="shared" ca="1" si="22"/>
        <v/>
      </c>
      <c r="BK50" s="172" t="str">
        <f t="shared" ca="1" si="23"/>
        <v/>
      </c>
      <c r="BL50" s="174" t="str">
        <f ca="1">INDEX('12運シート'!C:C, MATCH(1, INDEX(('12運シート'!A:A=TRIM($T$42)) * ('12運シート'!B:B=TRIM(RIGHT(AZ50, 1))), 0), 0))</f>
        <v>減退</v>
      </c>
      <c r="BM50" s="174" t="str">
        <f ca="1">INDEX('12運シート'!$E:$E, MATCH(1, INDEX((TRIM('12運シート'!$A:$A)=TRIM($T$42)) * (TRIM('12運シート'!$B:$B)=TRIM(AZ50)), 0), 0))</f>
        <v>雨天</v>
      </c>
      <c r="BN50" s="49" t="str">
        <f t="shared" ca="1" si="24"/>
        <v>カルマの精算。過去の執着をすべて洗い流し、次の春への準備を整える。</v>
      </c>
      <c r="BO50" s="49"/>
      <c r="BP50" s="49"/>
      <c r="BQ50" s="49"/>
      <c r="BR50" s="49"/>
      <c r="BS50" s="49"/>
      <c r="BT50" s="49"/>
      <c r="BU50" s="49"/>
      <c r="BV50" s="49"/>
      <c r="BW50" s="147"/>
      <c r="BX50" s="148"/>
      <c r="BY50" s="149"/>
      <c r="BZ50" s="140"/>
      <c r="CA50" s="149"/>
      <c r="CB50" s="149"/>
      <c r="CC50" s="149"/>
      <c r="CD50" s="148"/>
      <c r="CE50" s="149"/>
      <c r="CF50" s="150"/>
      <c r="CG50" s="49"/>
      <c r="CH50" s="49"/>
      <c r="CI50" s="49"/>
      <c r="CJ50" s="49"/>
      <c r="CK50" s="49"/>
      <c r="CL50" s="49"/>
      <c r="CM50" s="49"/>
      <c r="CN50" s="68"/>
      <c r="CO50" s="68"/>
      <c r="CP50" s="68"/>
      <c r="CQ50" s="68"/>
      <c r="CR50" s="68"/>
      <c r="CS50" s="68"/>
      <c r="CT50" s="68"/>
      <c r="CU50" s="68"/>
      <c r="CV50" s="68"/>
      <c r="CW50" s="68"/>
      <c r="CX50" s="68"/>
      <c r="CY50" s="68"/>
      <c r="CZ50" s="68"/>
      <c r="DA50" s="68"/>
      <c r="DB50" s="68"/>
      <c r="DC50" s="68"/>
      <c r="DD50" s="68"/>
      <c r="DE50" s="68"/>
      <c r="DF50" s="68"/>
      <c r="DG50" s="49"/>
      <c r="DH50" s="49"/>
      <c r="DI50" s="49"/>
      <c r="DJ50" s="49"/>
      <c r="DK50" s="49"/>
      <c r="DL50" s="49"/>
      <c r="DM50" s="49"/>
      <c r="DN50" s="49"/>
      <c r="DO50" s="49"/>
      <c r="DP50" s="49"/>
      <c r="DQ50" s="49"/>
      <c r="DR50" s="49"/>
      <c r="DS50" s="49"/>
      <c r="DT50" s="49"/>
      <c r="DU50" s="49"/>
      <c r="DV50" s="49"/>
      <c r="DW50" s="49"/>
      <c r="DX50" s="49"/>
    </row>
    <row r="51" spans="1:128" ht="18" customHeight="1">
      <c r="A51" s="49"/>
      <c r="B51" s="49"/>
      <c r="C51" s="49"/>
      <c r="D51" s="49"/>
      <c r="E51" s="166" t="str">
        <f t="shared" ca="1" si="26"/>
        <v>子</v>
      </c>
      <c r="F51" s="226" t="str">
        <f t="shared" ca="1" si="27"/>
        <v>2025/12</v>
      </c>
      <c r="G51" s="178" t="str">
        <f ca="1">VLOOKUP(MOD((YEAR(F51)-2024)*12 + MONTH(F51), 60) + 1, [1]大運!$B$31:$C$90, 2, FALSE)</f>
        <v>戊子</v>
      </c>
      <c r="H51" s="178" t="str">
        <f ca="1">VLOOKUP($F$5 &amp; "+" &amp; (MOD((YEAR(F51)-1900)*12 + MONTH(F51) + 2, 60) + 1), [1]大運!$H$45:$K$3644, 3, FALSE)</f>
        <v>貫索星</v>
      </c>
      <c r="I51" s="221"/>
      <c r="J51" s="178" t="str">
        <f ca="1">VLOOKUP($F$5 &amp; "+" &amp; (MOD((YEAR(F51)-1900)*12 + MONTH(F51), 60) + 1), [1]大運!$H$45:$K$3644, 4, FALSE)</f>
        <v>天報星</v>
      </c>
      <c r="K51" s="221"/>
      <c r="L51" s="222">
        <f t="shared" ca="1" si="28"/>
        <v>48</v>
      </c>
      <c r="M51" s="178" t="str">
        <f ca="1">VLOOKUP($F$5 &amp; "+" &amp; (MOD((YEAR(F51)-1900)*12 + MONTH(F51) + 12, 60) + 1), [1]大運!$H$45:$K$3644, 2, FALSE)</f>
        <v>律音</v>
      </c>
      <c r="N51" s="178" t="str">
        <f ca="1">VLOOKUP($G$5 &amp; "+" &amp; (MOD((YEAR(F51)-1900)*12 + MONTH(F51) + 12, 60) + 1), [1]大運!$H$45:$K$3644, 2, FALSE)</f>
        <v>半会</v>
      </c>
      <c r="O51" s="178" t="str">
        <f ca="1">VLOOKUP($H$5 &amp; "+" &amp; (MOD((YEAR(F51)-1900)*12 + MONTH(F51) + 12, 60) + 1), [1]大運!$H$45:$K$3644, 2, FALSE)</f>
        <v>破</v>
      </c>
      <c r="P51" s="100" t="str">
        <f t="shared" ca="1" si="29"/>
        <v>月</v>
      </c>
      <c r="Q51" s="172" t="str">
        <f t="shared" ca="1" si="30"/>
        <v/>
      </c>
      <c r="R51" s="172" t="str">
        <f t="shared" ca="1" si="31"/>
        <v/>
      </c>
      <c r="S51" s="172" t="str">
        <f t="shared" ca="1" si="32"/>
        <v/>
      </c>
      <c r="T51" s="135" t="str">
        <f ca="1">INDEX('12運シート'!C:C, MATCH(1, INDEX(('12運シート'!A:A=TRIM($T$42)) * ('12運シート'!B:B=TRIM(E51)), 0), 0))</f>
        <v>健弱</v>
      </c>
      <c r="U51" s="224" t="str">
        <f ca="1">INDEX('12運シート'!E:E, MATCH(1, INDEX((TRIM('12運シート'!A:A)=TRIM($T$42)) * (TRIM('12運シート'!B:B)=TRIM(E51)), 0), 0))</f>
        <v>曇天</v>
      </c>
      <c r="V51" s="225" t="str">
        <f t="shared" ca="1" si="33"/>
        <v>運気の勢いに心身が追いつかない小休止。自己治癒の時期。</v>
      </c>
      <c r="W51" s="135"/>
      <c r="X51" s="188"/>
      <c r="Y51" s="49"/>
      <c r="Z51" s="49"/>
      <c r="AA51" s="188"/>
      <c r="AB51" s="188"/>
      <c r="AC51" s="49"/>
      <c r="AD51" s="49"/>
      <c r="AE51" s="166" t="str">
        <f t="shared" si="12"/>
        <v>申</v>
      </c>
      <c r="AF51" s="167">
        <f t="shared" si="5"/>
        <v>35</v>
      </c>
      <c r="AG51" s="168">
        <f t="shared" si="13"/>
        <v>2016</v>
      </c>
      <c r="AH51" s="100" t="str">
        <f>VLOOKUP(AM51,[1]大運!$B$31:$C$90,2,FALSE)</f>
        <v>丙申</v>
      </c>
      <c r="AI51" s="99" t="str">
        <f>VLOOKUP($F$5&amp;"+"&amp;AM51,[1]大運!$H$45:$K$3644,3,FALSE)</f>
        <v>龍高星</v>
      </c>
      <c r="AJ51" s="73"/>
      <c r="AK51" s="99" t="str">
        <f>VLOOKUP($F$5&amp;"+"&amp;AM51,[1]大運!$H$45:$K$3644,4,FALSE)</f>
        <v>天胡星</v>
      </c>
      <c r="AL51" s="73"/>
      <c r="AM51" s="171">
        <f t="shared" si="6"/>
        <v>33</v>
      </c>
      <c r="AN51" s="164" t="str">
        <f>VLOOKUP($F$5&amp;"+"&amp;AM51,[1]大運!$H$45:$K$3644,2,FALSE)</f>
        <v>半会</v>
      </c>
      <c r="AO51" s="164" t="str">
        <f>VLOOKUP($G$5&amp;"+"&amp;AM51,[1]大運!$H$45:$K$3644,2,FALSE)</f>
        <v>律音</v>
      </c>
      <c r="AP51" s="164" t="str">
        <f>VLOOKUP($H$5&amp;"+"&amp;AM51,[1]大運!$H$45:$K$3644,2,FALSE)</f>
        <v>準方位</v>
      </c>
      <c r="AQ51" s="100" t="str">
        <f t="shared" si="25"/>
        <v>年</v>
      </c>
      <c r="AR51" s="172" t="str">
        <f t="shared" si="15"/>
        <v/>
      </c>
      <c r="AS51" s="172" t="str">
        <f t="shared" si="16"/>
        <v/>
      </c>
      <c r="AT51" s="172" t="str">
        <f t="shared" si="17"/>
        <v>丙辛干合</v>
      </c>
      <c r="AU51" s="49" t="str">
        <f>INDEX('12運シート'!C:C, MATCH(1, INDEX(('12運シート'!A:A=TRIM($T$42)) * ('12運シート'!B:B=TRIM(RIGHT(AE51, 1))), 0), 0))</f>
        <v>減退</v>
      </c>
      <c r="AV51" s="49" t="str">
        <f>INDEX('12運シート'!$E:$E, MATCH(1, INDEX((TRIM('12運シート'!$A:$A)=TRIM($T$42)) * (TRIM('12運シート'!$B:$B)=TRIM(AE51)), 0), 0))</f>
        <v>雨天</v>
      </c>
      <c r="AW51" s="49" t="str">
        <f t="shared" si="18"/>
        <v>カルマの精算。過去の執着をすべて洗い流し、次の春への準備を整える。</v>
      </c>
      <c r="AX51" s="49"/>
      <c r="AY51" s="49"/>
      <c r="AZ51" s="166" t="str">
        <f t="shared" ca="1" si="19"/>
        <v>酉</v>
      </c>
      <c r="BA51" s="173">
        <f t="shared" ca="1" si="20"/>
        <v>46177</v>
      </c>
      <c r="BB51" s="174">
        <f t="shared" ca="1" si="7"/>
        <v>46</v>
      </c>
      <c r="BC51" s="174" t="str">
        <f ca="1">VLOOKUP(BB51,[1]大運!$B$31:$C$90,2,FALSE)</f>
        <v>己酉</v>
      </c>
      <c r="BD51" s="174" t="str">
        <f ca="1">VLOOKUP($F$5 &amp; "+" &amp; (MOD(BA51 - DATE(2024, 1, 1), 60) + 1), [1]大運!$H$45:$K$3644, 3, FALSE)</f>
        <v>石門星</v>
      </c>
      <c r="BE51" s="174" t="str">
        <f ca="1">VLOOKUP($F$5 &amp; "+" &amp; (MOD(BA51 - DATE(2024, 1, 1), 60) + 1), [1]大運!$H$45:$K$3644, 4, FALSE)</f>
        <v>天極星</v>
      </c>
      <c r="BF51" s="174" t="str">
        <f ca="1">VLOOKUP($F$5 &amp; "+" &amp; (MOD(BA51 - DATE(2024, 1, 1), 60) + 1), [1]大運!$H$45:$K$3644, 2, FALSE)</f>
        <v>破</v>
      </c>
      <c r="BG51" s="174" t="str">
        <f ca="1">VLOOKUP($G$5 &amp; "+" &amp; (MOD(BA51 - DATE(2024, 1, 1), 60) + 1), [1]大運!$H$45:$K$3644, 2, FALSE)</f>
        <v>準方位</v>
      </c>
      <c r="BH51" s="174" t="str">
        <f ca="1">VLOOKUP($H$5 &amp; "+" &amp; (MOD(BA51 - DATE(2024, 1, 1), 60) + 1), [1]大運!$H$45:$K$3644, 2, FALSE)</f>
        <v>自刑</v>
      </c>
      <c r="BI51" s="172" t="str">
        <f t="shared" ca="1" si="21"/>
        <v/>
      </c>
      <c r="BJ51" s="172" t="str">
        <f t="shared" ca="1" si="22"/>
        <v/>
      </c>
      <c r="BK51" s="172" t="str">
        <f t="shared" ca="1" si="23"/>
        <v/>
      </c>
      <c r="BL51" s="174" t="str">
        <f ca="1">INDEX('12運シート'!C:C, MATCH(1, INDEX(('12運シート'!A:A=TRIM($T$42)) * ('12運シート'!B:B=TRIM(RIGHT(AZ51, 1))), 0), 0))</f>
        <v>種子</v>
      </c>
      <c r="BM51" s="174" t="str">
        <f ca="1">INDEX('12運シート'!$E:$E, MATCH(1, INDEX((TRIM('12運シート'!$A:$A)=TRIM($T$42)) * (TRIM('12運シート'!$B:$B)=TRIM(AZ51)), 0), 0))</f>
        <v>起天</v>
      </c>
      <c r="BN51" s="49" t="str">
        <f t="shared" ca="1" si="24"/>
        <v>運命の幕開け。過去を断ち切り新しい種をまく開拓期。</v>
      </c>
      <c r="BO51" s="49"/>
      <c r="BP51" s="49"/>
      <c r="BQ51" s="49"/>
      <c r="BR51" s="49"/>
      <c r="BS51" s="49"/>
      <c r="BT51" s="49"/>
      <c r="BU51" s="49"/>
      <c r="BV51" s="49"/>
      <c r="BW51" s="147"/>
      <c r="BX51" s="148"/>
      <c r="BY51" s="149"/>
      <c r="BZ51" s="140"/>
      <c r="CA51" s="149"/>
      <c r="CB51" s="149"/>
      <c r="CC51" s="149"/>
      <c r="CD51" s="148"/>
      <c r="CE51" s="149"/>
      <c r="CF51" s="50"/>
      <c r="CG51" s="49"/>
      <c r="CH51" s="49"/>
      <c r="CI51" s="49"/>
      <c r="CJ51" s="49"/>
      <c r="CK51" s="49"/>
      <c r="CL51" s="49"/>
      <c r="CM51" s="49"/>
      <c r="CN51" s="68"/>
      <c r="CO51" s="68"/>
      <c r="CP51" s="68"/>
      <c r="CQ51" s="68"/>
      <c r="CR51" s="68"/>
      <c r="CS51" s="68"/>
      <c r="CT51" s="68"/>
      <c r="CU51" s="68"/>
      <c r="CV51" s="68"/>
      <c r="CW51" s="68"/>
      <c r="CX51" s="68"/>
      <c r="CY51" s="68"/>
      <c r="CZ51" s="68"/>
      <c r="DA51" s="68"/>
      <c r="DB51" s="68"/>
      <c r="DC51" s="68"/>
      <c r="DD51" s="68"/>
      <c r="DE51" s="68"/>
      <c r="DF51" s="68"/>
      <c r="DG51" s="49"/>
      <c r="DH51" s="49"/>
      <c r="DI51" s="49"/>
      <c r="DJ51" s="49"/>
      <c r="DK51" s="49"/>
      <c r="DL51" s="49"/>
      <c r="DM51" s="49"/>
      <c r="DN51" s="49"/>
      <c r="DO51" s="49"/>
      <c r="DP51" s="49"/>
      <c r="DQ51" s="49"/>
      <c r="DR51" s="49"/>
      <c r="DS51" s="49"/>
      <c r="DT51" s="49"/>
      <c r="DU51" s="49"/>
      <c r="DV51" s="49"/>
      <c r="DW51" s="49"/>
      <c r="DX51" s="49"/>
    </row>
    <row r="52" spans="1:128" ht="18" customHeight="1">
      <c r="A52" s="49"/>
      <c r="B52" s="49"/>
      <c r="C52" s="49"/>
      <c r="D52" s="49"/>
      <c r="E52" s="166" t="str">
        <f t="shared" ca="1" si="26"/>
        <v>丑</v>
      </c>
      <c r="F52" s="226" t="str">
        <f t="shared" ca="1" si="27"/>
        <v>2026/1</v>
      </c>
      <c r="G52" s="178" t="str">
        <f ca="1">VLOOKUP(MOD((YEAR(F52)-2024)*12 + MONTH(F52), 60) + 1, [1]大運!$B$31:$C$90, 2, FALSE)</f>
        <v>己丑</v>
      </c>
      <c r="H52" s="178" t="str">
        <f ca="1">VLOOKUP($F$5 &amp; "+" &amp; (MOD((YEAR(F52)-1900)*12 + MONTH(F52) + 2, 60) + 1), [1]大運!$H$45:$K$3644, 3, FALSE)</f>
        <v>石門星</v>
      </c>
      <c r="I52" s="221"/>
      <c r="J52" s="178" t="str">
        <f ca="1">VLOOKUP($F$5 &amp; "+" &amp; (MOD((YEAR(F52)-1900)*12 + MONTH(F52), 60) + 1), [1]大運!$H$45:$K$3644, 4, FALSE)</f>
        <v>天印星</v>
      </c>
      <c r="K52" s="221"/>
      <c r="L52" s="222">
        <f t="shared" ca="1" si="28"/>
        <v>49</v>
      </c>
      <c r="M52" s="178" t="str">
        <f ca="1">VLOOKUP($F$5 &amp; "+" &amp; (MOD((YEAR(F52)-1900)*12 + MONTH(F52) + 12, 60) + 1), [1]大運!$H$45:$K$3644, 2, FALSE)</f>
        <v>支合</v>
      </c>
      <c r="N52" s="178" t="str">
        <f ca="1">VLOOKUP($G$5 &amp; "+" &amp; (MOD((YEAR(F52)-1900)*12 + MONTH(F52) + 12, 60) + 1), [1]大運!$H$45:$K$3644, 2, FALSE)</f>
        <v>－</v>
      </c>
      <c r="O52" s="178" t="str">
        <f ca="1">VLOOKUP($H$5 &amp; "+" &amp; (MOD((YEAR(F52)-1900)*12 + MONTH(F52) + 12, 60) + 1), [1]大運!$H$45:$K$3644, 2, FALSE)</f>
        <v>半会</v>
      </c>
      <c r="P52" s="100" t="str">
        <f t="shared" ca="1" si="29"/>
        <v/>
      </c>
      <c r="Q52" s="172" t="str">
        <f t="shared" ca="1" si="30"/>
        <v/>
      </c>
      <c r="R52" s="172" t="str">
        <f t="shared" ca="1" si="31"/>
        <v/>
      </c>
      <c r="S52" s="172" t="str">
        <f t="shared" ca="1" si="32"/>
        <v/>
      </c>
      <c r="T52" s="135" t="str">
        <f ca="1">INDEX('12運シート'!C:C, MATCH(1, INDEX(('12運シート'!A:A=TRIM($T$42)) * ('12運シート'!B:B=TRIM(E52)), 0), 0))</f>
        <v>達成</v>
      </c>
      <c r="U52" s="224" t="str">
        <f ca="1">INDEX('12運シート'!E:E, MATCH(1, INDEX((TRIM('12運シート'!A:A)=TRIM($T$42)) * (TRIM('12運シート'!B:B)=TRIM(E52)), 0), 0))</f>
        <v>韋駄天</v>
      </c>
      <c r="V52" s="225" t="str">
        <f t="shared" ca="1" si="33"/>
        <v>運気絶頂。これまでの努力が実を結び、最高のスポットライトを浴びる。</v>
      </c>
      <c r="W52" s="49"/>
      <c r="X52" s="53"/>
      <c r="Y52" s="49"/>
      <c r="Z52" s="49"/>
      <c r="AA52" s="53"/>
      <c r="AB52" s="53"/>
      <c r="AC52" s="49"/>
      <c r="AD52" s="49"/>
      <c r="AE52" s="166" t="str">
        <f t="shared" si="12"/>
        <v>酉</v>
      </c>
      <c r="AF52" s="167">
        <f t="shared" si="5"/>
        <v>36</v>
      </c>
      <c r="AG52" s="168">
        <f t="shared" si="13"/>
        <v>2017</v>
      </c>
      <c r="AH52" s="100" t="str">
        <f>VLOOKUP(AM52,[1]大運!$B$31:$C$90,2,FALSE)</f>
        <v>丁酉</v>
      </c>
      <c r="AI52" s="99" t="str">
        <f>VLOOKUP($F$5&amp;"+"&amp;AM52,[1]大運!$H$45:$K$3644,3,FALSE)</f>
        <v>玉堂星</v>
      </c>
      <c r="AJ52" s="73"/>
      <c r="AK52" s="99" t="str">
        <f>VLOOKUP($F$5&amp;"+"&amp;AM52,[1]大運!$H$45:$K$3644,4,FALSE)</f>
        <v>天極星</v>
      </c>
      <c r="AL52" s="73"/>
      <c r="AM52" s="171">
        <f t="shared" si="6"/>
        <v>34</v>
      </c>
      <c r="AN52" s="164" t="str">
        <f>VLOOKUP($F$5&amp;"+"&amp;AM52,[1]大運!$H$45:$K$3644,2,FALSE)</f>
        <v>破</v>
      </c>
      <c r="AO52" s="164" t="str">
        <f>VLOOKUP($G$5&amp;"+"&amp;AM52,[1]大運!$H$45:$K$3644,2,FALSE)</f>
        <v>準方位</v>
      </c>
      <c r="AP52" s="164" t="str">
        <f>VLOOKUP($H$5&amp;"+"&amp;AM52,[1]大運!$H$45:$K$3644,2,FALSE)</f>
        <v>自刑</v>
      </c>
      <c r="AQ52" s="100" t="str">
        <f t="shared" si="25"/>
        <v/>
      </c>
      <c r="AR52" s="172" t="str">
        <f t="shared" si="15"/>
        <v/>
      </c>
      <c r="AS52" s="172" t="str">
        <f t="shared" si="16"/>
        <v/>
      </c>
      <c r="AT52" s="172" t="str">
        <f t="shared" si="17"/>
        <v/>
      </c>
      <c r="AU52" s="49" t="str">
        <f>INDEX('12運シート'!C:C, MATCH(1, INDEX(('12運シート'!A:A=TRIM($T$42)) * ('12運シート'!B:B=TRIM(RIGHT(AE52, 1))), 0), 0))</f>
        <v>種子</v>
      </c>
      <c r="AV52" s="49" t="str">
        <f>INDEX('12運シート'!$E:$E, MATCH(1, INDEX((TRIM('12運シート'!$A:$A)=TRIM($T$42)) * (TRIM('12運シート'!$B:$B)=TRIM(AE52)), 0), 0))</f>
        <v>起天</v>
      </c>
      <c r="AW52" s="49" t="str">
        <f t="shared" si="18"/>
        <v>運命の幕開け。過去を断ち切り新しい種をまく開拓期。</v>
      </c>
      <c r="AX52" s="49"/>
      <c r="AY52" s="49"/>
      <c r="AZ52" s="166" t="str">
        <f t="shared" ca="1" si="19"/>
        <v>戌</v>
      </c>
      <c r="BA52" s="173">
        <f t="shared" ca="1" si="20"/>
        <v>46178</v>
      </c>
      <c r="BB52" s="174">
        <f t="shared" ca="1" si="7"/>
        <v>47</v>
      </c>
      <c r="BC52" s="174" t="str">
        <f ca="1">VLOOKUP(BB52,[1]大運!$B$31:$C$90,2,FALSE)</f>
        <v>庚戌</v>
      </c>
      <c r="BD52" s="174" t="str">
        <f ca="1">VLOOKUP($F$5 &amp; "+" &amp; (MOD(BA52 - DATE(2024, 1, 1), 60) + 1), [1]大運!$H$45:$K$3644, 3, FALSE)</f>
        <v>鳳閣星</v>
      </c>
      <c r="BE52" s="174" t="str">
        <f ca="1">VLOOKUP($F$5 &amp; "+" &amp; (MOD(BA52 - DATE(2024, 1, 1), 60) + 1), [1]大運!$H$45:$K$3644, 4, FALSE)</f>
        <v>天庫星</v>
      </c>
      <c r="BF52" s="174" t="str">
        <f ca="1">VLOOKUP($F$5 &amp; "+" &amp; (MOD(BA52 - DATE(2024, 1, 1), 60) + 1), [1]大運!$H$45:$K$3644, 2, FALSE)</f>
        <v>－</v>
      </c>
      <c r="BG52" s="174" t="str">
        <f ca="1">VLOOKUP($G$5 &amp; "+" &amp; (MOD(BA52 - DATE(2024, 1, 1), 60) + 1), [1]大運!$H$45:$K$3644, 2, FALSE)</f>
        <v>準方位</v>
      </c>
      <c r="BH52" s="174" t="str">
        <f ca="1">VLOOKUP($H$5 &amp; "+" &amp; (MOD(BA52 - DATE(2024, 1, 1), 60) + 1), [1]大運!$H$45:$K$3644, 2, FALSE)</f>
        <v>害</v>
      </c>
      <c r="BI52" s="172" t="str">
        <f t="shared" ca="1" si="21"/>
        <v/>
      </c>
      <c r="BJ52" s="172" t="str">
        <f t="shared" ca="1" si="22"/>
        <v/>
      </c>
      <c r="BK52" s="172" t="str">
        <f t="shared" ca="1" si="23"/>
        <v/>
      </c>
      <c r="BL52" s="174" t="str">
        <f ca="1">INDEX('12運シート'!C:C, MATCH(1, INDEX(('12運シート'!A:A=TRIM($T$42)) * ('12運シート'!B:B=TRIM(RIGHT(AZ52, 1))), 0), 0))</f>
        <v>緑生</v>
      </c>
      <c r="BM52" s="174" t="str">
        <f ca="1">INDEX('12運シート'!$E:$E, MATCH(1, INDEX((TRIM('12運シート'!$A:$A)=TRIM($T$42)) * (TRIM('12運シート'!$B:$B)=TRIM(AZ52)), 0), 0))</f>
        <v>吉祥天</v>
      </c>
      <c r="BN52" s="49" t="str">
        <f t="shared" ca="1" si="24"/>
        <v>まいた種が芽吹き、周囲の支援を受けて着実に育つ時期。</v>
      </c>
      <c r="BO52" s="49"/>
      <c r="BP52" s="49"/>
      <c r="BQ52" s="49"/>
      <c r="BR52" s="49"/>
      <c r="BS52" s="49"/>
      <c r="BT52" s="49"/>
      <c r="BU52" s="49"/>
      <c r="BV52" s="63"/>
      <c r="BW52" s="147"/>
      <c r="BX52" s="148"/>
      <c r="BY52" s="149"/>
      <c r="BZ52" s="140"/>
      <c r="CA52" s="149"/>
      <c r="CB52" s="149"/>
      <c r="CC52" s="149"/>
      <c r="CD52" s="148"/>
      <c r="CE52" s="149"/>
      <c r="CF52" s="150"/>
      <c r="CG52" s="49"/>
      <c r="CH52" s="49"/>
      <c r="CI52" s="49"/>
      <c r="CJ52" s="49"/>
      <c r="CK52" s="49"/>
      <c r="CL52" s="49"/>
      <c r="CM52" s="49"/>
      <c r="CN52" s="49"/>
      <c r="CO52" s="49"/>
      <c r="CP52" s="49"/>
      <c r="CQ52" s="49"/>
      <c r="CR52" s="49"/>
      <c r="CS52" s="49"/>
      <c r="CT52" s="49"/>
      <c r="CU52" s="49"/>
      <c r="CV52" s="49"/>
      <c r="CW52" s="49"/>
      <c r="CX52" s="49"/>
      <c r="CY52" s="49"/>
      <c r="CZ52" s="49"/>
      <c r="DA52" s="49"/>
      <c r="DB52" s="49"/>
      <c r="DC52" s="49"/>
      <c r="DD52" s="49"/>
      <c r="DE52" s="49"/>
      <c r="DF52" s="49"/>
      <c r="DG52" s="49"/>
      <c r="DH52" s="49"/>
      <c r="DI52" s="49"/>
      <c r="DJ52" s="49"/>
      <c r="DK52" s="49"/>
      <c r="DL52" s="49"/>
      <c r="DM52" s="49"/>
      <c r="DN52" s="49"/>
      <c r="DO52" s="49"/>
      <c r="DP52" s="49"/>
      <c r="DQ52" s="49"/>
      <c r="DR52" s="49"/>
      <c r="DS52" s="49"/>
      <c r="DT52" s="49"/>
      <c r="DU52" s="49"/>
      <c r="DV52" s="49"/>
      <c r="DW52" s="49"/>
      <c r="DX52" s="49"/>
    </row>
    <row r="53" spans="1:128" ht="18" customHeight="1">
      <c r="A53" s="49"/>
      <c r="B53" s="49"/>
      <c r="C53" s="49"/>
      <c r="D53" s="49"/>
      <c r="E53" s="166" t="str">
        <f t="shared" ca="1" si="26"/>
        <v>寅</v>
      </c>
      <c r="F53" s="226" t="str">
        <f t="shared" ca="1" si="27"/>
        <v>2026/2</v>
      </c>
      <c r="G53" s="178" t="str">
        <f ca="1">VLOOKUP(MOD((YEAR(F53)-2024)*12 + MONTH(F53), 60) + 1, [1]大運!$B$31:$C$90, 2, FALSE)</f>
        <v>庚寅</v>
      </c>
      <c r="H53" s="178" t="str">
        <f ca="1">VLOOKUP($F$5 &amp; "+" &amp; (MOD((YEAR(F53)-1900)*12 + MONTH(F53) + 2, 60) + 1), [1]大運!$H$45:$K$3644, 3, FALSE)</f>
        <v>鳳閣星</v>
      </c>
      <c r="I53" s="221"/>
      <c r="J53" s="178" t="str">
        <f ca="1">VLOOKUP($F$5 &amp; "+" &amp; (MOD((YEAR(F53)-1900)*12 + MONTH(F53), 60) + 1), [1]大運!$H$45:$K$3644, 4, FALSE)</f>
        <v>天貴星</v>
      </c>
      <c r="K53" s="221"/>
      <c r="L53" s="222">
        <f t="shared" ca="1" si="28"/>
        <v>50</v>
      </c>
      <c r="M53" s="178" t="str">
        <f ca="1">VLOOKUP($F$5 &amp; "+" &amp; (MOD((YEAR(F53)-1900)*12 + MONTH(F53) + 12, 60) + 1), [1]大運!$H$45:$K$3644, 2, FALSE)</f>
        <v>－</v>
      </c>
      <c r="N53" s="178" t="str">
        <f ca="1">VLOOKUP($G$5 &amp; "+" &amp; (MOD((YEAR(F53)-1900)*12 + MONTH(F53) + 12, 60) + 1), [1]大運!$H$45:$K$3644, 2, FALSE)</f>
        <v>天剋地冲</v>
      </c>
      <c r="O53" s="178" t="str">
        <f ca="1">VLOOKUP($H$5 &amp; "+" &amp; (MOD((YEAR(F53)-1900)*12 + MONTH(F53) + 12, 60) + 1), [1]大運!$H$45:$K$3644, 2, FALSE)</f>
        <v>－</v>
      </c>
      <c r="P53" s="100" t="str">
        <f t="shared" ca="1" si="29"/>
        <v>日</v>
      </c>
      <c r="Q53" s="172" t="str">
        <f t="shared" ca="1" si="30"/>
        <v/>
      </c>
      <c r="R53" s="172" t="str">
        <f t="shared" ca="1" si="31"/>
        <v/>
      </c>
      <c r="S53" s="172" t="str">
        <f t="shared" ca="1" si="32"/>
        <v/>
      </c>
      <c r="T53" s="135" t="str">
        <f ca="1">INDEX('12運シート'!C:C, MATCH(1, INDEX(('12運シート'!A:A=TRIM($T$42)) * ('12運シート'!B:B=TRIM(E53)), 0), 0))</f>
        <v>乱気</v>
      </c>
      <c r="U53" s="224" t="str">
        <f ca="1">INDEX('12運シート'!E:E, MATCH(1, INDEX((TRIM('12運シート'!A:A)=TRIM($T$42)) * (TRIM('12運シート'!B:B)=TRIM(E53)), 0), 0))</f>
        <v>伏魔天</v>
      </c>
      <c r="V53" s="225" t="str">
        <f t="shared" ca="1" si="33"/>
        <v>強すぎる運気の反動で迷いや摩擦が生じる。理性と現状維持が必要な嵐。</v>
      </c>
      <c r="W53" s="49"/>
      <c r="X53" s="53"/>
      <c r="Y53" s="49"/>
      <c r="Z53" s="49"/>
      <c r="AA53" s="53"/>
      <c r="AB53" s="53"/>
      <c r="AC53" s="49"/>
      <c r="AD53" s="49"/>
      <c r="AE53" s="166" t="str">
        <f t="shared" si="12"/>
        <v>戌</v>
      </c>
      <c r="AF53" s="167">
        <f t="shared" si="5"/>
        <v>37</v>
      </c>
      <c r="AG53" s="168">
        <f t="shared" si="13"/>
        <v>2018</v>
      </c>
      <c r="AH53" s="100" t="str">
        <f>VLOOKUP(AM53,[1]大運!$B$31:$C$90,2,FALSE)</f>
        <v>戊戌</v>
      </c>
      <c r="AI53" s="99" t="str">
        <f>VLOOKUP($F$5&amp;"+"&amp;AM53,[1]大運!$H$45:$K$3644,3,FALSE)</f>
        <v>貫索星</v>
      </c>
      <c r="AJ53" s="73"/>
      <c r="AK53" s="99" t="str">
        <f>VLOOKUP($F$5&amp;"+"&amp;AM53,[1]大運!$H$45:$K$3644,4,FALSE)</f>
        <v>天庫星</v>
      </c>
      <c r="AL53" s="73"/>
      <c r="AM53" s="171">
        <f t="shared" si="6"/>
        <v>35</v>
      </c>
      <c r="AN53" s="164" t="str">
        <f>VLOOKUP($F$5&amp;"+"&amp;AM53,[1]大運!$H$45:$K$3644,2,FALSE)</f>
        <v>－</v>
      </c>
      <c r="AO53" s="164" t="str">
        <f>VLOOKUP($G$5&amp;"+"&amp;AM53,[1]大運!$H$45:$K$3644,2,FALSE)</f>
        <v>準方位</v>
      </c>
      <c r="AP53" s="164" t="str">
        <f>VLOOKUP($H$5&amp;"+"&amp;AM53,[1]大運!$H$45:$K$3644,2,FALSE)</f>
        <v>害</v>
      </c>
      <c r="AQ53" s="100" t="str">
        <f t="shared" si="25"/>
        <v/>
      </c>
      <c r="AR53" s="172" t="str">
        <f t="shared" si="15"/>
        <v/>
      </c>
      <c r="AS53" s="172" t="str">
        <f t="shared" si="16"/>
        <v/>
      </c>
      <c r="AT53" s="172" t="str">
        <f t="shared" si="17"/>
        <v/>
      </c>
      <c r="AU53" s="49" t="str">
        <f>INDEX('12運シート'!C:C, MATCH(1, INDEX(('12運シート'!A:A=TRIM($T$42)) * ('12運シート'!B:B=TRIM(RIGHT(AE53, 1))), 0), 0))</f>
        <v>緑生</v>
      </c>
      <c r="AV53" s="49" t="str">
        <f>INDEX('12運シート'!$E:$E, MATCH(1, INDEX((TRIM('12運シート'!$A:$A)=TRIM($T$42)) * (TRIM('12運シート'!$B:$B)=TRIM(AE53)), 0), 0))</f>
        <v>吉祥天</v>
      </c>
      <c r="AW53" s="49" t="str">
        <f t="shared" si="18"/>
        <v>まいた種が芽吹き、周囲の支援を受けて着実に育つ時期。</v>
      </c>
      <c r="AX53" s="49"/>
      <c r="AY53" s="49"/>
      <c r="AZ53" s="166" t="str">
        <f t="shared" ca="1" si="19"/>
        <v>亥</v>
      </c>
      <c r="BA53" s="173">
        <f t="shared" ca="1" si="20"/>
        <v>46179</v>
      </c>
      <c r="BB53" s="174">
        <f t="shared" ca="1" si="7"/>
        <v>48</v>
      </c>
      <c r="BC53" s="174" t="str">
        <f ca="1">VLOOKUP(BB53,[1]大運!$B$31:$C$90,2,FALSE)</f>
        <v>辛亥</v>
      </c>
      <c r="BD53" s="174" t="str">
        <f ca="1">VLOOKUP($F$5 &amp; "+" &amp; (MOD(BA53 - DATE(2024, 1, 1), 60) + 1), [1]大運!$H$45:$K$3644, 3, FALSE)</f>
        <v>調舒星</v>
      </c>
      <c r="BE53" s="174" t="str">
        <f ca="1">VLOOKUP($F$5 &amp; "+" &amp; (MOD(BA53 - DATE(2024, 1, 1), 60) + 1), [1]大運!$H$45:$K$3644, 4, FALSE)</f>
        <v>天馳星</v>
      </c>
      <c r="BF53" s="174" t="str">
        <f ca="1">VLOOKUP($F$5 &amp; "+" &amp; (MOD(BA53 - DATE(2024, 1, 1), 60) + 1), [1]大運!$H$45:$K$3644, 2, FALSE)</f>
        <v>準方位</v>
      </c>
      <c r="BG53" s="174" t="str">
        <f ca="1">VLOOKUP($G$5 &amp; "+" &amp; (MOD(BA53 - DATE(2024, 1, 1), 60) + 1), [1]大運!$H$45:$K$3644, 2, FALSE)</f>
        <v>害</v>
      </c>
      <c r="BH53" s="174" t="str">
        <f ca="1">VLOOKUP($H$5 &amp; "+" &amp; (MOD(BA53 - DATE(2024, 1, 1), 60) + 1), [1]大運!$H$45:$K$3644, 2, FALSE)</f>
        <v>－</v>
      </c>
      <c r="BI53" s="172" t="str">
        <f t="shared" ca="1" si="21"/>
        <v/>
      </c>
      <c r="BJ53" s="172" t="str">
        <f t="shared" ca="1" si="22"/>
        <v>丙辛干合</v>
      </c>
      <c r="BK53" s="172" t="str">
        <f t="shared" ca="1" si="23"/>
        <v/>
      </c>
      <c r="BL53" s="174" t="str">
        <f ca="1">INDEX('12運シート'!C:C, MATCH(1, INDEX(('12運シート'!A:A=TRIM($T$42)) * ('12運シート'!B:B=TRIM(RIGHT(AZ53, 1))), 0), 0))</f>
        <v>立花</v>
      </c>
      <c r="BM53" s="174" t="str">
        <f ca="1">INDEX('12運シート'!$E:$E, MATCH(1, INDEX((TRIM('12運シート'!$A:$A)=TRIM($T$42)) * (TRIM('12運シート'!$B:$B)=TRIM(AZ53)), 0), 0))</f>
        <v>弁財天</v>
      </c>
      <c r="BN53" s="49" t="str">
        <f t="shared" ca="1" si="24"/>
        <v>才能がパッと花開き、今後の人生を左右する重要な決定を下す発展期。</v>
      </c>
      <c r="BO53" s="49"/>
      <c r="BP53" s="49"/>
      <c r="BQ53" s="49"/>
      <c r="BR53" s="49"/>
      <c r="BS53" s="49"/>
      <c r="BT53" s="49"/>
      <c r="BU53" s="49"/>
      <c r="BV53" s="63"/>
      <c r="BW53" s="147"/>
      <c r="BX53" s="148"/>
      <c r="BY53" s="149"/>
      <c r="BZ53" s="140"/>
      <c r="CA53" s="149"/>
      <c r="CB53" s="149"/>
      <c r="CC53" s="149"/>
      <c r="CD53" s="148"/>
      <c r="CE53" s="149"/>
      <c r="CF53" s="50"/>
      <c r="CG53" s="49"/>
      <c r="CH53" s="49"/>
      <c r="CI53" s="49"/>
      <c r="CJ53" s="49"/>
      <c r="CK53" s="49"/>
      <c r="CL53" s="49"/>
      <c r="CM53" s="49"/>
      <c r="CN53" s="49"/>
      <c r="CO53" s="49"/>
      <c r="CP53" s="49"/>
      <c r="CQ53" s="49"/>
      <c r="CR53" s="49"/>
      <c r="CS53" s="49"/>
      <c r="CT53" s="49"/>
      <c r="CU53" s="49"/>
      <c r="CV53" s="49"/>
      <c r="CW53" s="49"/>
      <c r="CX53" s="49"/>
      <c r="CY53" s="49"/>
      <c r="CZ53" s="49"/>
      <c r="DA53" s="49"/>
      <c r="DB53" s="49"/>
      <c r="DC53" s="49"/>
      <c r="DD53" s="49"/>
      <c r="DE53" s="49"/>
      <c r="DF53" s="49"/>
      <c r="DG53" s="49"/>
      <c r="DH53" s="49"/>
      <c r="DI53" s="49"/>
      <c r="DJ53" s="49"/>
      <c r="DK53" s="49"/>
      <c r="DL53" s="49"/>
      <c r="DM53" s="49"/>
      <c r="DN53" s="49"/>
      <c r="DO53" s="49"/>
      <c r="DP53" s="49"/>
      <c r="DQ53" s="49"/>
      <c r="DR53" s="49"/>
      <c r="DS53" s="49"/>
      <c r="DT53" s="49"/>
      <c r="DU53" s="49"/>
      <c r="DV53" s="49"/>
      <c r="DW53" s="49"/>
      <c r="DX53" s="49"/>
    </row>
    <row r="54" spans="1:128" ht="18" customHeight="1">
      <c r="A54" s="49"/>
      <c r="B54" s="49"/>
      <c r="C54" s="49"/>
      <c r="D54" s="49"/>
      <c r="E54" s="166" t="str">
        <f t="shared" ca="1" si="26"/>
        <v>卯</v>
      </c>
      <c r="F54" s="226" t="str">
        <f t="shared" ca="1" si="27"/>
        <v>2026/3</v>
      </c>
      <c r="G54" s="178" t="str">
        <f ca="1">VLOOKUP(MOD((YEAR(F54)-2024)*12 + MONTH(F54), 60) + 1, [1]大運!$B$31:$C$90, 2, FALSE)</f>
        <v>辛卯</v>
      </c>
      <c r="H54" s="178" t="str">
        <f ca="1">VLOOKUP($F$5 &amp; "+" &amp; (MOD((YEAR(F54)-1900)*12 + MONTH(F54) + 2, 60) + 1), [1]大運!$H$45:$K$3644, 3, FALSE)</f>
        <v>調舒星</v>
      </c>
      <c r="I54" s="221"/>
      <c r="J54" s="178" t="str">
        <f ca="1">VLOOKUP($F$5 &amp; "+" &amp; (MOD((YEAR(F54)-1900)*12 + MONTH(F54), 60) + 1), [1]大運!$H$45:$K$3644, 4, FALSE)</f>
        <v>天恍星</v>
      </c>
      <c r="K54" s="221"/>
      <c r="L54" s="222">
        <f t="shared" ca="1" si="28"/>
        <v>51</v>
      </c>
      <c r="M54" s="178" t="str">
        <f ca="1">VLOOKUP($F$5 &amp; "+" &amp; (MOD((YEAR(F54)-1900)*12 + MONTH(F54) + 12, 60) + 1), [1]大運!$H$45:$K$3644, 2, FALSE)</f>
        <v>刑</v>
      </c>
      <c r="N54" s="178" t="str">
        <f ca="1">VLOOKUP($G$5 &amp; "+" &amp; (MOD((YEAR(F54)-1900)*12 + MONTH(F54) + 12, 60) + 1), [1]大運!$H$45:$K$3644, 2, FALSE)</f>
        <v>－</v>
      </c>
      <c r="O54" s="178" t="str">
        <f ca="1">VLOOKUP($H$5 &amp; "+" &amp; (MOD((YEAR(F54)-1900)*12 + MONTH(F54) + 12, 60) + 1), [1]大運!$H$45:$K$3644, 2, FALSE)</f>
        <v>納音</v>
      </c>
      <c r="P54" s="100" t="str">
        <f t="shared" ca="1" si="29"/>
        <v/>
      </c>
      <c r="Q54" s="172" t="str">
        <f t="shared" ca="1" si="30"/>
        <v/>
      </c>
      <c r="R54" s="172" t="str">
        <f t="shared" ca="1" si="31"/>
        <v>丙辛干合</v>
      </c>
      <c r="S54" s="172" t="str">
        <f t="shared" ca="1" si="32"/>
        <v/>
      </c>
      <c r="T54" s="135" t="str">
        <f ca="1">INDEX('12運シート'!C:C, MATCH(1, INDEX(('12運シート'!A:A=TRIM($T$42)) * ('12運シート'!B:B=TRIM(E54)), 0), 0))</f>
        <v>再会</v>
      </c>
      <c r="U54" s="224" t="str">
        <f ca="1">INDEX('12運シート'!E:E, MATCH(1, INDEX((TRIM('12運シート'!A:A)=TRIM($T$42)) * (TRIM('12運シート'!B:B)=TRIM(E54)), 0), 0))</f>
        <v>有頂天</v>
      </c>
      <c r="V54" s="225" t="str">
        <f t="shared" ca="1" si="33"/>
        <v>第2の絶頂期。過去の縁が繋がり、周囲を巻き込み大きな成果を出す。</v>
      </c>
      <c r="W54" s="49"/>
      <c r="X54" s="53"/>
      <c r="Y54" s="49"/>
      <c r="Z54" s="49"/>
      <c r="AA54" s="53"/>
      <c r="AB54" s="53"/>
      <c r="AC54" s="49"/>
      <c r="AD54" s="49"/>
      <c r="AE54" s="166" t="str">
        <f t="shared" si="12"/>
        <v>亥</v>
      </c>
      <c r="AF54" s="167">
        <f t="shared" si="5"/>
        <v>38</v>
      </c>
      <c r="AG54" s="168">
        <f t="shared" si="13"/>
        <v>2019</v>
      </c>
      <c r="AH54" s="100" t="str">
        <f>VLOOKUP(AM54,[1]大運!$B$31:$C$90,2,FALSE)</f>
        <v>己亥</v>
      </c>
      <c r="AI54" s="99" t="str">
        <f>VLOOKUP($F$5&amp;"+"&amp;AM54,[1]大運!$H$45:$K$3644,3,FALSE)</f>
        <v>石門星</v>
      </c>
      <c r="AJ54" s="73"/>
      <c r="AK54" s="99" t="str">
        <f>VLOOKUP($F$5&amp;"+"&amp;AM54,[1]大運!$H$45:$K$3644,4,FALSE)</f>
        <v>天馳星</v>
      </c>
      <c r="AL54" s="73"/>
      <c r="AM54" s="171">
        <f t="shared" si="6"/>
        <v>36</v>
      </c>
      <c r="AN54" s="164" t="str">
        <f>VLOOKUP($F$5&amp;"+"&amp;AM54,[1]大運!$H$45:$K$3644,2,FALSE)</f>
        <v>準方位</v>
      </c>
      <c r="AO54" s="164" t="str">
        <f>VLOOKUP($G$5&amp;"+"&amp;AM54,[1]大運!$H$45:$K$3644,2,FALSE)</f>
        <v>害</v>
      </c>
      <c r="AP54" s="164" t="str">
        <f>VLOOKUP($H$5&amp;"+"&amp;AM54,[1]大運!$H$45:$K$3644,2,FALSE)</f>
        <v>－</v>
      </c>
      <c r="AQ54" s="100" t="str">
        <f t="shared" si="25"/>
        <v/>
      </c>
      <c r="AR54" s="172" t="str">
        <f t="shared" si="15"/>
        <v/>
      </c>
      <c r="AS54" s="172" t="str">
        <f t="shared" si="16"/>
        <v/>
      </c>
      <c r="AT54" s="172" t="str">
        <f t="shared" si="17"/>
        <v/>
      </c>
      <c r="AU54" s="49" t="str">
        <f>INDEX('12運シート'!C:C, MATCH(1, INDEX(('12運シート'!A:A=TRIM($T$42)) * ('12運シート'!B:B=TRIM(RIGHT(AE54, 1))), 0), 0))</f>
        <v>立花</v>
      </c>
      <c r="AV54" s="49" t="str">
        <f>INDEX('12運シート'!$E:$E, MATCH(1, INDEX((TRIM('12運シート'!$A:$A)=TRIM($T$42)) * (TRIM('12運シート'!$B:$B)=TRIM(AE54)), 0), 0))</f>
        <v>弁財天</v>
      </c>
      <c r="AW54" s="49" t="str">
        <f t="shared" si="18"/>
        <v>才能がパッと花開き、今後の人生を左右する重要な決定を下す発展期。</v>
      </c>
      <c r="AX54" s="49"/>
      <c r="AY54" s="49"/>
      <c r="AZ54" s="166" t="str">
        <f t="shared" ca="1" si="19"/>
        <v>子</v>
      </c>
      <c r="BA54" s="173">
        <f t="shared" ca="1" si="20"/>
        <v>46180</v>
      </c>
      <c r="BB54" s="174">
        <f t="shared" ca="1" si="7"/>
        <v>49</v>
      </c>
      <c r="BC54" s="174" t="str">
        <f ca="1">VLOOKUP(BB54,[1]大運!$B$31:$C$90,2,FALSE)</f>
        <v>壬子</v>
      </c>
      <c r="BD54" s="174" t="str">
        <f ca="1">VLOOKUP($F$5 &amp; "+" &amp; (MOD(BA54 - DATE(2024, 1, 1), 60) + 1), [1]大運!$H$45:$K$3644, 3, FALSE)</f>
        <v>禄存星</v>
      </c>
      <c r="BE54" s="174" t="str">
        <f ca="1">VLOOKUP($F$5 &amp; "+" &amp; (MOD(BA54 - DATE(2024, 1, 1), 60) + 1), [1]大運!$H$45:$K$3644, 4, FALSE)</f>
        <v>天報星</v>
      </c>
      <c r="BF54" s="174" t="str">
        <f ca="1">VLOOKUP($F$5 &amp; "+" &amp; (MOD(BA54 - DATE(2024, 1, 1), 60) + 1), [1]大運!$H$45:$K$3644, 2, FALSE)</f>
        <v>同</v>
      </c>
      <c r="BG54" s="174" t="str">
        <f ca="1">VLOOKUP($G$5 &amp; "+" &amp; (MOD(BA54 - DATE(2024, 1, 1), 60) + 1), [1]大運!$H$45:$K$3644, 2, FALSE)</f>
        <v>半会</v>
      </c>
      <c r="BH54" s="174" t="str">
        <f ca="1">VLOOKUP($H$5 &amp; "+" &amp; (MOD(BA54 - DATE(2024, 1, 1), 60) + 1), [1]大運!$H$45:$K$3644, 2, FALSE)</f>
        <v>破</v>
      </c>
      <c r="BI54" s="172" t="str">
        <f t="shared" ca="1" si="21"/>
        <v/>
      </c>
      <c r="BJ54" s="172" t="str">
        <f t="shared" ca="1" si="22"/>
        <v/>
      </c>
      <c r="BK54" s="172" t="str">
        <f t="shared" ca="1" si="23"/>
        <v/>
      </c>
      <c r="BL54" s="174" t="str">
        <f ca="1">INDEX('12運シート'!C:C, MATCH(1, INDEX(('12運シート'!A:A=TRIM($T$42)) * ('12運シート'!B:B=TRIM(RIGHT(AZ54, 1))), 0), 0))</f>
        <v>健弱</v>
      </c>
      <c r="BM54" s="174" t="str">
        <f ca="1">INDEX('12運シート'!$E:$E, MATCH(1, INDEX((TRIM('12運シート'!$A:$A)=TRIM($T$42)) * (TRIM('12運シート'!$B:$B)=TRIM(AZ54)), 0), 0))</f>
        <v>曇天</v>
      </c>
      <c r="BN54" s="49" t="str">
        <f t="shared" ca="1" si="24"/>
        <v>運気の勢いに心身が追いつかない小休止。自己治癒の時期。</v>
      </c>
      <c r="BO54" s="49"/>
      <c r="BP54" s="49"/>
      <c r="BQ54" s="49"/>
      <c r="BR54" s="49"/>
      <c r="BS54" s="49"/>
      <c r="BT54" s="49"/>
      <c r="BU54" s="49"/>
      <c r="BV54" s="63"/>
      <c r="BW54" s="210"/>
      <c r="BX54" s="148"/>
      <c r="BY54" s="149"/>
      <c r="BZ54" s="140"/>
      <c r="CA54" s="149"/>
      <c r="CB54" s="149"/>
      <c r="CC54" s="149"/>
      <c r="CD54" s="148"/>
      <c r="CE54" s="149"/>
      <c r="CF54" s="150"/>
      <c r="CG54" s="49"/>
      <c r="CH54" s="49"/>
      <c r="CI54" s="49"/>
      <c r="CJ54" s="49"/>
      <c r="CK54" s="49"/>
      <c r="CL54" s="49"/>
      <c r="CM54" s="49"/>
      <c r="CN54" s="49"/>
      <c r="CO54" s="49"/>
      <c r="CP54" s="49"/>
      <c r="CQ54" s="49"/>
      <c r="CR54" s="49"/>
      <c r="CS54" s="49"/>
      <c r="CT54" s="49"/>
      <c r="CU54" s="49"/>
      <c r="CV54" s="49"/>
      <c r="CW54" s="49"/>
      <c r="CX54" s="49"/>
      <c r="CY54" s="49"/>
      <c r="CZ54" s="49"/>
      <c r="DA54" s="49"/>
      <c r="DB54" s="49"/>
      <c r="DC54" s="49"/>
      <c r="DD54" s="49"/>
      <c r="DE54" s="49"/>
      <c r="DF54" s="49"/>
      <c r="DG54" s="49"/>
      <c r="DH54" s="49"/>
      <c r="DI54" s="49"/>
      <c r="DJ54" s="49"/>
      <c r="DK54" s="49"/>
      <c r="DL54" s="49"/>
      <c r="DM54" s="49"/>
      <c r="DN54" s="49"/>
      <c r="DO54" s="49"/>
      <c r="DP54" s="49"/>
      <c r="DQ54" s="49"/>
      <c r="DR54" s="49"/>
      <c r="DS54" s="49"/>
      <c r="DT54" s="49"/>
      <c r="DU54" s="49"/>
      <c r="DV54" s="49"/>
      <c r="DW54" s="49"/>
      <c r="DX54" s="49"/>
    </row>
    <row r="55" spans="1:128" ht="18" customHeight="1">
      <c r="A55" s="49"/>
      <c r="B55" s="49"/>
      <c r="C55" s="49"/>
      <c r="D55" s="49"/>
      <c r="E55" s="166" t="str">
        <f t="shared" ca="1" si="26"/>
        <v>辰</v>
      </c>
      <c r="F55" s="226" t="str">
        <f ca="1">TRIM(TEXT(EDATE(TODAY(), ROW(A11) - 13), "yyyy/m"))</f>
        <v>2026/4</v>
      </c>
      <c r="G55" s="178" t="str">
        <f ca="1">VLOOKUP(MOD((YEAR(F55)-2024)*12 + MONTH(F55), 60) + 1, [1]大運!$B$31:$C$90, 2, FALSE)</f>
        <v>壬辰</v>
      </c>
      <c r="H55" s="178" t="str">
        <f ca="1">VLOOKUP($F$5 &amp; "+" &amp; (MOD((YEAR(F55)-1900)*12 + MONTH(F55) + 2, 60) + 1), [1]大運!$H$45:$K$3644, 3, FALSE)</f>
        <v>禄存星</v>
      </c>
      <c r="I55" s="221"/>
      <c r="J55" s="178" t="str">
        <f ca="1">VLOOKUP($F$5 &amp; "+" &amp; (MOD((YEAR(F55)-1900)*12 + MONTH(F55), 60) + 1), [1]大運!$H$45:$K$3644, 4, FALSE)</f>
        <v>天南星</v>
      </c>
      <c r="K55" s="221"/>
      <c r="L55" s="222">
        <f t="shared" ca="1" si="28"/>
        <v>52</v>
      </c>
      <c r="M55" s="178" t="str">
        <f ca="1">VLOOKUP($F$5 &amp; "+" &amp; (MOD((YEAR(F55)-1900)*12 + MONTH(F55) + 12, 60) + 1), [1]大運!$H$45:$K$3644, 2, FALSE)</f>
        <v>半会</v>
      </c>
      <c r="N55" s="178" t="str">
        <f ca="1">VLOOKUP($G$5 &amp; "+" &amp; (MOD((YEAR(F55)-1900)*12 + MONTH(F55) + 12, 60) + 1), [1]大運!$H$45:$K$3644, 2, FALSE)</f>
        <v>半会</v>
      </c>
      <c r="O55" s="178" t="str">
        <f ca="1">VLOOKUP($H$5 &amp; "+" &amp; (MOD((YEAR(F55)-1900)*12 + MONTH(F55) + 12, 60) + 1), [1]大運!$H$45:$K$3644, 2, FALSE)</f>
        <v>支合</v>
      </c>
      <c r="P55" s="100" t="str">
        <f t="shared" ca="1" si="29"/>
        <v/>
      </c>
      <c r="Q55" s="172" t="str">
        <f t="shared" ca="1" si="30"/>
        <v/>
      </c>
      <c r="R55" s="172" t="str">
        <f t="shared" ca="1" si="31"/>
        <v/>
      </c>
      <c r="S55" s="172" t="str">
        <f t="shared" ca="1" si="32"/>
        <v/>
      </c>
      <c r="T55" s="135" t="str">
        <f ca="1">INDEX('12運シート'!C:C, MATCH(1, INDEX(('12運シート'!A:A=TRIM($T$42)) * ('12運シート'!B:B=TRIM(E55)), 0), 0))</f>
        <v>財成</v>
      </c>
      <c r="U55" s="224" t="str">
        <f ca="1">INDEX('12運シート'!E:E, MATCH(1, INDEX((TRIM('12運シート'!A:A)=TRIM($T$42)) * (TRIM('12運シート'!B:B)=TRIM(E55)), 0), 0))</f>
        <v>満天</v>
      </c>
      <c r="V55" s="225" t="str">
        <f t="shared" ca="1" si="33"/>
        <v>収穫の喜び。物質や人脈などあらゆる財を蓄積し、強固な基盤を作る。</v>
      </c>
      <c r="W55" s="49"/>
      <c r="X55" s="53"/>
      <c r="Y55" s="49"/>
      <c r="Z55" s="49"/>
      <c r="AA55" s="53"/>
      <c r="AB55" s="53"/>
      <c r="AC55" s="49"/>
      <c r="AD55" s="49"/>
      <c r="AE55" s="166" t="str">
        <f t="shared" si="12"/>
        <v>子</v>
      </c>
      <c r="AF55" s="167">
        <f t="shared" si="5"/>
        <v>39</v>
      </c>
      <c r="AG55" s="168">
        <f t="shared" si="13"/>
        <v>2020</v>
      </c>
      <c r="AH55" s="100" t="str">
        <f>VLOOKUP(AM55,[1]大運!$B$31:$C$90,2,FALSE)</f>
        <v>庚子</v>
      </c>
      <c r="AI55" s="99" t="str">
        <f>VLOOKUP($F$5&amp;"+"&amp;AM55,[1]大運!$H$45:$K$3644,3,FALSE)</f>
        <v>鳳閣星</v>
      </c>
      <c r="AJ55" s="73"/>
      <c r="AK55" s="99" t="str">
        <f>VLOOKUP($F$5&amp;"+"&amp;AM55,[1]大運!$H$45:$K$3644,4,FALSE)</f>
        <v>天報星</v>
      </c>
      <c r="AL55" s="73"/>
      <c r="AM55" s="171">
        <f t="shared" si="6"/>
        <v>37</v>
      </c>
      <c r="AN55" s="164" t="str">
        <f>VLOOKUP($F$5&amp;"+"&amp;AM55,[1]大運!$H$45:$K$3644,2,FALSE)</f>
        <v>同</v>
      </c>
      <c r="AO55" s="164" t="str">
        <f>VLOOKUP($G$5&amp;"+"&amp;AM55,[1]大運!$H$45:$K$3644,2,FALSE)</f>
        <v>半会</v>
      </c>
      <c r="AP55" s="164" t="str">
        <f>VLOOKUP($H$5&amp;"+"&amp;AM55,[1]大運!$H$45:$K$3644,2,FALSE)</f>
        <v>破</v>
      </c>
      <c r="AQ55" s="100" t="str">
        <f t="shared" si="25"/>
        <v/>
      </c>
      <c r="AR55" s="172" t="str">
        <f t="shared" si="15"/>
        <v/>
      </c>
      <c r="AS55" s="172" t="str">
        <f t="shared" si="16"/>
        <v/>
      </c>
      <c r="AT55" s="172" t="str">
        <f t="shared" si="17"/>
        <v/>
      </c>
      <c r="AU55" s="49" t="str">
        <f>INDEX('12運シート'!C:C, MATCH(1, INDEX(('12運シート'!A:A=TRIM($T$42)) * ('12運シート'!B:B=TRIM(RIGHT(AE55, 1))), 0), 0))</f>
        <v>健弱</v>
      </c>
      <c r="AV55" s="49" t="str">
        <f>INDEX('12運シート'!$E:$E, MATCH(1, INDEX((TRIM('12運シート'!$A:$A)=TRIM($T$42)) * (TRIM('12運シート'!$B:$B)=TRIM(AE55)), 0), 0))</f>
        <v>曇天</v>
      </c>
      <c r="AW55" s="49" t="str">
        <f t="shared" si="18"/>
        <v>運気の勢いに心身が追いつかない小休止。自己治癒の時期。</v>
      </c>
      <c r="AX55" s="49"/>
      <c r="AY55" s="49"/>
      <c r="AZ55" s="166" t="str">
        <f t="shared" ca="1" si="19"/>
        <v>丑</v>
      </c>
      <c r="BA55" s="173">
        <f t="shared" ca="1" si="20"/>
        <v>46181</v>
      </c>
      <c r="BB55" s="174">
        <f t="shared" ca="1" si="7"/>
        <v>50</v>
      </c>
      <c r="BC55" s="174" t="str">
        <f ca="1">VLOOKUP(BB55,[1]大運!$B$31:$C$90,2,FALSE)</f>
        <v>癸丑</v>
      </c>
      <c r="BD55" s="174" t="str">
        <f ca="1">VLOOKUP($F$5 &amp; "+" &amp; (MOD(BA55 - DATE(2024, 1, 1), 60) + 1), [1]大運!$H$45:$K$3644, 3, FALSE)</f>
        <v>司禄星</v>
      </c>
      <c r="BE55" s="174" t="str">
        <f ca="1">VLOOKUP($F$5 &amp; "+" &amp; (MOD(BA55 - DATE(2024, 1, 1), 60) + 1), [1]大運!$H$45:$K$3644, 4, FALSE)</f>
        <v>天印星</v>
      </c>
      <c r="BF55" s="174" t="str">
        <f ca="1">VLOOKUP($F$5 &amp; "+" &amp; (MOD(BA55 - DATE(2024, 1, 1), 60) + 1), [1]大運!$H$45:$K$3644, 2, FALSE)</f>
        <v>支合</v>
      </c>
      <c r="BG55" s="174" t="str">
        <f ca="1">VLOOKUP($G$5 &amp; "+" &amp; (MOD(BA55 - DATE(2024, 1, 1), 60) + 1), [1]大運!$H$45:$K$3644, 2, FALSE)</f>
        <v>－</v>
      </c>
      <c r="BH55" s="174" t="str">
        <f ca="1">VLOOKUP($H$5 &amp; "+" &amp; (MOD(BA55 - DATE(2024, 1, 1), 60) + 1), [1]大運!$H$45:$K$3644, 2, FALSE)</f>
        <v>半会</v>
      </c>
      <c r="BI55" s="172" t="str">
        <f t="shared" ca="1" si="21"/>
        <v>戊癸干合</v>
      </c>
      <c r="BJ55" s="172" t="str">
        <f t="shared" ca="1" si="22"/>
        <v/>
      </c>
      <c r="BK55" s="172" t="str">
        <f t="shared" ca="1" si="23"/>
        <v/>
      </c>
      <c r="BL55" s="174" t="str">
        <f ca="1">INDEX('12運シート'!C:C, MATCH(1, INDEX(('12運シート'!A:A=TRIM($T$42)) * ('12運シート'!B:B=TRIM(RIGHT(AZ55, 1))), 0), 0))</f>
        <v>達成</v>
      </c>
      <c r="BM55" s="174" t="str">
        <f ca="1">INDEX('12運シート'!$E:$E, MATCH(1, INDEX((TRIM('12運シート'!$A:$A)=TRIM($T$42)) * (TRIM('12運シート'!$B:$B)=TRIM(AZ55)), 0), 0))</f>
        <v>韋駄天</v>
      </c>
      <c r="BN55" s="49" t="str">
        <f t="shared" ca="1" si="24"/>
        <v>運気絶頂。これまでの努力が実を結び、最高のスポットライトを浴びる。</v>
      </c>
      <c r="BO55" s="49"/>
      <c r="BP55" s="49"/>
      <c r="BQ55" s="49"/>
      <c r="BR55" s="49"/>
      <c r="BS55" s="49"/>
      <c r="BT55" s="49"/>
      <c r="BU55" s="49"/>
      <c r="BV55" s="63"/>
      <c r="BW55" s="147"/>
      <c r="BX55" s="148"/>
      <c r="BY55" s="149"/>
      <c r="BZ55" s="140"/>
      <c r="CA55" s="149"/>
      <c r="CB55" s="149"/>
      <c r="CC55" s="149"/>
      <c r="CD55" s="148"/>
      <c r="CE55" s="149"/>
      <c r="CF55" s="50"/>
      <c r="CG55" s="49"/>
      <c r="CH55" s="49"/>
      <c r="CI55" s="49"/>
      <c r="CJ55" s="49"/>
      <c r="CK55" s="49"/>
      <c r="CL55" s="49"/>
      <c r="CM55" s="49"/>
      <c r="CN55" s="49"/>
      <c r="CO55" s="49"/>
      <c r="CP55" s="49"/>
      <c r="CQ55" s="49"/>
      <c r="CR55" s="49"/>
      <c r="CS55" s="49"/>
      <c r="CT55" s="49"/>
      <c r="CU55" s="49"/>
      <c r="CV55" s="49"/>
      <c r="CW55" s="49"/>
      <c r="CX55" s="49"/>
      <c r="CY55" s="49"/>
      <c r="CZ55" s="49"/>
      <c r="DA55" s="49"/>
      <c r="DB55" s="49"/>
      <c r="DC55" s="49"/>
      <c r="DD55" s="49"/>
      <c r="DE55" s="49"/>
      <c r="DF55" s="49"/>
      <c r="DG55" s="49"/>
      <c r="DH55" s="49"/>
      <c r="DI55" s="49"/>
      <c r="DJ55" s="49"/>
      <c r="DK55" s="49"/>
      <c r="DL55" s="49"/>
      <c r="DM55" s="49"/>
      <c r="DN55" s="49"/>
      <c r="DO55" s="49"/>
      <c r="DP55" s="49"/>
      <c r="DQ55" s="49"/>
      <c r="DR55" s="49"/>
      <c r="DS55" s="49"/>
      <c r="DT55" s="49"/>
      <c r="DU55" s="49"/>
      <c r="DV55" s="49"/>
      <c r="DW55" s="49"/>
      <c r="DX55" s="49"/>
    </row>
    <row r="56" spans="1:128" ht="18" customHeight="1">
      <c r="A56" s="49"/>
      <c r="B56" s="49"/>
      <c r="C56" s="49"/>
      <c r="D56" s="49"/>
      <c r="E56" s="166" t="str">
        <f t="shared" ca="1" si="26"/>
        <v>巳</v>
      </c>
      <c r="F56" s="226" t="str">
        <f t="shared" ca="1" si="27"/>
        <v>2026/5</v>
      </c>
      <c r="G56" s="178" t="str">
        <f ca="1">VLOOKUP(MOD((YEAR(F56)-2024)*12 + MONTH(F56), 60) + 1, [1]大運!$B$31:$C$90, 2, FALSE)</f>
        <v>癸巳</v>
      </c>
      <c r="H56" s="178" t="str">
        <f ca="1">VLOOKUP($F$5 &amp; "+" &amp; (MOD((YEAR(F56)-1900)*12 + MONTH(F56) + 2, 60) + 1), [1]大運!$H$45:$K$3644, 3, FALSE)</f>
        <v>司禄星</v>
      </c>
      <c r="I56" s="221"/>
      <c r="J56" s="178" t="str">
        <f ca="1">VLOOKUP($F$5 &amp; "+" &amp; (MOD((YEAR(F56)-1900)*12 + MONTH(F56), 60) + 1), [1]大運!$H$45:$K$3644, 4, FALSE)</f>
        <v>天禄星</v>
      </c>
      <c r="K56" s="221"/>
      <c r="L56" s="222">
        <f t="shared" ca="1" si="28"/>
        <v>53</v>
      </c>
      <c r="M56" s="178" t="str">
        <f ca="1">VLOOKUP($F$5 &amp; "+" &amp; (MOD((YEAR(F56)-1900)*12 + MONTH(F56) + 12, 60) + 1), [1]大運!$H$45:$K$3644, 2, FALSE)</f>
        <v>－</v>
      </c>
      <c r="N56" s="178" t="str">
        <f ca="1">VLOOKUP($G$5 &amp; "+" &amp; (MOD((YEAR(F56)-1900)*12 + MONTH(F56) + 12, 60) + 1), [1]大運!$H$45:$K$3644, 2, FALSE)</f>
        <v>支合</v>
      </c>
      <c r="O56" s="178" t="str">
        <f ca="1">VLOOKUP($H$5 &amp; "+" &amp; (MOD((YEAR(F56)-1900)*12 + MONTH(F56) + 12, 60) + 1), [1]大運!$H$45:$K$3644, 2, FALSE)</f>
        <v>半会</v>
      </c>
      <c r="P56" s="100" t="str">
        <f t="shared" ca="1" si="29"/>
        <v>年</v>
      </c>
      <c r="Q56" s="172" t="str">
        <f t="shared" ca="1" si="30"/>
        <v>戊癸干合</v>
      </c>
      <c r="R56" s="172" t="str">
        <f t="shared" ca="1" si="31"/>
        <v/>
      </c>
      <c r="S56" s="172" t="str">
        <f t="shared" ca="1" si="32"/>
        <v/>
      </c>
      <c r="T56" s="135" t="str">
        <f ca="1">INDEX('12運シート'!C:C, MATCH(1, INDEX(('12運シート'!A:A=TRIM($T$42)) * ('12運シート'!B:B=TRIM(E56)), 0), 0))</f>
        <v>充実</v>
      </c>
      <c r="U56" s="224" t="str">
        <f ca="1">INDEX('12運シート'!E:E, MATCH(1, INDEX((TRIM('12運シート'!A:A)=TRIM($T$42)) * (TRIM('12運シート'!B:B)=TRIM(E56)), 0), 0))</f>
        <v>静天</v>
      </c>
      <c r="V56" s="225" t="str">
        <f t="shared" ca="1" si="33"/>
        <v>成果が出揃う。精神的な安定と充実の中で平和に人生を俯瞰する時期。</v>
      </c>
      <c r="W56" s="49"/>
      <c r="X56" s="53"/>
      <c r="Y56" s="49"/>
      <c r="Z56" s="49"/>
      <c r="AA56" s="53"/>
      <c r="AB56" s="53"/>
      <c r="AC56" s="49"/>
      <c r="AD56" s="49"/>
      <c r="AE56" s="166" t="str">
        <f t="shared" si="12"/>
        <v>丑</v>
      </c>
      <c r="AF56" s="167">
        <f t="shared" si="5"/>
        <v>40</v>
      </c>
      <c r="AG56" s="168">
        <f t="shared" si="13"/>
        <v>2021</v>
      </c>
      <c r="AH56" s="100" t="str">
        <f>VLOOKUP(AM56,[1]大運!$B$31:$C$90,2,FALSE)</f>
        <v>辛丑</v>
      </c>
      <c r="AI56" s="99" t="str">
        <f>VLOOKUP($F$5&amp;"+"&amp;AM56,[1]大運!$H$45:$K$3644,3,FALSE)</f>
        <v>調舒星</v>
      </c>
      <c r="AJ56" s="73"/>
      <c r="AK56" s="99" t="str">
        <f>VLOOKUP($F$5&amp;"+"&amp;AM56,[1]大運!$H$45:$K$3644,4,FALSE)</f>
        <v>天印星</v>
      </c>
      <c r="AL56" s="73"/>
      <c r="AM56" s="171">
        <f t="shared" si="6"/>
        <v>38</v>
      </c>
      <c r="AN56" s="164" t="str">
        <f>VLOOKUP($F$5&amp;"+"&amp;AM56,[1]大運!$H$45:$K$3644,2,FALSE)</f>
        <v>支合</v>
      </c>
      <c r="AO56" s="164" t="str">
        <f>VLOOKUP($G$5&amp;"+"&amp;AM56,[1]大運!$H$45:$K$3644,2,FALSE)</f>
        <v>－</v>
      </c>
      <c r="AP56" s="164" t="str">
        <f>VLOOKUP($H$5&amp;"+"&amp;AM56,[1]大運!$H$45:$K$3644,2,FALSE)</f>
        <v>大半会</v>
      </c>
      <c r="AQ56" s="100" t="str">
        <f t="shared" si="25"/>
        <v>月</v>
      </c>
      <c r="AR56" s="172" t="str">
        <f t="shared" si="15"/>
        <v/>
      </c>
      <c r="AS56" s="172" t="str">
        <f t="shared" si="16"/>
        <v>丙辛干合</v>
      </c>
      <c r="AT56" s="172" t="str">
        <f t="shared" si="17"/>
        <v/>
      </c>
      <c r="AU56" s="49" t="str">
        <f>INDEX('12運シート'!C:C, MATCH(1, INDEX(('12運シート'!A:A=TRIM($T$42)) * ('12運シート'!B:B=TRIM(RIGHT(AE56, 1))), 0), 0))</f>
        <v>達成</v>
      </c>
      <c r="AV56" s="49" t="str">
        <f>INDEX('12運シート'!$E:$E, MATCH(1, INDEX((TRIM('12運シート'!$A:$A)=TRIM($T$42)) * (TRIM('12運シート'!$B:$B)=TRIM(AE56)), 0), 0))</f>
        <v>韋駄天</v>
      </c>
      <c r="AW56" s="49" t="str">
        <f t="shared" si="18"/>
        <v>運気絶頂。これまでの努力が実を結び、最高のスポットライトを浴びる。</v>
      </c>
      <c r="AX56" s="49"/>
      <c r="AY56" s="49"/>
      <c r="AZ56" s="166" t="str">
        <f t="shared" ca="1" si="19"/>
        <v>寅</v>
      </c>
      <c r="BA56" s="173">
        <f t="shared" ca="1" si="20"/>
        <v>46182</v>
      </c>
      <c r="BB56" s="174">
        <f t="shared" ca="1" si="7"/>
        <v>51</v>
      </c>
      <c r="BC56" s="174" t="str">
        <f ca="1">VLOOKUP(BB56,[1]大運!$B$31:$C$90,2,FALSE)</f>
        <v>甲寅</v>
      </c>
      <c r="BD56" s="174" t="str">
        <f ca="1">VLOOKUP($F$5 &amp; "+" &amp; (MOD(BA56 - DATE(2024, 1, 1), 60) + 1), [1]大運!$H$45:$K$3644, 3, FALSE)</f>
        <v>車騎星</v>
      </c>
      <c r="BE56" s="174" t="str">
        <f ca="1">VLOOKUP($F$5 &amp; "+" &amp; (MOD(BA56 - DATE(2024, 1, 1), 60) + 1), [1]大運!$H$45:$K$3644, 4, FALSE)</f>
        <v>天貴星</v>
      </c>
      <c r="BF56" s="174" t="str">
        <f ca="1">VLOOKUP($F$5 &amp; "+" &amp; (MOD(BA56 - DATE(2024, 1, 1), 60) + 1), [1]大運!$H$45:$K$3644, 2, FALSE)</f>
        <v>－</v>
      </c>
      <c r="BG56" s="174" t="str">
        <f ca="1">VLOOKUP($G$5 &amp; "+" &amp; (MOD(BA56 - DATE(2024, 1, 1), 60) + 1), [1]大運!$H$45:$K$3644, 2, FALSE)</f>
        <v>対冲</v>
      </c>
      <c r="BH56" s="174" t="str">
        <f ca="1">VLOOKUP($H$5 &amp; "+" &amp; (MOD(BA56 - DATE(2024, 1, 1), 60) + 1), [1]大運!$H$45:$K$3644, 2, FALSE)</f>
        <v>－</v>
      </c>
      <c r="BI56" s="172" t="str">
        <f t="shared" ca="1" si="21"/>
        <v/>
      </c>
      <c r="BJ56" s="172" t="str">
        <f t="shared" ca="1" si="22"/>
        <v/>
      </c>
      <c r="BK56" s="172" t="str">
        <f t="shared" ca="1" si="23"/>
        <v/>
      </c>
      <c r="BL56" s="174" t="str">
        <f ca="1">INDEX('12運シート'!C:C, MATCH(1, INDEX(('12運シート'!A:A=TRIM($T$42)) * ('12運シート'!B:B=TRIM(RIGHT(AZ56, 1))), 0), 0))</f>
        <v>乱気</v>
      </c>
      <c r="BM56" s="174" t="str">
        <f ca="1">INDEX('12運シート'!$E:$E, MATCH(1, INDEX((TRIM('12運シート'!$A:$A)=TRIM($T$42)) * (TRIM('12運シート'!$B:$B)=TRIM(AZ56)), 0), 0))</f>
        <v>伏魔天</v>
      </c>
      <c r="BN56" s="49" t="str">
        <f t="shared" ca="1" si="24"/>
        <v>強すぎる運気の反動で迷いや摩擦が生じる。理性と現状維持が必要な嵐。</v>
      </c>
      <c r="BO56" s="49"/>
      <c r="BP56" s="49"/>
      <c r="BQ56" s="49"/>
      <c r="BR56" s="49"/>
      <c r="BS56" s="49"/>
      <c r="BT56" s="49"/>
      <c r="BU56" s="49"/>
      <c r="BV56" s="49"/>
      <c r="BW56" s="147"/>
      <c r="BX56" s="148"/>
      <c r="BY56" s="149"/>
      <c r="BZ56" s="140"/>
      <c r="CA56" s="149"/>
      <c r="CB56" s="149"/>
      <c r="CC56" s="149"/>
      <c r="CD56" s="148"/>
      <c r="CE56" s="149"/>
      <c r="CF56" s="150"/>
      <c r="CG56" s="49"/>
      <c r="CH56" s="49"/>
      <c r="CI56" s="49"/>
      <c r="CJ56" s="49"/>
      <c r="CK56" s="49"/>
      <c r="CL56" s="49"/>
      <c r="CM56" s="49"/>
      <c r="CN56" s="49"/>
      <c r="CO56" s="49"/>
      <c r="CP56" s="49"/>
      <c r="CQ56" s="49"/>
      <c r="CR56" s="49"/>
      <c r="CS56" s="49"/>
      <c r="CT56" s="49"/>
      <c r="CU56" s="49"/>
      <c r="CV56" s="49"/>
      <c r="CW56" s="49"/>
      <c r="CX56" s="49"/>
      <c r="CY56" s="49"/>
      <c r="CZ56" s="49"/>
      <c r="DA56" s="49"/>
      <c r="DB56" s="49"/>
      <c r="DC56" s="49"/>
      <c r="DD56" s="49"/>
      <c r="DE56" s="49"/>
      <c r="DF56" s="49"/>
      <c r="DG56" s="49"/>
      <c r="DH56" s="49"/>
      <c r="DI56" s="49"/>
      <c r="DJ56" s="49"/>
      <c r="DK56" s="49"/>
      <c r="DL56" s="49"/>
      <c r="DM56" s="49"/>
      <c r="DN56" s="49"/>
      <c r="DO56" s="49"/>
      <c r="DP56" s="49"/>
      <c r="DQ56" s="49"/>
      <c r="DR56" s="49"/>
      <c r="DS56" s="49"/>
      <c r="DT56" s="49"/>
      <c r="DU56" s="49"/>
      <c r="DV56" s="49"/>
      <c r="DW56" s="49"/>
      <c r="DX56" s="49"/>
    </row>
    <row r="57" spans="1:128" ht="18" customHeight="1">
      <c r="A57" s="49"/>
      <c r="B57" s="49"/>
      <c r="C57" s="49"/>
      <c r="D57" s="49"/>
      <c r="E57" s="166" t="str">
        <f t="shared" ca="1" si="26"/>
        <v>午</v>
      </c>
      <c r="F57" s="226" t="str">
        <f t="shared" ca="1" si="27"/>
        <v>2026/6</v>
      </c>
      <c r="G57" s="178" t="str">
        <f ca="1">VLOOKUP(MOD((YEAR(F57)-2024)*12 + MONTH(F57), 60) + 1, [1]大運!$B$31:$C$90, 2, FALSE)</f>
        <v>甲午</v>
      </c>
      <c r="H57" s="178" t="str">
        <f ca="1">VLOOKUP($F$5 &amp; "+" &amp; (MOD((YEAR(F57)-1900)*12 + MONTH(F57) + 2, 60) + 1), [1]大運!$H$45:$K$3644, 3, FALSE)</f>
        <v>車騎星</v>
      </c>
      <c r="I57" s="221"/>
      <c r="J57" s="178" t="str">
        <f ca="1">VLOOKUP($F$5 &amp; "+" &amp; (MOD((YEAR(F57)-1900)*12 + MONTH(F57), 60) + 1), [1]大運!$H$45:$K$3644, 4, FALSE)</f>
        <v>天将星</v>
      </c>
      <c r="K57" s="221"/>
      <c r="L57" s="222">
        <f t="shared" ca="1" si="28"/>
        <v>54</v>
      </c>
      <c r="M57" s="178" t="str">
        <f ca="1">VLOOKUP($F$5 &amp; "+" &amp; (MOD((YEAR(F57)-1900)*12 + MONTH(F57) + 12, 60) + 1), [1]大運!$H$45:$K$3644, 2, FALSE)</f>
        <v>天剋地冲</v>
      </c>
      <c r="N57" s="178" t="str">
        <f ca="1">VLOOKUP($G$5 &amp; "+" &amp; (MOD((YEAR(F57)-1900)*12 + MONTH(F57) + 12, 60) + 1), [1]大運!$H$45:$K$3644, 2, FALSE)</f>
        <v>－</v>
      </c>
      <c r="O57" s="178" t="str">
        <f ca="1">VLOOKUP($H$5 &amp; "+" &amp; (MOD((YEAR(F57)-1900)*12 + MONTH(F57) + 12, 60) + 1), [1]大運!$H$45:$K$3644, 2, FALSE)</f>
        <v>－</v>
      </c>
      <c r="P57" s="100" t="str">
        <f t="shared" ca="1" si="29"/>
        <v>殺</v>
      </c>
      <c r="Q57" s="172" t="str">
        <f t="shared" ca="1" si="30"/>
        <v/>
      </c>
      <c r="R57" s="172" t="str">
        <f t="shared" ca="1" si="31"/>
        <v/>
      </c>
      <c r="S57" s="172" t="str">
        <f t="shared" ca="1" si="32"/>
        <v/>
      </c>
      <c r="T57" s="135" t="str">
        <f ca="1">INDEX('12運シート'!C:C, MATCH(1, INDEX(('12運シート'!A:A=TRIM($T$42)) * ('12運シート'!B:B=TRIM(E57)), 0), 0))</f>
        <v>陰影</v>
      </c>
      <c r="U57" s="224" t="str">
        <f ca="1">INDEX('12運シート'!E:E, MATCH(1, INDEX((TRIM('12運シート'!A:A)=TRIM($T$42)) * (TRIM('12運シート'!B:B)=TRIM(E57)), 0), 0))</f>
        <v>暗天</v>
      </c>
      <c r="V57" s="225" t="str">
        <f t="shared" ca="1" si="33"/>
        <v>運気下降（運の冬入り）。孤独を感じやすいが水面下の自己鍛錬が必要。</v>
      </c>
      <c r="W57" s="49"/>
      <c r="X57" s="53"/>
      <c r="Y57" s="49"/>
      <c r="Z57" s="49"/>
      <c r="AA57" s="53"/>
      <c r="AB57" s="53"/>
      <c r="AC57" s="49"/>
      <c r="AD57" s="49"/>
      <c r="AE57" s="166" t="str">
        <f t="shared" si="12"/>
        <v>寅</v>
      </c>
      <c r="AF57" s="167">
        <f t="shared" si="5"/>
        <v>41</v>
      </c>
      <c r="AG57" s="168">
        <f t="shared" si="13"/>
        <v>2022</v>
      </c>
      <c r="AH57" s="100" t="str">
        <f>VLOOKUP(AM57,[1]大運!$B$31:$C$90,2,FALSE)</f>
        <v>壬寅</v>
      </c>
      <c r="AI57" s="99" t="str">
        <f>VLOOKUP($F$5&amp;"+"&amp;AM57,[1]大運!$H$45:$K$3644,3,FALSE)</f>
        <v>禄存星</v>
      </c>
      <c r="AJ57" s="73"/>
      <c r="AK57" s="99" t="str">
        <f>VLOOKUP($F$5&amp;"+"&amp;AM57,[1]大運!$H$45:$K$3644,4,FALSE)</f>
        <v>天貴星</v>
      </c>
      <c r="AL57" s="73"/>
      <c r="AM57" s="171">
        <f t="shared" si="6"/>
        <v>39</v>
      </c>
      <c r="AN57" s="164" t="str">
        <f>VLOOKUP($F$5&amp;"+"&amp;AM57,[1]大運!$H$45:$K$3644,2,FALSE)</f>
        <v>－</v>
      </c>
      <c r="AO57" s="164" t="str">
        <f>VLOOKUP($G$5&amp;"+"&amp;AM57,[1]大運!$H$45:$K$3644,2,FALSE)</f>
        <v>天剋地冲</v>
      </c>
      <c r="AP57" s="164" t="str">
        <f>VLOOKUP($H$5&amp;"+"&amp;AM57,[1]大運!$H$45:$K$3644,2,FALSE)</f>
        <v>－</v>
      </c>
      <c r="AQ57" s="100" t="str">
        <f t="shared" si="25"/>
        <v/>
      </c>
      <c r="AR57" s="172" t="str">
        <f t="shared" si="15"/>
        <v/>
      </c>
      <c r="AS57" s="172" t="str">
        <f t="shared" si="16"/>
        <v/>
      </c>
      <c r="AT57" s="172" t="str">
        <f t="shared" si="17"/>
        <v/>
      </c>
      <c r="AU57" s="49" t="str">
        <f>INDEX('12運シート'!C:C, MATCH(1, INDEX(('12運シート'!A:A=TRIM($T$42)) * ('12運シート'!B:B=TRIM(RIGHT(AE57, 1))), 0), 0))</f>
        <v>乱気</v>
      </c>
      <c r="AV57" s="49" t="str">
        <f>INDEX('12運シート'!$E:$E, MATCH(1, INDEX((TRIM('12運シート'!$A:$A)=TRIM($T$42)) * (TRIM('12運シート'!$B:$B)=TRIM(AE57)), 0), 0))</f>
        <v>伏魔天</v>
      </c>
      <c r="AW57" s="49" t="str">
        <f t="shared" si="18"/>
        <v>強すぎる運気の反動で迷いや摩擦が生じる。理性と現状維持が必要な嵐。</v>
      </c>
      <c r="AX57" s="49"/>
      <c r="AY57" s="49"/>
      <c r="AZ57" s="166" t="str">
        <f t="shared" ca="1" si="19"/>
        <v>卯</v>
      </c>
      <c r="BA57" s="173">
        <f t="shared" ca="1" si="20"/>
        <v>46183</v>
      </c>
      <c r="BB57" s="174">
        <f t="shared" ca="1" si="7"/>
        <v>52</v>
      </c>
      <c r="BC57" s="174" t="str">
        <f ca="1">VLOOKUP(BB57,[1]大運!$B$31:$C$90,2,FALSE)</f>
        <v>乙卯</v>
      </c>
      <c r="BD57" s="174" t="str">
        <f ca="1">VLOOKUP($F$5 &amp; "+" &amp; (MOD(BA57 - DATE(2024, 1, 1), 60) + 1), [1]大運!$H$45:$K$3644, 3, FALSE)</f>
        <v>牽牛星</v>
      </c>
      <c r="BE57" s="174" t="str">
        <f ca="1">VLOOKUP($F$5 &amp; "+" &amp; (MOD(BA57 - DATE(2024, 1, 1), 60) + 1), [1]大運!$H$45:$K$3644, 4, FALSE)</f>
        <v>天恍星</v>
      </c>
      <c r="BF57" s="174" t="str">
        <f ca="1">VLOOKUP($F$5 &amp; "+" &amp; (MOD(BA57 - DATE(2024, 1, 1), 60) + 1), [1]大運!$H$45:$K$3644, 2, FALSE)</f>
        <v>刑</v>
      </c>
      <c r="BG57" s="174" t="str">
        <f ca="1">VLOOKUP($G$5 &amp; "+" &amp; (MOD(BA57 - DATE(2024, 1, 1), 60) + 1), [1]大運!$H$45:$K$3644, 2, FALSE)</f>
        <v>－</v>
      </c>
      <c r="BH57" s="174" t="str">
        <f ca="1">VLOOKUP($H$5 &amp; "+" &amp; (MOD(BA57 - DATE(2024, 1, 1), 60) + 1), [1]大運!$H$45:$K$3644, 2, FALSE)</f>
        <v>天剋地冲</v>
      </c>
      <c r="BI57" s="172" t="str">
        <f t="shared" ca="1" si="21"/>
        <v/>
      </c>
      <c r="BJ57" s="172" t="str">
        <f t="shared" ca="1" si="22"/>
        <v/>
      </c>
      <c r="BK57" s="172" t="str">
        <f t="shared" ca="1" si="23"/>
        <v/>
      </c>
      <c r="BL57" s="174" t="str">
        <f ca="1">INDEX('12運シート'!C:C, MATCH(1, INDEX(('12運シート'!A:A=TRIM($T$42)) * ('12運シート'!B:B=TRIM(RIGHT(AZ57, 1))), 0), 0))</f>
        <v>再会</v>
      </c>
      <c r="BM57" s="174" t="str">
        <f ca="1">INDEX('12運シート'!$E:$E, MATCH(1, INDEX((TRIM('12運シート'!$A:$A)=TRIM($T$42)) * (TRIM('12運シート'!$B:$B)=TRIM(AZ57)), 0), 0))</f>
        <v>有頂天</v>
      </c>
      <c r="BN57" s="49" t="str">
        <f t="shared" ca="1" si="24"/>
        <v>第2の絶頂期。過去の縁が繋がり、周囲を巻き込み大きな成果を出す。</v>
      </c>
      <c r="BO57" s="49"/>
      <c r="BP57" s="49"/>
      <c r="BQ57" s="49"/>
      <c r="BR57" s="49"/>
      <c r="BS57" s="49"/>
      <c r="BT57" s="49"/>
      <c r="BU57" s="49"/>
      <c r="BV57" s="49"/>
      <c r="BW57" s="147"/>
      <c r="BX57" s="148"/>
      <c r="BY57" s="149"/>
      <c r="BZ57" s="140"/>
      <c r="CA57" s="149"/>
      <c r="CB57" s="149"/>
      <c r="CC57" s="149"/>
      <c r="CD57" s="148"/>
      <c r="CE57" s="149"/>
      <c r="CF57" s="50"/>
      <c r="CG57" s="49"/>
      <c r="CH57" s="49"/>
      <c r="CI57" s="49"/>
      <c r="CJ57" s="49"/>
      <c r="CK57" s="49"/>
      <c r="CL57" s="49"/>
      <c r="CM57" s="49"/>
      <c r="CN57" s="49"/>
      <c r="CO57" s="49"/>
      <c r="CP57" s="49"/>
      <c r="CQ57" s="49"/>
      <c r="CR57" s="49"/>
      <c r="CS57" s="49"/>
      <c r="CT57" s="49"/>
      <c r="CU57" s="49"/>
      <c r="CV57" s="49"/>
      <c r="CW57" s="49"/>
      <c r="CX57" s="49"/>
      <c r="CY57" s="49"/>
      <c r="CZ57" s="49"/>
      <c r="DA57" s="49"/>
      <c r="DB57" s="49"/>
      <c r="DC57" s="49"/>
      <c r="DD57" s="49"/>
      <c r="DE57" s="49"/>
      <c r="DF57" s="49"/>
      <c r="DG57" s="49"/>
      <c r="DH57" s="49"/>
      <c r="DI57" s="49"/>
      <c r="DJ57" s="49"/>
      <c r="DK57" s="49"/>
      <c r="DL57" s="49"/>
      <c r="DM57" s="49"/>
      <c r="DN57" s="49"/>
      <c r="DO57" s="49"/>
      <c r="DP57" s="49"/>
      <c r="DQ57" s="49"/>
      <c r="DR57" s="49"/>
      <c r="DS57" s="49"/>
      <c r="DT57" s="49"/>
      <c r="DU57" s="49"/>
      <c r="DV57" s="49"/>
      <c r="DW57" s="49"/>
      <c r="DX57" s="49"/>
    </row>
    <row r="58" spans="1:128" ht="12" customHeight="1">
      <c r="A58" s="49"/>
      <c r="B58" s="49"/>
      <c r="C58" s="49"/>
      <c r="D58" s="49"/>
      <c r="E58" s="166" t="str">
        <f t="shared" ca="1" si="26"/>
        <v>未</v>
      </c>
      <c r="F58" s="226" t="str">
        <f t="shared" ca="1" si="27"/>
        <v>2026/7</v>
      </c>
      <c r="G58" s="178" t="str">
        <f ca="1">VLOOKUP(MOD((YEAR(F58)-2024)*12 + MONTH(F58), 60) + 1, [1]大運!$B$31:$C$90, 2, FALSE)</f>
        <v>乙未</v>
      </c>
      <c r="H58" s="178" t="str">
        <f ca="1">VLOOKUP($F$5 &amp; "+" &amp; (MOD((YEAR(F58)-1900)*12 + MONTH(F58) + 2, 60) + 1), [1]大運!$H$45:$K$3644, 3, FALSE)</f>
        <v>牽牛星</v>
      </c>
      <c r="I58" s="221"/>
      <c r="J58" s="178" t="str">
        <f ca="1">VLOOKUP($F$5 &amp; "+" &amp; (MOD((YEAR(F58)-1900)*12 + MONTH(F58), 60) + 1), [1]大運!$H$45:$K$3644, 4, FALSE)</f>
        <v>天堂星</v>
      </c>
      <c r="K58" s="221"/>
      <c r="L58" s="222">
        <f t="shared" ca="1" si="28"/>
        <v>55</v>
      </c>
      <c r="M58" s="178" t="str">
        <f ca="1">VLOOKUP($F$5 &amp; "+" &amp; (MOD((YEAR(F58)-1900)*12 + MONTH(F58) + 12, 60) + 1), [1]大運!$H$45:$K$3644, 2, FALSE)</f>
        <v>害</v>
      </c>
      <c r="N58" s="178" t="str">
        <f ca="1">VLOOKUP($G$5 &amp; "+" &amp; (MOD((YEAR(F58)-1900)*12 + MONTH(F58) + 12, 60) + 1), [1]大運!$H$45:$K$3644, 2, FALSE)</f>
        <v>－</v>
      </c>
      <c r="O58" s="178" t="str">
        <f ca="1">VLOOKUP($H$5 &amp; "+" &amp; (MOD((YEAR(F58)-1900)*12 + MONTH(F58) + 12, 60) + 1), [1]大運!$H$45:$K$3644, 2, FALSE)</f>
        <v>－</v>
      </c>
      <c r="P58" s="100" t="str">
        <f t="shared" ca="1" si="29"/>
        <v>殺</v>
      </c>
      <c r="Q58" s="172" t="str">
        <f t="shared" ca="1" si="30"/>
        <v/>
      </c>
      <c r="R58" s="172" t="str">
        <f t="shared" ca="1" si="31"/>
        <v/>
      </c>
      <c r="S58" s="172" t="str">
        <f t="shared" ca="1" si="32"/>
        <v/>
      </c>
      <c r="T58" s="135" t="str">
        <f ca="1">INDEX('12運シート'!C:C, MATCH(1, INDEX(('12運シート'!A:A=TRIM($T$42)) * ('12運シート'!B:B=TRIM(E58)), 0), 0))</f>
        <v>停止</v>
      </c>
      <c r="U58" s="224" t="str">
        <f ca="1">INDEX('12運シート'!E:E, MATCH(1, INDEX((TRIM('12運シート'!A:A)=TRIM($T$42)) * (TRIM('12運シート'!B:B)=TRIM(E58)), 0), 0))</f>
        <v>大曇天</v>
      </c>
      <c r="V58" s="225" t="str">
        <f t="shared" ca="1" si="33"/>
        <v>運命の停止（運の真冬時期）。古い価値観を手放す究極の浄化期間。</v>
      </c>
      <c r="W58" s="49"/>
      <c r="X58" s="53"/>
      <c r="Y58" s="49"/>
      <c r="Z58" s="49"/>
      <c r="AA58" s="53"/>
      <c r="AB58" s="53"/>
      <c r="AC58" s="49"/>
      <c r="AD58" s="49"/>
      <c r="AE58" s="166" t="str">
        <f t="shared" si="12"/>
        <v>卯</v>
      </c>
      <c r="AF58" s="167">
        <f t="shared" si="5"/>
        <v>42</v>
      </c>
      <c r="AG58" s="168">
        <f t="shared" si="13"/>
        <v>2023</v>
      </c>
      <c r="AH58" s="100" t="str">
        <f>VLOOKUP(AM58,[1]大運!$B$31:$C$90,2,FALSE)</f>
        <v>癸卯</v>
      </c>
      <c r="AI58" s="99" t="str">
        <f>VLOOKUP($F$5&amp;"+"&amp;AM58,[1]大運!$H$45:$K$3644,3,FALSE)</f>
        <v>司禄星</v>
      </c>
      <c r="AJ58" s="73"/>
      <c r="AK58" s="99" t="str">
        <f>VLOOKUP($F$5&amp;"+"&amp;AM58,[1]大運!$H$45:$K$3644,4,FALSE)</f>
        <v>天恍星</v>
      </c>
      <c r="AL58" s="73"/>
      <c r="AM58" s="171">
        <f t="shared" si="6"/>
        <v>40</v>
      </c>
      <c r="AN58" s="164" t="str">
        <f>VLOOKUP($F$5&amp;"+"&amp;AM58,[1]大運!$H$45:$K$3644,2,FALSE)</f>
        <v>刑</v>
      </c>
      <c r="AO58" s="164" t="str">
        <f>VLOOKUP($G$5&amp;"+"&amp;AM58,[1]大運!$H$45:$K$3644,2,FALSE)</f>
        <v>－</v>
      </c>
      <c r="AP58" s="164" t="str">
        <f>VLOOKUP($H$5&amp;"+"&amp;AM58,[1]大運!$H$45:$K$3644,2,FALSE)</f>
        <v>対冲</v>
      </c>
      <c r="AQ58" s="100" t="str">
        <f t="shared" si="25"/>
        <v>日</v>
      </c>
      <c r="AR58" s="172" t="str">
        <f t="shared" si="15"/>
        <v>戊癸干合</v>
      </c>
      <c r="AS58" s="172" t="str">
        <f t="shared" si="16"/>
        <v/>
      </c>
      <c r="AT58" s="172" t="str">
        <f t="shared" si="17"/>
        <v/>
      </c>
      <c r="AU58" s="49" t="str">
        <f>INDEX('12運シート'!C:C, MATCH(1, INDEX(('12運シート'!A:A=TRIM($T$42)) * ('12運シート'!B:B=TRIM(RIGHT(AE58, 1))), 0), 0))</f>
        <v>再会</v>
      </c>
      <c r="AV58" s="49" t="str">
        <f>INDEX('12運シート'!$E:$E, MATCH(1, INDEX((TRIM('12運シート'!$A:$A)=TRIM($T$42)) * (TRIM('12運シート'!$B:$B)=TRIM(AE58)), 0), 0))</f>
        <v>有頂天</v>
      </c>
      <c r="AW58" s="49" t="str">
        <f t="shared" si="18"/>
        <v>第2の絶頂期。過去の縁が繋がり、周囲を巻き込み大きな成果を出す。</v>
      </c>
      <c r="AX58" s="49"/>
      <c r="AY58" s="49"/>
      <c r="AZ58" s="166" t="str">
        <f t="shared" ca="1" si="19"/>
        <v>辰</v>
      </c>
      <c r="BA58" s="173">
        <f t="shared" ca="1" si="20"/>
        <v>46184</v>
      </c>
      <c r="BB58" s="174">
        <f t="shared" ca="1" si="7"/>
        <v>53</v>
      </c>
      <c r="BC58" s="174" t="str">
        <f ca="1">VLOOKUP(BB58,[1]大運!$B$31:$C$90,2,FALSE)</f>
        <v>丙辰</v>
      </c>
      <c r="BD58" s="174" t="str">
        <f ca="1">VLOOKUP($F$5 &amp; "+" &amp; (MOD(BA58 - DATE(2024, 1, 1), 60) + 1), [1]大運!$H$45:$K$3644, 3, FALSE)</f>
        <v>龍高星</v>
      </c>
      <c r="BE58" s="174" t="str">
        <f ca="1">VLOOKUP($F$5 &amp; "+" &amp; (MOD(BA58 - DATE(2024, 1, 1), 60) + 1), [1]大運!$H$45:$K$3644, 4, FALSE)</f>
        <v>天南星</v>
      </c>
      <c r="BF58" s="174" t="str">
        <f ca="1">VLOOKUP($F$5 &amp; "+" &amp; (MOD(BA58 - DATE(2024, 1, 1), 60) + 1), [1]大運!$H$45:$K$3644, 2, FALSE)</f>
        <v>半会</v>
      </c>
      <c r="BG58" s="174" t="str">
        <f ca="1">VLOOKUP($G$5 &amp; "+" &amp; (MOD(BA58 - DATE(2024, 1, 1), 60) + 1), [1]大運!$H$45:$K$3644, 2, FALSE)</f>
        <v>大半会</v>
      </c>
      <c r="BH58" s="174" t="str">
        <f ca="1">VLOOKUP($H$5 &amp; "+" &amp; (MOD(BA58 - DATE(2024, 1, 1), 60) + 1), [1]大運!$H$45:$K$3644, 2, FALSE)</f>
        <v>支合</v>
      </c>
      <c r="BI58" s="172" t="str">
        <f t="shared" ca="1" si="21"/>
        <v/>
      </c>
      <c r="BJ58" s="172" t="str">
        <f t="shared" ca="1" si="22"/>
        <v/>
      </c>
      <c r="BK58" s="172" t="str">
        <f t="shared" ca="1" si="23"/>
        <v>丙辛干合</v>
      </c>
      <c r="BL58" s="174" t="str">
        <f ca="1">INDEX('12運シート'!C:C, MATCH(1, INDEX(('12運シート'!A:A=TRIM($T$42)) * ('12運シート'!B:B=TRIM(RIGHT(AZ58, 1))), 0), 0))</f>
        <v>財成</v>
      </c>
      <c r="BM58" s="174" t="str">
        <f ca="1">INDEX('12運シート'!$E:$E, MATCH(1, INDEX((TRIM('12運シート'!$A:$A)=TRIM($T$42)) * (TRIM('12運シート'!$B:$B)=TRIM(AZ58)), 0), 0))</f>
        <v>満天</v>
      </c>
      <c r="BN58" s="49" t="str">
        <f t="shared" ca="1" si="24"/>
        <v>収穫の喜び。物質や人脈などあらゆる財を蓄積し、強固な基盤を作る。</v>
      </c>
      <c r="BO58" s="49"/>
      <c r="BP58" s="49"/>
      <c r="BQ58" s="49"/>
      <c r="BR58" s="49"/>
      <c r="BS58" s="49"/>
      <c r="BT58" s="49"/>
      <c r="BU58" s="49"/>
      <c r="BV58" s="49"/>
      <c r="BW58" s="147"/>
      <c r="BX58" s="148"/>
      <c r="BY58" s="149"/>
      <c r="BZ58" s="140"/>
      <c r="CA58" s="149"/>
      <c r="CB58" s="149"/>
      <c r="CC58" s="149"/>
      <c r="CD58" s="148"/>
      <c r="CE58" s="149"/>
      <c r="CF58" s="50"/>
      <c r="CG58" s="49"/>
      <c r="CH58" s="49"/>
      <c r="CI58" s="49"/>
      <c r="CJ58" s="49"/>
      <c r="CK58" s="49"/>
      <c r="CL58" s="49"/>
      <c r="CM58" s="49"/>
      <c r="CN58" s="49"/>
      <c r="CO58" s="49"/>
      <c r="CP58" s="49"/>
      <c r="CQ58" s="49"/>
      <c r="CR58" s="49"/>
      <c r="CS58" s="49"/>
      <c r="CT58" s="49"/>
      <c r="CU58" s="49"/>
      <c r="CV58" s="49"/>
      <c r="CW58" s="49"/>
      <c r="CX58" s="49"/>
      <c r="CY58" s="49"/>
      <c r="CZ58" s="49"/>
      <c r="DA58" s="49"/>
      <c r="DB58" s="49"/>
      <c r="DC58" s="49"/>
      <c r="DD58" s="49"/>
      <c r="DE58" s="49"/>
      <c r="DF58" s="49"/>
      <c r="DG58" s="49"/>
      <c r="DH58" s="49"/>
      <c r="DI58" s="49"/>
      <c r="DJ58" s="49"/>
      <c r="DK58" s="49"/>
      <c r="DL58" s="49"/>
      <c r="DM58" s="49"/>
      <c r="DN58" s="49"/>
      <c r="DO58" s="49"/>
      <c r="DP58" s="49"/>
      <c r="DQ58" s="49"/>
      <c r="DR58" s="49"/>
      <c r="DS58" s="49"/>
      <c r="DT58" s="49"/>
      <c r="DU58" s="49"/>
      <c r="DV58" s="49"/>
      <c r="DW58" s="49"/>
      <c r="DX58" s="49"/>
    </row>
    <row r="59" spans="1:128" ht="18" customHeight="1">
      <c r="A59" s="49"/>
      <c r="B59" s="49"/>
      <c r="C59" s="49"/>
      <c r="D59" s="49"/>
      <c r="E59" s="166" t="str">
        <f t="shared" ca="1" si="26"/>
        <v>申</v>
      </c>
      <c r="F59" s="226" t="str">
        <f t="shared" ca="1" si="27"/>
        <v>2026/8</v>
      </c>
      <c r="G59" s="178" t="str">
        <f ca="1">VLOOKUP(MOD((YEAR(F59)-2024)*12 + MONTH(F59), 60) + 1, [1]大運!$B$31:$C$90, 2, FALSE)</f>
        <v>丙申</v>
      </c>
      <c r="H59" s="178" t="str">
        <f ca="1">VLOOKUP($F$5 &amp; "+" &amp; (MOD((YEAR(F59)-1900)*12 + MONTH(F59) + 2, 60) + 1), [1]大運!$H$45:$K$3644, 3, FALSE)</f>
        <v>龍高星</v>
      </c>
      <c r="I59" s="221"/>
      <c r="J59" s="178" t="str">
        <f ca="1">VLOOKUP($F$5 &amp; "+" &amp; (MOD((YEAR(F59)-1900)*12 + MONTH(F59), 60) + 1), [1]大運!$H$45:$K$3644, 4, FALSE)</f>
        <v>天胡星</v>
      </c>
      <c r="K59" s="221"/>
      <c r="L59" s="222">
        <f t="shared" ca="1" si="28"/>
        <v>56</v>
      </c>
      <c r="M59" s="178" t="str">
        <f ca="1">VLOOKUP($F$5 &amp; "+" &amp; (MOD((YEAR(F59)-1900)*12 + MONTH(F59) + 12, 60) + 1), [1]大運!$H$45:$K$3644, 2, FALSE)</f>
        <v>半会</v>
      </c>
      <c r="N59" s="178" t="str">
        <f ca="1">VLOOKUP($G$5 &amp; "+" &amp; (MOD((YEAR(F59)-1900)*12 + MONTH(F59) + 12, 60) + 1), [1]大運!$H$45:$K$3644, 2, FALSE)</f>
        <v>律音</v>
      </c>
      <c r="O59" s="178" t="str">
        <f ca="1">VLOOKUP($H$5 &amp; "+" &amp; (MOD((YEAR(F59)-1900)*12 + MONTH(F59) + 12, 60) + 1), [1]大運!$H$45:$K$3644, 2, FALSE)</f>
        <v>準方位</v>
      </c>
      <c r="P59" s="100" t="str">
        <f t="shared" ca="1" si="29"/>
        <v/>
      </c>
      <c r="Q59" s="172" t="str">
        <f t="shared" ca="1" si="30"/>
        <v/>
      </c>
      <c r="R59" s="172" t="str">
        <f t="shared" ca="1" si="31"/>
        <v/>
      </c>
      <c r="S59" s="172" t="str">
        <f t="shared" ca="1" si="32"/>
        <v>丙辛干合</v>
      </c>
      <c r="T59" s="135" t="str">
        <f ca="1">INDEX('12運シート'!C:C, MATCH(1, INDEX(('12運シート'!A:A=TRIM($T$42)) * ('12運シート'!B:B=TRIM(E59)), 0), 0))</f>
        <v>減退</v>
      </c>
      <c r="U59" s="224" t="str">
        <f ca="1">INDEX('12運シート'!E:E, MATCH(1, INDEX((TRIM('12運シート'!A:A)=TRIM($T$42)) * (TRIM('12運シート'!B:B)=TRIM(E59)), 0), 0))</f>
        <v>雨天</v>
      </c>
      <c r="V59" s="225" t="str">
        <f t="shared" ca="1" si="33"/>
        <v>カルマの精算。過去の執着をすべて洗い流し、次の春への準備を整える。</v>
      </c>
      <c r="W59" s="49"/>
      <c r="X59" s="53"/>
      <c r="Y59" s="49"/>
      <c r="Z59" s="49"/>
      <c r="AA59" s="53"/>
      <c r="AB59" s="53"/>
      <c r="AC59" s="49"/>
      <c r="AD59" s="49"/>
      <c r="AE59" s="166" t="str">
        <f t="shared" si="12"/>
        <v>辰</v>
      </c>
      <c r="AF59" s="167">
        <f t="shared" si="5"/>
        <v>43</v>
      </c>
      <c r="AG59" s="168">
        <f t="shared" si="13"/>
        <v>2024</v>
      </c>
      <c r="AH59" s="100" t="str">
        <f>VLOOKUP(AM59,[1]大運!$B$31:$C$90,2,FALSE)</f>
        <v>甲辰</v>
      </c>
      <c r="AI59" s="99" t="str">
        <f>VLOOKUP($F$5&amp;"+"&amp;AM59,[1]大運!$H$45:$K$3644,3,FALSE)</f>
        <v>車騎星</v>
      </c>
      <c r="AJ59" s="73"/>
      <c r="AK59" s="99" t="str">
        <f>VLOOKUP($F$5&amp;"+"&amp;AM59,[1]大運!$H$45:$K$3644,4,FALSE)</f>
        <v>天南星</v>
      </c>
      <c r="AL59" s="73"/>
      <c r="AM59" s="171">
        <f t="shared" si="6"/>
        <v>41</v>
      </c>
      <c r="AN59" s="164" t="str">
        <f>VLOOKUP($F$5&amp;"+"&amp;AM59,[1]大運!$H$45:$K$3644,2,FALSE)</f>
        <v>半会</v>
      </c>
      <c r="AO59" s="164" t="str">
        <f>VLOOKUP($G$5&amp;"+"&amp;AM59,[1]大運!$H$45:$K$3644,2,FALSE)</f>
        <v>半会</v>
      </c>
      <c r="AP59" s="164" t="str">
        <f>VLOOKUP($H$5&amp;"+"&amp;AM59,[1]大運!$H$45:$K$3644,2,FALSE)</f>
        <v>支合</v>
      </c>
      <c r="AQ59" s="100" t="str">
        <f t="shared" si="25"/>
        <v/>
      </c>
      <c r="AR59" s="172" t="str">
        <f t="shared" si="15"/>
        <v/>
      </c>
      <c r="AS59" s="172" t="str">
        <f t="shared" si="16"/>
        <v/>
      </c>
      <c r="AT59" s="172" t="str">
        <f t="shared" si="17"/>
        <v/>
      </c>
      <c r="AU59" s="49" t="str">
        <f>INDEX('12運シート'!C:C, MATCH(1, INDEX(('12運シート'!A:A=TRIM($T$42)) * ('12運シート'!B:B=TRIM(RIGHT(AE59, 1))), 0), 0))</f>
        <v>財成</v>
      </c>
      <c r="AV59" s="49" t="str">
        <f>INDEX('12運シート'!$E:$E, MATCH(1, INDEX((TRIM('12運シート'!$A:$A)=TRIM($T$42)) * (TRIM('12運シート'!$B:$B)=TRIM(AE59)), 0), 0))</f>
        <v>満天</v>
      </c>
      <c r="AW59" s="49" t="str">
        <f t="shared" si="18"/>
        <v>収穫の喜び。物質や人脈などあらゆる財を蓄積し、強固な基盤を作る。</v>
      </c>
      <c r="AX59" s="49"/>
      <c r="AY59" s="49"/>
      <c r="AZ59" s="166" t="str">
        <f t="shared" ca="1" si="19"/>
        <v>巳</v>
      </c>
      <c r="BA59" s="173">
        <f t="shared" ca="1" si="20"/>
        <v>46185</v>
      </c>
      <c r="BB59" s="174">
        <f t="shared" ca="1" si="7"/>
        <v>54</v>
      </c>
      <c r="BC59" s="174" t="str">
        <f ca="1">VLOOKUP(BB59,[1]大運!$B$31:$C$90,2,FALSE)</f>
        <v>丁巳</v>
      </c>
      <c r="BD59" s="174" t="str">
        <f ca="1">VLOOKUP($F$5 &amp; "+" &amp; (MOD(BA59 - DATE(2024, 1, 1), 60) + 1), [1]大運!$H$45:$K$3644, 3, FALSE)</f>
        <v>玉堂星</v>
      </c>
      <c r="BE59" s="174" t="str">
        <f ca="1">VLOOKUP($F$5 &amp; "+" &amp; (MOD(BA59 - DATE(2024, 1, 1), 60) + 1), [1]大運!$H$45:$K$3644, 4, FALSE)</f>
        <v>天禄星</v>
      </c>
      <c r="BF59" s="174" t="str">
        <f ca="1">VLOOKUP($F$5 &amp; "+" &amp; (MOD(BA59 - DATE(2024, 1, 1), 60) + 1), [1]大運!$H$45:$K$3644, 2, FALSE)</f>
        <v>－</v>
      </c>
      <c r="BG59" s="174" t="str">
        <f ca="1">VLOOKUP($G$5 &amp; "+" &amp; (MOD(BA59 - DATE(2024, 1, 1), 60) + 1), [1]大運!$H$45:$K$3644, 2, FALSE)</f>
        <v>支合</v>
      </c>
      <c r="BH59" s="174" t="str">
        <f ca="1">VLOOKUP($H$5 &amp; "+" &amp; (MOD(BA59 - DATE(2024, 1, 1), 60) + 1), [1]大運!$H$45:$K$3644, 2, FALSE)</f>
        <v>半会</v>
      </c>
      <c r="BI59" s="172" t="str">
        <f t="shared" ca="1" si="21"/>
        <v/>
      </c>
      <c r="BJ59" s="172" t="str">
        <f t="shared" ca="1" si="22"/>
        <v/>
      </c>
      <c r="BK59" s="172" t="str">
        <f t="shared" ca="1" si="23"/>
        <v/>
      </c>
      <c r="BL59" s="174" t="str">
        <f ca="1">INDEX('12運シート'!C:C, MATCH(1, INDEX(('12運シート'!A:A=TRIM($T$42)) * ('12運シート'!B:B=TRIM(RIGHT(AZ59, 1))), 0), 0))</f>
        <v>充実</v>
      </c>
      <c r="BM59" s="174" t="str">
        <f ca="1">INDEX('12運シート'!$E:$E, MATCH(1, INDEX((TRIM('12運シート'!$A:$A)=TRIM($T$42)) * (TRIM('12運シート'!$B:$B)=TRIM(AZ59)), 0), 0))</f>
        <v>静天</v>
      </c>
      <c r="BN59" s="49" t="str">
        <f t="shared" ca="1" si="24"/>
        <v>成果が出揃う。精神的な安定と充実の中で平和に人生を俯瞰する時期。</v>
      </c>
      <c r="BO59" s="49"/>
      <c r="BP59" s="49"/>
      <c r="BQ59" s="49"/>
      <c r="BR59" s="49"/>
      <c r="BS59" s="49"/>
      <c r="BT59" s="49"/>
      <c r="BU59" s="49"/>
      <c r="BV59" s="49"/>
      <c r="BW59" s="49"/>
      <c r="BX59" s="49"/>
      <c r="BY59" s="49"/>
      <c r="BZ59" s="140"/>
      <c r="CA59" s="49"/>
      <c r="CB59" s="49"/>
      <c r="CC59" s="49"/>
      <c r="CD59" s="49"/>
      <c r="CE59" s="49"/>
      <c r="CF59" s="49"/>
      <c r="CG59" s="49"/>
      <c r="CH59" s="49"/>
      <c r="CI59" s="49"/>
      <c r="CJ59" s="49"/>
      <c r="CK59" s="49"/>
      <c r="CL59" s="49"/>
      <c r="CM59" s="49"/>
      <c r="CN59" s="49"/>
      <c r="CO59" s="49"/>
      <c r="CP59" s="49"/>
      <c r="CQ59" s="49"/>
      <c r="CR59" s="49"/>
      <c r="CS59" s="49"/>
      <c r="CT59" s="49"/>
      <c r="CU59" s="49"/>
      <c r="CV59" s="49"/>
      <c r="CW59" s="49"/>
      <c r="CX59" s="49"/>
      <c r="CY59" s="49"/>
      <c r="CZ59" s="49"/>
      <c r="DA59" s="49"/>
      <c r="DB59" s="49"/>
      <c r="DC59" s="49"/>
      <c r="DD59" s="49"/>
      <c r="DE59" s="49"/>
      <c r="DF59" s="49"/>
      <c r="DG59" s="49"/>
      <c r="DH59" s="49"/>
      <c r="DI59" s="49"/>
      <c r="DJ59" s="49"/>
      <c r="DK59" s="49"/>
      <c r="DL59" s="49"/>
      <c r="DM59" s="49"/>
      <c r="DN59" s="49"/>
      <c r="DO59" s="49"/>
      <c r="DP59" s="49"/>
      <c r="DQ59" s="49"/>
      <c r="DR59" s="49"/>
      <c r="DS59" s="49"/>
      <c r="DT59" s="49"/>
      <c r="DU59" s="49"/>
      <c r="DV59" s="49"/>
      <c r="DW59" s="49"/>
      <c r="DX59" s="49"/>
    </row>
    <row r="60" spans="1:128" ht="18" customHeight="1">
      <c r="A60" s="49"/>
      <c r="B60" s="49"/>
      <c r="C60" s="49"/>
      <c r="D60" s="49"/>
      <c r="E60" s="166" t="str">
        <f t="shared" ca="1" si="26"/>
        <v>酉</v>
      </c>
      <c r="F60" s="226" t="str">
        <f t="shared" ca="1" si="27"/>
        <v>2026/9</v>
      </c>
      <c r="G60" s="178" t="str">
        <f ca="1">VLOOKUP(MOD((YEAR(F60)-2024)*12 + MONTH(F60), 60) + 1, [1]大運!$B$31:$C$90, 2, FALSE)</f>
        <v>丁酉</v>
      </c>
      <c r="H60" s="178" t="str">
        <f ca="1">VLOOKUP($F$5 &amp; "+" &amp; (MOD((YEAR(F60)-1900)*12 + MONTH(F60) + 2, 60) + 1), [1]大運!$H$45:$K$3644, 3, FALSE)</f>
        <v>玉堂星</v>
      </c>
      <c r="I60" s="221"/>
      <c r="J60" s="178" t="str">
        <f ca="1">VLOOKUP($F$5 &amp; "+" &amp; (MOD((YEAR(F60)-1900)*12 + MONTH(F60), 60) + 1), [1]大運!$H$45:$K$3644, 4, FALSE)</f>
        <v>天極星</v>
      </c>
      <c r="K60" s="221"/>
      <c r="L60" s="222">
        <f t="shared" ca="1" si="28"/>
        <v>57</v>
      </c>
      <c r="M60" s="178" t="str">
        <f ca="1">VLOOKUP($F$5 &amp; "+" &amp; (MOD((YEAR(F60)-1900)*12 + MONTH(F60) + 12, 60) + 1), [1]大運!$H$45:$K$3644, 2, FALSE)</f>
        <v>破</v>
      </c>
      <c r="N60" s="178" t="str">
        <f ca="1">VLOOKUP($G$5 &amp; "+" &amp; (MOD((YEAR(F60)-1900)*12 + MONTH(F60) + 12, 60) + 1), [1]大運!$H$45:$K$3644, 2, FALSE)</f>
        <v>準方位</v>
      </c>
      <c r="O60" s="178" t="str">
        <f ca="1">VLOOKUP($H$5 &amp; "+" &amp; (MOD((YEAR(F60)-1900)*12 + MONTH(F60) + 12, 60) + 1), [1]大運!$H$45:$K$3644, 2, FALSE)</f>
        <v>自刑</v>
      </c>
      <c r="P60" s="100" t="str">
        <f t="shared" ca="1" si="29"/>
        <v/>
      </c>
      <c r="Q60" s="172" t="str">
        <f t="shared" ca="1" si="30"/>
        <v/>
      </c>
      <c r="R60" s="172" t="str">
        <f t="shared" ca="1" si="31"/>
        <v/>
      </c>
      <c r="S60" s="172" t="str">
        <f t="shared" ca="1" si="32"/>
        <v/>
      </c>
      <c r="T60" s="135" t="str">
        <f ca="1">INDEX('12運シート'!C:C, MATCH(1, INDEX(('12運シート'!A:A=TRIM($T$42)) * ('12運シート'!B:B=TRIM(E60)), 0), 0))</f>
        <v>種子</v>
      </c>
      <c r="U60" s="224" t="str">
        <f ca="1">INDEX('12運シート'!E:E, MATCH(1, INDEX((TRIM('12運シート'!A:A)=TRIM($T$42)) * (TRIM('12運シート'!B:B)=TRIM(E60)), 0), 0))</f>
        <v>起天</v>
      </c>
      <c r="V60" s="225" t="str">
        <f t="shared" ca="1" si="33"/>
        <v>運命の幕開け。過去を断ち切り新しい種をまく開拓期。</v>
      </c>
      <c r="W60" s="49"/>
      <c r="X60" s="53"/>
      <c r="Y60" s="49"/>
      <c r="Z60" s="49"/>
      <c r="AA60" s="53"/>
      <c r="AB60" s="53"/>
      <c r="AC60" s="49"/>
      <c r="AD60" s="49"/>
      <c r="AE60" s="166" t="str">
        <f t="shared" si="12"/>
        <v>巳</v>
      </c>
      <c r="AF60" s="167">
        <f t="shared" si="5"/>
        <v>44</v>
      </c>
      <c r="AG60" s="168">
        <f t="shared" si="13"/>
        <v>2025</v>
      </c>
      <c r="AH60" s="100" t="str">
        <f>VLOOKUP(AM60,[1]大運!$B$31:$C$90,2,FALSE)</f>
        <v>乙巳</v>
      </c>
      <c r="AI60" s="99" t="str">
        <f>VLOOKUP($F$5&amp;"+"&amp;AM60,[1]大運!$H$45:$K$3644,3,FALSE)</f>
        <v>牽牛星</v>
      </c>
      <c r="AJ60" s="73"/>
      <c r="AK60" s="99" t="str">
        <f>VLOOKUP($F$5&amp;"+"&amp;AM60,[1]大運!$H$45:$K$3644,4,FALSE)</f>
        <v>天禄星</v>
      </c>
      <c r="AL60" s="73"/>
      <c r="AM60" s="171">
        <f t="shared" si="6"/>
        <v>42</v>
      </c>
      <c r="AN60" s="164" t="str">
        <f>VLOOKUP($F$5&amp;"+"&amp;AM60,[1]大運!$H$45:$K$3644,2,FALSE)</f>
        <v>－</v>
      </c>
      <c r="AO60" s="164" t="str">
        <f>VLOOKUP($G$5&amp;"+"&amp;AM60,[1]大運!$H$45:$K$3644,2,FALSE)</f>
        <v>支合</v>
      </c>
      <c r="AP60" s="164" t="str">
        <f>VLOOKUP($H$5&amp;"+"&amp;AM60,[1]大運!$H$45:$K$3644,2,FALSE)</f>
        <v>半会</v>
      </c>
      <c r="AQ60" s="100" t="str">
        <f t="shared" si="25"/>
        <v/>
      </c>
      <c r="AR60" s="172" t="str">
        <f t="shared" si="15"/>
        <v/>
      </c>
      <c r="AS60" s="172" t="str">
        <f t="shared" si="16"/>
        <v/>
      </c>
      <c r="AT60" s="172" t="str">
        <f t="shared" si="17"/>
        <v/>
      </c>
      <c r="AU60" s="49" t="str">
        <f>INDEX('12運シート'!C:C, MATCH(1, INDEX(('12運シート'!A:A=TRIM($T$42)) * ('12運シート'!B:B=TRIM(RIGHT(AE60, 1))), 0), 0))</f>
        <v>充実</v>
      </c>
      <c r="AV60" s="49" t="str">
        <f>INDEX('12運シート'!$E:$E, MATCH(1, INDEX((TRIM('12運シート'!$A:$A)=TRIM($T$42)) * (TRIM('12運シート'!$B:$B)=TRIM(AE60)), 0), 0))</f>
        <v>静天</v>
      </c>
      <c r="AW60" s="49" t="str">
        <f t="shared" si="18"/>
        <v>成果が出揃う。精神的な安定と充実の中で平和に人生を俯瞰する時期。</v>
      </c>
      <c r="AX60" s="49"/>
      <c r="AY60" s="49"/>
      <c r="AZ60" s="166" t="str">
        <f t="shared" ca="1" si="19"/>
        <v>午</v>
      </c>
      <c r="BA60" s="173">
        <f t="shared" ca="1" si="20"/>
        <v>46186</v>
      </c>
      <c r="BB60" s="174">
        <f t="shared" ca="1" si="7"/>
        <v>55</v>
      </c>
      <c r="BC60" s="174" t="str">
        <f ca="1">VLOOKUP(BB60,[1]大運!$B$31:$C$90,2,FALSE)</f>
        <v>戊午</v>
      </c>
      <c r="BD60" s="174" t="str">
        <f ca="1">VLOOKUP($F$5 &amp; "+" &amp; (MOD(BA60 - DATE(2024, 1, 1), 60) + 1), [1]大運!$H$45:$K$3644, 3, FALSE)</f>
        <v>貫索星</v>
      </c>
      <c r="BE60" s="174" t="str">
        <f ca="1">VLOOKUP($F$5 &amp; "+" &amp; (MOD(BA60 - DATE(2024, 1, 1), 60) + 1), [1]大運!$H$45:$K$3644, 4, FALSE)</f>
        <v>天将星</v>
      </c>
      <c r="BF60" s="174" t="str">
        <f ca="1">VLOOKUP($F$5 &amp; "+" &amp; (MOD(BA60 - DATE(2024, 1, 1), 60) + 1), [1]大運!$H$45:$K$3644, 2, FALSE)</f>
        <v>納音</v>
      </c>
      <c r="BG60" s="174" t="str">
        <f ca="1">VLOOKUP($G$5 &amp; "+" &amp; (MOD(BA60 - DATE(2024, 1, 1), 60) + 1), [1]大運!$H$45:$K$3644, 2, FALSE)</f>
        <v>－</v>
      </c>
      <c r="BH60" s="174" t="str">
        <f ca="1">VLOOKUP($H$5 &amp; "+" &amp; (MOD(BA60 - DATE(2024, 1, 1), 60) + 1), [1]大運!$H$45:$K$3644, 2, FALSE)</f>
        <v>－</v>
      </c>
      <c r="BI60" s="172" t="str">
        <f t="shared" ca="1" si="21"/>
        <v/>
      </c>
      <c r="BJ60" s="172" t="str">
        <f t="shared" ca="1" si="22"/>
        <v/>
      </c>
      <c r="BK60" s="172" t="str">
        <f t="shared" ca="1" si="23"/>
        <v/>
      </c>
      <c r="BL60" s="174" t="str">
        <f ca="1">INDEX('12運シート'!C:C, MATCH(1, INDEX(('12運シート'!A:A=TRIM($T$42)) * ('12運シート'!B:B=TRIM(RIGHT(AZ60, 1))), 0), 0))</f>
        <v>陰影</v>
      </c>
      <c r="BM60" s="174" t="str">
        <f ca="1">INDEX('12運シート'!$E:$E, MATCH(1, INDEX((TRIM('12運シート'!$A:$A)=TRIM($T$42)) * (TRIM('12運シート'!$B:$B)=TRIM(AZ60)), 0), 0))</f>
        <v>暗天</v>
      </c>
      <c r="BN60" s="49" t="str">
        <f t="shared" ca="1" si="24"/>
        <v>運気下降（運の冬入り）。孤独を感じやすいが水面下の自己鍛錬が必要。</v>
      </c>
      <c r="BO60" s="49"/>
      <c r="BP60" s="49"/>
      <c r="BQ60" s="49"/>
      <c r="BR60" s="49"/>
      <c r="BS60" s="49"/>
      <c r="BT60" s="49"/>
      <c r="BU60" s="49"/>
      <c r="BV60" s="49"/>
      <c r="BW60" s="49"/>
      <c r="BX60" s="49"/>
      <c r="BY60" s="49"/>
      <c r="BZ60" s="49"/>
      <c r="CA60" s="49"/>
      <c r="CB60" s="49"/>
      <c r="CC60" s="49"/>
      <c r="CD60" s="49"/>
      <c r="CE60" s="49"/>
      <c r="CF60" s="49"/>
      <c r="CG60" s="49"/>
      <c r="CH60" s="49"/>
      <c r="CI60" s="49"/>
      <c r="CJ60" s="49"/>
      <c r="CK60" s="49"/>
      <c r="CL60" s="49"/>
      <c r="CM60" s="49"/>
      <c r="CN60" s="49"/>
      <c r="CO60" s="49"/>
      <c r="CP60" s="49"/>
      <c r="CQ60" s="49"/>
      <c r="CR60" s="49"/>
      <c r="CS60" s="49"/>
      <c r="CT60" s="49"/>
      <c r="CU60" s="49"/>
      <c r="CV60" s="49"/>
      <c r="CW60" s="49"/>
      <c r="CX60" s="49"/>
      <c r="CY60" s="49"/>
      <c r="CZ60" s="49"/>
      <c r="DA60" s="49"/>
      <c r="DB60" s="49"/>
      <c r="DC60" s="49"/>
      <c r="DD60" s="49"/>
      <c r="DE60" s="49"/>
      <c r="DF60" s="49"/>
      <c r="DG60" s="49"/>
      <c r="DH60" s="49"/>
      <c r="DI60" s="49"/>
      <c r="DJ60" s="49"/>
      <c r="DK60" s="49"/>
      <c r="DL60" s="49"/>
      <c r="DM60" s="49"/>
      <c r="DN60" s="49"/>
      <c r="DO60" s="49"/>
      <c r="DP60" s="49"/>
      <c r="DQ60" s="49"/>
      <c r="DR60" s="49"/>
      <c r="DS60" s="49"/>
      <c r="DT60" s="49"/>
      <c r="DU60" s="49"/>
      <c r="DV60" s="49"/>
      <c r="DW60" s="49"/>
      <c r="DX60" s="49"/>
    </row>
    <row r="61" spans="1:128" ht="18" customHeight="1">
      <c r="A61" s="49"/>
      <c r="B61" s="49"/>
      <c r="C61" s="49"/>
      <c r="D61" s="49"/>
      <c r="E61" s="166" t="str">
        <f t="shared" ca="1" si="26"/>
        <v>戌</v>
      </c>
      <c r="F61" s="226" t="str">
        <f t="shared" ca="1" si="27"/>
        <v>2026/10</v>
      </c>
      <c r="G61" s="178" t="str">
        <f ca="1">VLOOKUP(MOD((YEAR(F61)-2024)*12 + MONTH(F61), 60) + 1, [1]大運!$B$31:$C$90, 2, FALSE)</f>
        <v>戊戌</v>
      </c>
      <c r="H61" s="178" t="str">
        <f ca="1">VLOOKUP($F$5 &amp; "+" &amp; (MOD((YEAR(F61)-1900)*12 + MONTH(F61) + 2, 60) + 1), [1]大運!$H$45:$K$3644, 3, FALSE)</f>
        <v>貫索星</v>
      </c>
      <c r="I61" s="221"/>
      <c r="J61" s="178" t="str">
        <f ca="1">VLOOKUP($F$5 &amp; "+" &amp; (MOD((YEAR(F61)-1900)*12 + MONTH(F61), 60) + 1), [1]大運!$H$45:$K$3644, 4, FALSE)</f>
        <v>天庫星</v>
      </c>
      <c r="K61" s="221"/>
      <c r="L61" s="222">
        <f t="shared" ca="1" si="28"/>
        <v>58</v>
      </c>
      <c r="M61" s="178" t="str">
        <f ca="1">VLOOKUP($F$5 &amp; "+" &amp; (MOD((YEAR(F61)-1900)*12 + MONTH(F61) + 12, 60) + 1), [1]大運!$H$45:$K$3644, 2, FALSE)</f>
        <v>－</v>
      </c>
      <c r="N61" s="178" t="str">
        <f ca="1">VLOOKUP($G$5 &amp; "+" &amp; (MOD((YEAR(F61)-1900)*12 + MONTH(F61) + 12, 60) + 1), [1]大運!$H$45:$K$3644, 2, FALSE)</f>
        <v>準方位</v>
      </c>
      <c r="O61" s="178" t="str">
        <f ca="1">VLOOKUP($H$5 &amp; "+" &amp; (MOD((YEAR(F61)-1900)*12 + MONTH(F61) + 12, 60) + 1), [1]大運!$H$45:$K$3644, 2, FALSE)</f>
        <v>害</v>
      </c>
      <c r="P61" s="100" t="str">
        <f t="shared" ca="1" si="29"/>
        <v>月</v>
      </c>
      <c r="Q61" s="172" t="str">
        <f t="shared" ca="1" si="30"/>
        <v/>
      </c>
      <c r="R61" s="172" t="str">
        <f t="shared" ca="1" si="31"/>
        <v/>
      </c>
      <c r="S61" s="172" t="str">
        <f t="shared" ca="1" si="32"/>
        <v/>
      </c>
      <c r="T61" s="135" t="str">
        <f ca="1">INDEX('12運シート'!C:C, MATCH(1, INDEX(('12運シート'!A:A=TRIM($T$42)) * ('12運シート'!B:B=TRIM(E61)), 0), 0))</f>
        <v>緑生</v>
      </c>
      <c r="U61" s="224" t="str">
        <f ca="1">INDEX('12運シート'!E:E, MATCH(1, INDEX((TRIM('12運シート'!A:A)=TRIM($T$42)) * (TRIM('12運シート'!B:B)=TRIM(E61)), 0), 0))</f>
        <v>吉祥天</v>
      </c>
      <c r="V61" s="225" t="str">
        <f t="shared" ca="1" si="33"/>
        <v>まいた種が芽吹き、周囲の支援を受けて着実に育つ時期。</v>
      </c>
      <c r="W61" s="49"/>
      <c r="X61" s="53"/>
      <c r="Y61" s="49"/>
      <c r="Z61" s="49"/>
      <c r="AA61" s="53"/>
      <c r="AB61" s="53"/>
      <c r="AC61" s="49"/>
      <c r="AD61" s="49"/>
      <c r="AE61" s="166" t="str">
        <f t="shared" si="12"/>
        <v>午</v>
      </c>
      <c r="AF61" s="167">
        <f t="shared" si="5"/>
        <v>45</v>
      </c>
      <c r="AG61" s="168">
        <f t="shared" si="13"/>
        <v>2026</v>
      </c>
      <c r="AH61" s="100" t="str">
        <f>VLOOKUP(AM61,[1]大運!$B$31:$C$90,2,FALSE)</f>
        <v>丙午</v>
      </c>
      <c r="AI61" s="99" t="str">
        <f>VLOOKUP($F$5&amp;"+"&amp;AM61,[1]大運!$H$45:$K$3644,3,FALSE)</f>
        <v>龍高星</v>
      </c>
      <c r="AJ61" s="73"/>
      <c r="AK61" s="99" t="str">
        <f>VLOOKUP($F$5&amp;"+"&amp;AM61,[1]大運!$H$45:$K$3644,4,FALSE)</f>
        <v>天将星</v>
      </c>
      <c r="AL61" s="73"/>
      <c r="AM61" s="171">
        <f t="shared" si="6"/>
        <v>43</v>
      </c>
      <c r="AN61" s="164" t="str">
        <f>VLOOKUP($F$5&amp;"+"&amp;AM61,[1]大運!$H$45:$K$3644,2,FALSE)</f>
        <v>対冲</v>
      </c>
      <c r="AO61" s="164" t="str">
        <f>VLOOKUP($G$5&amp;"+"&amp;AM61,[1]大運!$H$45:$K$3644,2,FALSE)</f>
        <v>－</v>
      </c>
      <c r="AP61" s="164" t="str">
        <f>VLOOKUP($H$5&amp;"+"&amp;AM61,[1]大運!$H$45:$K$3644,2,FALSE)</f>
        <v>－</v>
      </c>
      <c r="AQ61" s="100" t="str">
        <f t="shared" si="25"/>
        <v>殺年</v>
      </c>
      <c r="AR61" s="172" t="str">
        <f t="shared" si="15"/>
        <v/>
      </c>
      <c r="AS61" s="172" t="str">
        <f t="shared" si="16"/>
        <v/>
      </c>
      <c r="AT61" s="172" t="str">
        <f t="shared" si="17"/>
        <v>丙辛干合</v>
      </c>
      <c r="AU61" s="49" t="str">
        <f>INDEX('12運シート'!C:C, MATCH(1, INDEX(('12運シート'!A:A=TRIM($T$42)) * ('12運シート'!B:B=TRIM(RIGHT(AE61, 1))), 0), 0))</f>
        <v>陰影</v>
      </c>
      <c r="AV61" s="49" t="str">
        <f>INDEX('12運シート'!$E:$E, MATCH(1, INDEX((TRIM('12運シート'!$A:$A)=TRIM($T$42)) * (TRIM('12運シート'!$B:$B)=TRIM(AE61)), 0), 0))</f>
        <v>暗天</v>
      </c>
      <c r="AW61" s="49" t="str">
        <f t="shared" si="18"/>
        <v>運気下降（運の冬入り）。孤独を感じやすいが水面下の自己鍛錬が必要。</v>
      </c>
      <c r="AX61" s="49"/>
      <c r="AY61" s="49"/>
      <c r="AZ61" s="166" t="str">
        <f t="shared" ca="1" si="19"/>
        <v>未</v>
      </c>
      <c r="BA61" s="173">
        <f t="shared" ca="1" si="20"/>
        <v>46187</v>
      </c>
      <c r="BB61" s="174">
        <f t="shared" ca="1" si="7"/>
        <v>56</v>
      </c>
      <c r="BC61" s="174" t="str">
        <f ca="1">VLOOKUP(BB61,[1]大運!$B$31:$C$90,2,FALSE)</f>
        <v>己未</v>
      </c>
      <c r="BD61" s="174" t="str">
        <f ca="1">VLOOKUP($F$5 &amp; "+" &amp; (MOD(BA61 - DATE(2024, 1, 1), 60) + 1), [1]大運!$H$45:$K$3644, 3, FALSE)</f>
        <v>石門星</v>
      </c>
      <c r="BE61" s="174" t="str">
        <f ca="1">VLOOKUP($F$5 &amp; "+" &amp; (MOD(BA61 - DATE(2024, 1, 1), 60) + 1), [1]大運!$H$45:$K$3644, 4, FALSE)</f>
        <v>天堂星</v>
      </c>
      <c r="BF61" s="174" t="str">
        <f ca="1">VLOOKUP($F$5 &amp; "+" &amp; (MOD(BA61 - DATE(2024, 1, 1), 60) + 1), [1]大運!$H$45:$K$3644, 2, FALSE)</f>
        <v>害</v>
      </c>
      <c r="BG61" s="174" t="str">
        <f ca="1">VLOOKUP($G$5 &amp; "+" &amp; (MOD(BA61 - DATE(2024, 1, 1), 60) + 1), [1]大運!$H$45:$K$3644, 2, FALSE)</f>
        <v>－</v>
      </c>
      <c r="BH61" s="174" t="str">
        <f ca="1">VLOOKUP($H$5 &amp; "+" &amp; (MOD(BA61 - DATE(2024, 1, 1), 60) + 1), [1]大運!$H$45:$K$3644, 2, FALSE)</f>
        <v>－</v>
      </c>
      <c r="BI61" s="172" t="str">
        <f t="shared" ca="1" si="21"/>
        <v/>
      </c>
      <c r="BJ61" s="172" t="str">
        <f t="shared" ca="1" si="22"/>
        <v/>
      </c>
      <c r="BK61" s="172" t="str">
        <f t="shared" ca="1" si="23"/>
        <v/>
      </c>
      <c r="BL61" s="174" t="str">
        <f ca="1">INDEX('12運シート'!C:C, MATCH(1, INDEX(('12運シート'!A:A=TRIM($T$42)) * ('12運シート'!B:B=TRIM(RIGHT(AZ61, 1))), 0), 0))</f>
        <v>停止</v>
      </c>
      <c r="BM61" s="174" t="str">
        <f ca="1">INDEX('12運シート'!$E:$E, MATCH(1, INDEX((TRIM('12運シート'!$A:$A)=TRIM($T$42)) * (TRIM('12運シート'!$B:$B)=TRIM(AZ61)), 0), 0))</f>
        <v>大曇天</v>
      </c>
      <c r="BN61" s="49" t="str">
        <f t="shared" ca="1" si="24"/>
        <v>運命の停止（運の真冬時期）。古い価値観を手放す究極の浄化期間。</v>
      </c>
      <c r="BO61" s="49"/>
      <c r="BP61" s="49"/>
      <c r="BQ61" s="49"/>
      <c r="BR61" s="49"/>
      <c r="BS61" s="49"/>
      <c r="BT61" s="49"/>
      <c r="BU61" s="49"/>
      <c r="BV61" s="49"/>
      <c r="BW61" s="49"/>
      <c r="BX61" s="49"/>
      <c r="BY61" s="49"/>
      <c r="BZ61" s="49"/>
      <c r="CA61" s="49"/>
      <c r="CB61" s="49"/>
      <c r="CC61" s="49"/>
      <c r="CD61" s="49"/>
      <c r="CE61" s="49"/>
      <c r="CF61" s="49"/>
      <c r="CG61" s="49"/>
      <c r="CH61" s="49"/>
      <c r="CI61" s="49"/>
      <c r="CJ61" s="49"/>
      <c r="CK61" s="49"/>
      <c r="CL61" s="49"/>
      <c r="CM61" s="49"/>
      <c r="CN61" s="49"/>
      <c r="CO61" s="49"/>
      <c r="CP61" s="49"/>
      <c r="CQ61" s="49"/>
      <c r="CR61" s="49"/>
      <c r="CS61" s="49"/>
      <c r="CT61" s="49"/>
      <c r="CU61" s="49"/>
      <c r="CV61" s="49"/>
      <c r="CW61" s="49"/>
      <c r="CX61" s="49"/>
      <c r="CY61" s="49"/>
      <c r="CZ61" s="49"/>
      <c r="DA61" s="49"/>
      <c r="DB61" s="49"/>
      <c r="DC61" s="49"/>
      <c r="DD61" s="49"/>
      <c r="DE61" s="49"/>
      <c r="DF61" s="49"/>
      <c r="DG61" s="49"/>
      <c r="DH61" s="49"/>
      <c r="DI61" s="49"/>
      <c r="DJ61" s="49"/>
      <c r="DK61" s="49"/>
      <c r="DL61" s="49"/>
      <c r="DM61" s="49"/>
      <c r="DN61" s="49"/>
      <c r="DO61" s="49"/>
      <c r="DP61" s="49"/>
      <c r="DQ61" s="49"/>
      <c r="DR61" s="49"/>
      <c r="DS61" s="49"/>
      <c r="DT61" s="49"/>
      <c r="DU61" s="49"/>
      <c r="DV61" s="49"/>
      <c r="DW61" s="49"/>
      <c r="DX61" s="49"/>
    </row>
    <row r="62" spans="1:128" ht="18" customHeight="1">
      <c r="A62" s="49"/>
      <c r="B62" s="49"/>
      <c r="C62" s="49"/>
      <c r="D62" s="49"/>
      <c r="E62" s="166" t="str">
        <f t="shared" ca="1" si="26"/>
        <v>亥</v>
      </c>
      <c r="F62" s="226" t="str">
        <f t="shared" ca="1" si="27"/>
        <v>2026/11</v>
      </c>
      <c r="G62" s="178" t="str">
        <f ca="1">VLOOKUP(MOD((YEAR(F62)-2024)*12 + MONTH(F62), 60) + 1, [1]大運!$B$31:$C$90, 2, FALSE)</f>
        <v>己亥</v>
      </c>
      <c r="H62" s="178" t="str">
        <f ca="1">VLOOKUP($F$5 &amp; "+" &amp; (MOD((YEAR(F62)-1900)*12 + MONTH(F62) + 2, 60) + 1), [1]大運!$H$45:$K$3644, 3, FALSE)</f>
        <v>石門星</v>
      </c>
      <c r="I62" s="221"/>
      <c r="J62" s="178" t="str">
        <f ca="1">VLOOKUP($F$5 &amp; "+" &amp; (MOD((YEAR(F62)-1900)*12 + MONTH(F62), 60) + 1), [1]大運!$H$45:$K$3644, 4, FALSE)</f>
        <v>天馳星</v>
      </c>
      <c r="K62" s="221"/>
      <c r="L62" s="222">
        <f t="shared" ca="1" si="28"/>
        <v>59</v>
      </c>
      <c r="M62" s="178" t="str">
        <f ca="1">VLOOKUP($F$5 &amp; "+" &amp; (MOD((YEAR(F62)-1900)*12 + MONTH(F62) + 12, 60) + 1), [1]大運!$H$45:$K$3644, 2, FALSE)</f>
        <v>準方位</v>
      </c>
      <c r="N62" s="178" t="str">
        <f ca="1">VLOOKUP($G$5 &amp; "+" &amp; (MOD((YEAR(F62)-1900)*12 + MONTH(F62) + 12, 60) + 1), [1]大運!$H$45:$K$3644, 2, FALSE)</f>
        <v>害</v>
      </c>
      <c r="O62" s="178" t="str">
        <f ca="1">VLOOKUP($H$5 &amp; "+" &amp; (MOD((YEAR(F62)-1900)*12 + MONTH(F62) + 12, 60) + 1), [1]大運!$H$45:$K$3644, 2, FALSE)</f>
        <v>－</v>
      </c>
      <c r="P62" s="100" t="str">
        <f t="shared" ca="1" si="29"/>
        <v/>
      </c>
      <c r="Q62" s="172" t="str">
        <f t="shared" ca="1" si="30"/>
        <v/>
      </c>
      <c r="R62" s="172" t="str">
        <f t="shared" ca="1" si="31"/>
        <v/>
      </c>
      <c r="S62" s="172" t="str">
        <f t="shared" ca="1" si="32"/>
        <v/>
      </c>
      <c r="T62" s="135" t="str">
        <f ca="1">INDEX('12運シート'!C:C, MATCH(1, INDEX(('12運シート'!A:A=TRIM($T$42)) * ('12運シート'!B:B=TRIM(E62)), 0), 0))</f>
        <v>立花</v>
      </c>
      <c r="U62" s="224" t="str">
        <f ca="1">INDEX('12運シート'!E:E, MATCH(1, INDEX((TRIM('12運シート'!A:A)=TRIM($T$42)) * (TRIM('12運シート'!B:B)=TRIM(E62)), 0), 0))</f>
        <v>弁財天</v>
      </c>
      <c r="V62" s="225" t="str">
        <f t="shared" ca="1" si="33"/>
        <v>才能がパッと花開き、今後の人生を左右する重要な決定を下す発展期。</v>
      </c>
      <c r="W62" s="49"/>
      <c r="X62" s="53"/>
      <c r="Y62" s="49"/>
      <c r="Z62" s="49"/>
      <c r="AA62" s="53"/>
      <c r="AB62" s="53"/>
      <c r="AC62" s="49"/>
      <c r="AD62" s="49"/>
      <c r="AE62" s="166" t="str">
        <f t="shared" si="12"/>
        <v>未</v>
      </c>
      <c r="AF62" s="167">
        <f t="shared" si="5"/>
        <v>46</v>
      </c>
      <c r="AG62" s="168">
        <f t="shared" si="13"/>
        <v>2027</v>
      </c>
      <c r="AH62" s="100" t="str">
        <f>VLOOKUP(AM62,[1]大運!$B$31:$C$90,2,FALSE)</f>
        <v>丁未</v>
      </c>
      <c r="AI62" s="99" t="str">
        <f>VLOOKUP($F$5&amp;"+"&amp;AM62,[1]大運!$H$45:$K$3644,3,FALSE)</f>
        <v>玉堂星</v>
      </c>
      <c r="AJ62" s="73"/>
      <c r="AK62" s="99" t="str">
        <f>VLOOKUP($F$5&amp;"+"&amp;AM62,[1]大運!$H$45:$K$3644,4,FALSE)</f>
        <v>天堂星</v>
      </c>
      <c r="AL62" s="73"/>
      <c r="AM62" s="171">
        <f t="shared" si="6"/>
        <v>44</v>
      </c>
      <c r="AN62" s="164" t="str">
        <f>VLOOKUP($F$5&amp;"+"&amp;AM62,[1]大運!$H$45:$K$3644,2,FALSE)</f>
        <v>害</v>
      </c>
      <c r="AO62" s="164" t="str">
        <f>VLOOKUP($G$5&amp;"+"&amp;AM62,[1]大運!$H$45:$K$3644,2,FALSE)</f>
        <v>－</v>
      </c>
      <c r="AP62" s="164" t="str">
        <f>VLOOKUP($H$5&amp;"+"&amp;AM62,[1]大運!$H$45:$K$3644,2,FALSE)</f>
        <v>－</v>
      </c>
      <c r="AQ62" s="100" t="str">
        <f t="shared" si="25"/>
        <v>殺</v>
      </c>
      <c r="AR62" s="172" t="str">
        <f t="shared" si="15"/>
        <v/>
      </c>
      <c r="AS62" s="172" t="str">
        <f t="shared" si="16"/>
        <v/>
      </c>
      <c r="AT62" s="172" t="str">
        <f t="shared" si="17"/>
        <v/>
      </c>
      <c r="AU62" s="49" t="str">
        <f>INDEX('12運シート'!C:C, MATCH(1, INDEX(('12運シート'!A:A=TRIM($T$42)) * ('12運シート'!B:B=TRIM(RIGHT(AE62, 1))), 0), 0))</f>
        <v>停止</v>
      </c>
      <c r="AV62" s="49" t="str">
        <f>INDEX('12運シート'!$E:$E, MATCH(1, INDEX((TRIM('12運シート'!$A:$A)=TRIM($T$42)) * (TRIM('12運シート'!$B:$B)=TRIM(AE62)), 0), 0))</f>
        <v>大曇天</v>
      </c>
      <c r="AW62" s="49" t="str">
        <f t="shared" si="18"/>
        <v>運命の停止（運の真冬時期）。古い価値観を手放す究極の浄化期間。</v>
      </c>
      <c r="AX62" s="49"/>
      <c r="AY62" s="49"/>
      <c r="AZ62" s="166" t="str">
        <f t="shared" ca="1" si="19"/>
        <v>申</v>
      </c>
      <c r="BA62" s="173">
        <f t="shared" ca="1" si="20"/>
        <v>46188</v>
      </c>
      <c r="BB62" s="174">
        <f t="shared" ca="1" si="7"/>
        <v>57</v>
      </c>
      <c r="BC62" s="174" t="str">
        <f ca="1">VLOOKUP(BB62,[1]大運!$B$31:$C$90,2,FALSE)</f>
        <v>庚申</v>
      </c>
      <c r="BD62" s="174" t="str">
        <f ca="1">VLOOKUP($F$5 &amp; "+" &amp; (MOD(BA62 - DATE(2024, 1, 1), 60) + 1), [1]大運!$H$45:$K$3644, 3, FALSE)</f>
        <v>鳳閣星</v>
      </c>
      <c r="BE62" s="174" t="str">
        <f ca="1">VLOOKUP($F$5 &amp; "+" &amp; (MOD(BA62 - DATE(2024, 1, 1), 60) + 1), [1]大運!$H$45:$K$3644, 4, FALSE)</f>
        <v>天胡星</v>
      </c>
      <c r="BF62" s="174" t="str">
        <f ca="1">VLOOKUP($F$5 &amp; "+" &amp; (MOD(BA62 - DATE(2024, 1, 1), 60) + 1), [1]大運!$H$45:$K$3644, 2, FALSE)</f>
        <v>半会</v>
      </c>
      <c r="BG62" s="174" t="str">
        <f ca="1">VLOOKUP($G$5 &amp; "+" &amp; (MOD(BA62 - DATE(2024, 1, 1), 60) + 1), [1]大運!$H$45:$K$3644, 2, FALSE)</f>
        <v>同</v>
      </c>
      <c r="BH62" s="174" t="str">
        <f ca="1">VLOOKUP($H$5 &amp; "+" &amp; (MOD(BA62 - DATE(2024, 1, 1), 60) + 1), [1]大運!$H$45:$K$3644, 2, FALSE)</f>
        <v>準方位</v>
      </c>
      <c r="BI62" s="172" t="str">
        <f t="shared" ca="1" si="21"/>
        <v/>
      </c>
      <c r="BJ62" s="172" t="str">
        <f t="shared" ca="1" si="22"/>
        <v/>
      </c>
      <c r="BK62" s="172" t="str">
        <f t="shared" ca="1" si="23"/>
        <v/>
      </c>
      <c r="BL62" s="174" t="str">
        <f ca="1">INDEX('12運シート'!C:C, MATCH(1, INDEX(('12運シート'!A:A=TRIM($T$42)) * ('12運シート'!B:B=TRIM(RIGHT(AZ62, 1))), 0), 0))</f>
        <v>減退</v>
      </c>
      <c r="BM62" s="174" t="str">
        <f ca="1">INDEX('12運シート'!$E:$E, MATCH(1, INDEX((TRIM('12運シート'!$A:$A)=TRIM($T$42)) * (TRIM('12運シート'!$B:$B)=TRIM(AZ62)), 0), 0))</f>
        <v>雨天</v>
      </c>
      <c r="BN62" s="49" t="str">
        <f t="shared" ca="1" si="24"/>
        <v>カルマの精算。過去の執着をすべて洗い流し、次の春への準備を整える。</v>
      </c>
      <c r="BO62" s="49"/>
      <c r="BP62" s="49"/>
      <c r="BQ62" s="49"/>
      <c r="BR62" s="49"/>
      <c r="BS62" s="49"/>
      <c r="BT62" s="49"/>
      <c r="BU62" s="49"/>
      <c r="BV62" s="49"/>
      <c r="BW62" s="49"/>
      <c r="BX62" s="49"/>
      <c r="BY62" s="49"/>
      <c r="BZ62" s="49"/>
      <c r="CA62" s="49"/>
      <c r="CB62" s="49"/>
      <c r="CC62" s="49"/>
      <c r="CD62" s="49"/>
      <c r="CE62" s="49"/>
      <c r="CF62" s="49"/>
      <c r="CG62" s="49"/>
      <c r="CH62" s="49"/>
      <c r="CI62" s="49"/>
      <c r="CJ62" s="49"/>
      <c r="CK62" s="49"/>
      <c r="CL62" s="49"/>
      <c r="CM62" s="49"/>
      <c r="CN62" s="49"/>
      <c r="CO62" s="49"/>
      <c r="CP62" s="49"/>
      <c r="CQ62" s="49"/>
      <c r="CR62" s="49"/>
      <c r="CS62" s="49"/>
      <c r="CT62" s="49"/>
      <c r="CU62" s="49"/>
      <c r="CV62" s="49"/>
      <c r="CW62" s="49"/>
      <c r="CX62" s="49"/>
      <c r="CY62" s="49"/>
      <c r="CZ62" s="49"/>
      <c r="DA62" s="49"/>
      <c r="DB62" s="49"/>
      <c r="DC62" s="49"/>
      <c r="DD62" s="49"/>
      <c r="DE62" s="49"/>
      <c r="DF62" s="49"/>
      <c r="DG62" s="49"/>
      <c r="DH62" s="49"/>
      <c r="DI62" s="49"/>
      <c r="DJ62" s="49"/>
      <c r="DK62" s="49"/>
      <c r="DL62" s="49"/>
      <c r="DM62" s="49"/>
      <c r="DN62" s="49"/>
      <c r="DO62" s="49"/>
      <c r="DP62" s="49"/>
      <c r="DQ62" s="49"/>
      <c r="DR62" s="49"/>
      <c r="DS62" s="49"/>
      <c r="DT62" s="49"/>
      <c r="DU62" s="49"/>
      <c r="DV62" s="49"/>
      <c r="DW62" s="49"/>
      <c r="DX62" s="49"/>
    </row>
    <row r="63" spans="1:128" ht="18" customHeight="1">
      <c r="A63" s="49"/>
      <c r="B63" s="49"/>
      <c r="C63" s="49"/>
      <c r="D63" s="49"/>
      <c r="E63" s="166" t="str">
        <f t="shared" ca="1" si="26"/>
        <v>子</v>
      </c>
      <c r="F63" s="226" t="str">
        <f t="shared" ca="1" si="27"/>
        <v>2026/12</v>
      </c>
      <c r="G63" s="178" t="str">
        <f ca="1">VLOOKUP(MOD((YEAR(F63)-2024)*12 + MONTH(F63), 60) + 1, [1]大運!$B$31:$C$90, 2, FALSE)</f>
        <v>庚子</v>
      </c>
      <c r="H63" s="178" t="str">
        <f ca="1">VLOOKUP($F$5 &amp; "+" &amp; (MOD((YEAR(F63)-1900)*12 + MONTH(F63) + 2, 60) + 1), [1]大運!$H$45:$K$3644, 3, FALSE)</f>
        <v>鳳閣星</v>
      </c>
      <c r="I63" s="221"/>
      <c r="J63" s="178" t="str">
        <f ca="1">VLOOKUP($F$5 &amp; "+" &amp; (MOD((YEAR(F63)-1900)*12 + MONTH(F63), 60) + 1), [1]大運!$H$45:$K$3644, 4, FALSE)</f>
        <v>天報星</v>
      </c>
      <c r="K63" s="221"/>
      <c r="L63" s="222">
        <f t="shared" ca="1" si="28"/>
        <v>60</v>
      </c>
      <c r="M63" s="178" t="str">
        <f ca="1">VLOOKUP($F$5 &amp; "+" &amp; (MOD((YEAR(F63)-1900)*12 + MONTH(F63) + 12, 60) + 1), [1]大運!$H$45:$K$3644, 2, FALSE)</f>
        <v>同</v>
      </c>
      <c r="N63" s="178" t="str">
        <f ca="1">VLOOKUP($G$5 &amp; "+" &amp; (MOD((YEAR(F63)-1900)*12 + MONTH(F63) + 12, 60) + 1), [1]大運!$H$45:$K$3644, 2, FALSE)</f>
        <v>半会</v>
      </c>
      <c r="O63" s="178" t="str">
        <f ca="1">VLOOKUP($H$5 &amp; "+" &amp; (MOD((YEAR(F63)-1900)*12 + MONTH(F63) + 12, 60) + 1), [1]大運!$H$45:$K$3644, 2, FALSE)</f>
        <v>破</v>
      </c>
      <c r="P63" s="100" t="str">
        <f t="shared" ca="1" si="29"/>
        <v>日</v>
      </c>
      <c r="Q63" s="172" t="str">
        <f t="shared" ca="1" si="30"/>
        <v/>
      </c>
      <c r="R63" s="172" t="str">
        <f t="shared" ca="1" si="31"/>
        <v/>
      </c>
      <c r="S63" s="172" t="str">
        <f t="shared" ca="1" si="32"/>
        <v/>
      </c>
      <c r="T63" s="135" t="str">
        <f ca="1">INDEX('12運シート'!C:C, MATCH(1, INDEX(('12運シート'!A:A=TRIM($T$42)) * ('12運シート'!B:B=TRIM(E63)), 0), 0))</f>
        <v>健弱</v>
      </c>
      <c r="U63" s="224" t="str">
        <f ca="1">INDEX('12運シート'!E:E, MATCH(1, INDEX((TRIM('12運シート'!A:A)=TRIM($T$42)) * (TRIM('12運シート'!B:B)=TRIM(E63)), 0), 0))</f>
        <v>曇天</v>
      </c>
      <c r="V63" s="225" t="str">
        <f t="shared" ca="1" si="33"/>
        <v>運気の勢いに心身が追いつかない小休止。自己治癒の時期。</v>
      </c>
      <c r="W63" s="49"/>
      <c r="X63" s="53"/>
      <c r="Y63" s="49"/>
      <c r="Z63" s="49"/>
      <c r="AA63" s="53"/>
      <c r="AB63" s="53"/>
      <c r="AC63" s="49"/>
      <c r="AD63" s="49"/>
      <c r="AE63" s="166" t="str">
        <f t="shared" si="12"/>
        <v>申</v>
      </c>
      <c r="AF63" s="167">
        <f t="shared" si="5"/>
        <v>47</v>
      </c>
      <c r="AG63" s="168">
        <f t="shared" si="13"/>
        <v>2028</v>
      </c>
      <c r="AH63" s="100" t="str">
        <f>VLOOKUP(AM63,[1]大運!$B$31:$C$90,2,FALSE)</f>
        <v>戊申</v>
      </c>
      <c r="AI63" s="99" t="str">
        <f>VLOOKUP($F$5&amp;"+"&amp;AM63,[1]大運!$H$45:$K$3644,3,FALSE)</f>
        <v>貫索星</v>
      </c>
      <c r="AJ63" s="73"/>
      <c r="AK63" s="99" t="str">
        <f>VLOOKUP($F$5&amp;"+"&amp;AM63,[1]大運!$H$45:$K$3644,4,FALSE)</f>
        <v>天胡星</v>
      </c>
      <c r="AL63" s="73"/>
      <c r="AM63" s="171">
        <f t="shared" si="6"/>
        <v>45</v>
      </c>
      <c r="AN63" s="164" t="str">
        <f>VLOOKUP($F$5&amp;"+"&amp;AM63,[1]大運!$H$45:$K$3644,2,FALSE)</f>
        <v>大半会</v>
      </c>
      <c r="AO63" s="164" t="str">
        <f>VLOOKUP($G$5&amp;"+"&amp;AM63,[1]大運!$H$45:$K$3644,2,FALSE)</f>
        <v>同</v>
      </c>
      <c r="AP63" s="164" t="str">
        <f>VLOOKUP($H$5&amp;"+"&amp;AM63,[1]大運!$H$45:$K$3644,2,FALSE)</f>
        <v>準方位</v>
      </c>
      <c r="AQ63" s="100" t="str">
        <f t="shared" si="25"/>
        <v/>
      </c>
      <c r="AR63" s="172" t="str">
        <f t="shared" si="15"/>
        <v/>
      </c>
      <c r="AS63" s="172" t="str">
        <f t="shared" si="16"/>
        <v/>
      </c>
      <c r="AT63" s="172" t="str">
        <f t="shared" si="17"/>
        <v/>
      </c>
      <c r="AU63" s="49" t="str">
        <f>INDEX('12運シート'!C:C, MATCH(1, INDEX(('12運シート'!A:A=TRIM($T$42)) * ('12運シート'!B:B=TRIM(RIGHT(AE63, 1))), 0), 0))</f>
        <v>減退</v>
      </c>
      <c r="AV63" s="49" t="str">
        <f>INDEX('12運シート'!$E:$E, MATCH(1, INDEX((TRIM('12運シート'!$A:$A)=TRIM($T$42)) * (TRIM('12運シート'!$B:$B)=TRIM(AE63)), 0), 0))</f>
        <v>雨天</v>
      </c>
      <c r="AW63" s="49" t="str">
        <f t="shared" si="18"/>
        <v>カルマの精算。過去の執着をすべて洗い流し、次の春への準備を整える。</v>
      </c>
      <c r="AX63" s="49"/>
      <c r="AY63" s="49"/>
      <c r="AZ63" s="166" t="str">
        <f t="shared" ca="1" si="19"/>
        <v>酉</v>
      </c>
      <c r="BA63" s="173">
        <f t="shared" ca="1" si="20"/>
        <v>46189</v>
      </c>
      <c r="BB63" s="174">
        <f t="shared" ca="1" si="7"/>
        <v>58</v>
      </c>
      <c r="BC63" s="174" t="str">
        <f ca="1">VLOOKUP(BB63,[1]大運!$B$31:$C$90,2,FALSE)</f>
        <v>辛酉</v>
      </c>
      <c r="BD63" s="174" t="str">
        <f ca="1">VLOOKUP($F$5 &amp; "+" &amp; (MOD(BA63 - DATE(2024, 1, 1), 60) + 1), [1]大運!$H$45:$K$3644, 3, FALSE)</f>
        <v>調舒星</v>
      </c>
      <c r="BE63" s="174" t="str">
        <f ca="1">VLOOKUP($F$5 &amp; "+" &amp; (MOD(BA63 - DATE(2024, 1, 1), 60) + 1), [1]大運!$H$45:$K$3644, 4, FALSE)</f>
        <v>天極星</v>
      </c>
      <c r="BF63" s="174" t="str">
        <f ca="1">VLOOKUP($F$5 &amp; "+" &amp; (MOD(BA63 - DATE(2024, 1, 1), 60) + 1), [1]大運!$H$45:$K$3644, 2, FALSE)</f>
        <v>破</v>
      </c>
      <c r="BG63" s="174" t="str">
        <f ca="1">VLOOKUP($G$5 &amp; "+" &amp; (MOD(BA63 - DATE(2024, 1, 1), 60) + 1), [1]大運!$H$45:$K$3644, 2, FALSE)</f>
        <v>準方位</v>
      </c>
      <c r="BH63" s="174" t="str">
        <f ca="1">VLOOKUP($H$5 &amp; "+" &amp; (MOD(BA63 - DATE(2024, 1, 1), 60) + 1), [1]大運!$H$45:$K$3644, 2, FALSE)</f>
        <v>律音</v>
      </c>
      <c r="BI63" s="172" t="str">
        <f t="shared" ca="1" si="21"/>
        <v/>
      </c>
      <c r="BJ63" s="172" t="str">
        <f t="shared" ca="1" si="22"/>
        <v>丙辛干合</v>
      </c>
      <c r="BK63" s="172" t="str">
        <f t="shared" ca="1" si="23"/>
        <v/>
      </c>
      <c r="BL63" s="174" t="str">
        <f ca="1">INDEX('12運シート'!C:C, MATCH(1, INDEX(('12運シート'!A:A=TRIM($T$42)) * ('12運シート'!B:B=TRIM(RIGHT(AZ63, 1))), 0), 0))</f>
        <v>種子</v>
      </c>
      <c r="BM63" s="174" t="str">
        <f ca="1">INDEX('12運シート'!$E:$E, MATCH(1, INDEX((TRIM('12運シート'!$A:$A)=TRIM($T$42)) * (TRIM('12運シート'!$B:$B)=TRIM(AZ63)), 0), 0))</f>
        <v>起天</v>
      </c>
      <c r="BN63" s="49" t="str">
        <f t="shared" ca="1" si="24"/>
        <v>運命の幕開け。過去を断ち切り新しい種をまく開拓期。</v>
      </c>
      <c r="BO63" s="49"/>
      <c r="BP63" s="49"/>
      <c r="BQ63" s="49"/>
      <c r="BR63" s="49"/>
      <c r="BS63" s="49"/>
      <c r="BT63" s="49"/>
      <c r="BU63" s="49"/>
      <c r="BV63" s="49"/>
      <c r="BW63" s="49"/>
      <c r="BX63" s="49"/>
      <c r="BY63" s="49"/>
      <c r="BZ63" s="49"/>
      <c r="CA63" s="49"/>
      <c r="CB63" s="49"/>
      <c r="CC63" s="49"/>
      <c r="CD63" s="49"/>
      <c r="CE63" s="49"/>
      <c r="CF63" s="49"/>
      <c r="CG63" s="49"/>
      <c r="CH63" s="49"/>
      <c r="CI63" s="49"/>
      <c r="CJ63" s="49"/>
      <c r="CK63" s="49"/>
      <c r="CL63" s="49"/>
      <c r="CM63" s="49"/>
      <c r="CN63" s="49"/>
      <c r="CO63" s="49"/>
      <c r="CP63" s="49"/>
      <c r="CQ63" s="49"/>
      <c r="CR63" s="49"/>
      <c r="CS63" s="49"/>
      <c r="CT63" s="49"/>
      <c r="CU63" s="49"/>
      <c r="CV63" s="49"/>
      <c r="CW63" s="49"/>
      <c r="CX63" s="49"/>
      <c r="CY63" s="49"/>
      <c r="CZ63" s="49"/>
      <c r="DA63" s="49"/>
      <c r="DB63" s="49"/>
      <c r="DC63" s="49"/>
      <c r="DD63" s="49"/>
      <c r="DE63" s="49"/>
      <c r="DF63" s="49"/>
      <c r="DG63" s="49"/>
      <c r="DH63" s="49"/>
      <c r="DI63" s="49"/>
      <c r="DJ63" s="49"/>
      <c r="DK63" s="49"/>
      <c r="DL63" s="49"/>
      <c r="DM63" s="49"/>
      <c r="DN63" s="49"/>
      <c r="DO63" s="49"/>
      <c r="DP63" s="49"/>
      <c r="DQ63" s="49"/>
      <c r="DR63" s="49"/>
      <c r="DS63" s="49"/>
      <c r="DT63" s="49"/>
      <c r="DU63" s="49"/>
      <c r="DV63" s="49"/>
      <c r="DW63" s="49"/>
      <c r="DX63" s="49"/>
    </row>
    <row r="64" spans="1:128" ht="18" customHeight="1">
      <c r="A64" s="49"/>
      <c r="B64" s="49"/>
      <c r="C64" s="49"/>
      <c r="D64" s="49"/>
      <c r="E64" s="166" t="str">
        <f t="shared" ca="1" si="26"/>
        <v>丑</v>
      </c>
      <c r="F64" s="226" t="str">
        <f t="shared" ca="1" si="27"/>
        <v>2027/1</v>
      </c>
      <c r="G64" s="178" t="str">
        <f ca="1">VLOOKUP(MOD((YEAR(F64)-2024)*12 + MONTH(F64), 60) + 1, [1]大運!$B$31:$C$90, 2, FALSE)</f>
        <v>辛丑</v>
      </c>
      <c r="H64" s="178" t="str">
        <f ca="1">VLOOKUP($F$5 &amp; "+" &amp; (MOD((YEAR(F64)-1900)*12 + MONTH(F64) + 2, 60) + 1), [1]大運!$H$45:$K$3644, 3, FALSE)</f>
        <v>調舒星</v>
      </c>
      <c r="I64" s="221"/>
      <c r="J64" s="178" t="str">
        <f ca="1">VLOOKUP($F$5 &amp; "+" &amp; (MOD((YEAR(F64)-1900)*12 + MONTH(F64), 60) + 1), [1]大運!$H$45:$K$3644, 4, FALSE)</f>
        <v>天印星</v>
      </c>
      <c r="K64" s="221"/>
      <c r="L64" s="222">
        <f t="shared" ca="1" si="28"/>
        <v>1</v>
      </c>
      <c r="M64" s="178" t="str">
        <f ca="1">VLOOKUP($F$5 &amp; "+" &amp; (MOD((YEAR(F64)-1900)*12 + MONTH(F64) + 12, 60) + 1), [1]大運!$H$45:$K$3644, 2, FALSE)</f>
        <v>支合</v>
      </c>
      <c r="N64" s="178" t="str">
        <f ca="1">VLOOKUP($G$5 &amp; "+" &amp; (MOD((YEAR(F64)-1900)*12 + MONTH(F64) + 12, 60) + 1), [1]大運!$H$45:$K$3644, 2, FALSE)</f>
        <v>－</v>
      </c>
      <c r="O64" s="178" t="str">
        <f ca="1">VLOOKUP($H$5 &amp; "+" &amp; (MOD((YEAR(F64)-1900)*12 + MONTH(F64) + 12, 60) + 1), [1]大運!$H$45:$K$3644, 2, FALSE)</f>
        <v>大半会</v>
      </c>
      <c r="P64" s="100" t="str">
        <f t="shared" ca="1" si="29"/>
        <v/>
      </c>
      <c r="Q64" s="172" t="str">
        <f t="shared" ca="1" si="30"/>
        <v/>
      </c>
      <c r="R64" s="172" t="str">
        <f t="shared" ca="1" si="31"/>
        <v>丙辛干合</v>
      </c>
      <c r="S64" s="172" t="str">
        <f t="shared" ca="1" si="32"/>
        <v/>
      </c>
      <c r="T64" s="135" t="str">
        <f ca="1">INDEX('12運シート'!C:C, MATCH(1, INDEX(('12運シート'!A:A=TRIM($T$42)) * ('12運シート'!B:B=TRIM(E64)), 0), 0))</f>
        <v>達成</v>
      </c>
      <c r="U64" s="224" t="str">
        <f ca="1">INDEX('12運シート'!E:E, MATCH(1, INDEX((TRIM('12運シート'!A:A)=TRIM($T$42)) * (TRIM('12運シート'!B:B)=TRIM(E64)), 0), 0))</f>
        <v>韋駄天</v>
      </c>
      <c r="V64" s="225" t="str">
        <f t="shared" ca="1" si="33"/>
        <v>運気絶頂。これまでの努力が実を結び、最高のスポットライトを浴びる。</v>
      </c>
      <c r="W64" s="49"/>
      <c r="X64" s="53"/>
      <c r="Y64" s="49"/>
      <c r="Z64" s="49"/>
      <c r="AA64" s="53"/>
      <c r="AB64" s="53"/>
      <c r="AC64" s="49"/>
      <c r="AD64" s="49"/>
      <c r="AE64" s="166" t="str">
        <f t="shared" si="12"/>
        <v>酉</v>
      </c>
      <c r="AF64" s="167">
        <f t="shared" si="5"/>
        <v>48</v>
      </c>
      <c r="AG64" s="168">
        <f t="shared" si="13"/>
        <v>2029</v>
      </c>
      <c r="AH64" s="100" t="str">
        <f>VLOOKUP(AM64,[1]大運!$B$31:$C$90,2,FALSE)</f>
        <v>己酉</v>
      </c>
      <c r="AI64" s="99" t="str">
        <f>VLOOKUP($F$5&amp;"+"&amp;AM64,[1]大運!$H$45:$K$3644,3,FALSE)</f>
        <v>石門星</v>
      </c>
      <c r="AJ64" s="73"/>
      <c r="AK64" s="99" t="str">
        <f>VLOOKUP($F$5&amp;"+"&amp;AM64,[1]大運!$H$45:$K$3644,4,FALSE)</f>
        <v>天極星</v>
      </c>
      <c r="AL64" s="73"/>
      <c r="AM64" s="171">
        <f t="shared" si="6"/>
        <v>46</v>
      </c>
      <c r="AN64" s="164" t="str">
        <f>VLOOKUP($F$5&amp;"+"&amp;AM64,[1]大運!$H$45:$K$3644,2,FALSE)</f>
        <v>破</v>
      </c>
      <c r="AO64" s="164" t="str">
        <f>VLOOKUP($G$5&amp;"+"&amp;AM64,[1]大運!$H$45:$K$3644,2,FALSE)</f>
        <v>準方位</v>
      </c>
      <c r="AP64" s="164" t="str">
        <f>VLOOKUP($H$5&amp;"+"&amp;AM64,[1]大運!$H$45:$K$3644,2,FALSE)</f>
        <v>自刑</v>
      </c>
      <c r="AQ64" s="100" t="str">
        <f t="shared" si="25"/>
        <v/>
      </c>
      <c r="AR64" s="172" t="str">
        <f t="shared" si="15"/>
        <v/>
      </c>
      <c r="AS64" s="172" t="str">
        <f t="shared" si="16"/>
        <v/>
      </c>
      <c r="AT64" s="172" t="str">
        <f t="shared" si="17"/>
        <v/>
      </c>
      <c r="AU64" s="49" t="str">
        <f>INDEX('12運シート'!C:C, MATCH(1, INDEX(('12運シート'!A:A=TRIM($T$42)) * ('12運シート'!B:B=TRIM(RIGHT(AE64, 1))), 0), 0))</f>
        <v>種子</v>
      </c>
      <c r="AV64" s="49" t="str">
        <f>INDEX('12運シート'!$E:$E, MATCH(1, INDEX((TRIM('12運シート'!$A:$A)=TRIM($T$42)) * (TRIM('12運シート'!$B:$B)=TRIM(AE64)), 0), 0))</f>
        <v>起天</v>
      </c>
      <c r="AW64" s="49" t="str">
        <f t="shared" si="18"/>
        <v>運命の幕開け。過去を断ち切り新しい種をまく開拓期。</v>
      </c>
      <c r="AX64" s="49"/>
      <c r="AY64" s="49"/>
      <c r="AZ64" s="166" t="str">
        <f t="shared" ca="1" si="19"/>
        <v>戌</v>
      </c>
      <c r="BA64" s="173">
        <f t="shared" ca="1" si="20"/>
        <v>46190</v>
      </c>
      <c r="BB64" s="174">
        <f t="shared" ca="1" si="7"/>
        <v>59</v>
      </c>
      <c r="BC64" s="174" t="str">
        <f ca="1">VLOOKUP(BB64,[1]大運!$B$31:$C$90,2,FALSE)</f>
        <v>壬戌</v>
      </c>
      <c r="BD64" s="174" t="str">
        <f ca="1">VLOOKUP($F$5 &amp; "+" &amp; (MOD(BA64 - DATE(2024, 1, 1), 60) + 1), [1]大運!$H$45:$K$3644, 3, FALSE)</f>
        <v>禄存星</v>
      </c>
      <c r="BE64" s="174" t="str">
        <f ca="1">VLOOKUP($F$5 &amp; "+" &amp; (MOD(BA64 - DATE(2024, 1, 1), 60) + 1), [1]大運!$H$45:$K$3644, 4, FALSE)</f>
        <v>天庫星</v>
      </c>
      <c r="BF64" s="174" t="str">
        <f ca="1">VLOOKUP($F$5 &amp; "+" &amp; (MOD(BA64 - DATE(2024, 1, 1), 60) + 1), [1]大運!$H$45:$K$3644, 2, FALSE)</f>
        <v>－</v>
      </c>
      <c r="BG64" s="174" t="str">
        <f ca="1">VLOOKUP($G$5 &amp; "+" &amp; (MOD(BA64 - DATE(2024, 1, 1), 60) + 1), [1]大運!$H$45:$K$3644, 2, FALSE)</f>
        <v>準方位</v>
      </c>
      <c r="BH64" s="174" t="str">
        <f ca="1">VLOOKUP($H$5 &amp; "+" &amp; (MOD(BA64 - DATE(2024, 1, 1), 60) + 1), [1]大運!$H$45:$K$3644, 2, FALSE)</f>
        <v>害</v>
      </c>
      <c r="BI64" s="172" t="str">
        <f t="shared" ca="1" si="21"/>
        <v/>
      </c>
      <c r="BJ64" s="172" t="str">
        <f t="shared" ca="1" si="22"/>
        <v/>
      </c>
      <c r="BK64" s="172" t="str">
        <f t="shared" ca="1" si="23"/>
        <v/>
      </c>
      <c r="BL64" s="174" t="str">
        <f ca="1">INDEX('12運シート'!C:C, MATCH(1, INDEX(('12運シート'!A:A=TRIM($T$42)) * ('12運シート'!B:B=TRIM(RIGHT(AZ64, 1))), 0), 0))</f>
        <v>緑生</v>
      </c>
      <c r="BM64" s="174" t="str">
        <f ca="1">INDEX('12運シート'!$E:$E, MATCH(1, INDEX((TRIM('12運シート'!$A:$A)=TRIM($T$42)) * (TRIM('12運シート'!$B:$B)=TRIM(AZ64)), 0), 0))</f>
        <v>吉祥天</v>
      </c>
      <c r="BN64" s="49" t="str">
        <f t="shared" ca="1" si="24"/>
        <v>まいた種が芽吹き、周囲の支援を受けて着実に育つ時期。</v>
      </c>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49"/>
      <c r="CM64" s="49"/>
      <c r="CN64" s="49"/>
      <c r="CO64" s="49"/>
      <c r="CP64" s="49"/>
      <c r="CQ64" s="49"/>
      <c r="CR64" s="49"/>
      <c r="CS64" s="49"/>
      <c r="CT64" s="49"/>
      <c r="CU64" s="49"/>
      <c r="CV64" s="49"/>
      <c r="CW64" s="49"/>
      <c r="CX64" s="49"/>
      <c r="CY64" s="49"/>
      <c r="CZ64" s="49"/>
      <c r="DA64" s="49"/>
      <c r="DB64" s="49"/>
      <c r="DC64" s="49"/>
      <c r="DD64" s="49"/>
      <c r="DE64" s="49"/>
      <c r="DF64" s="49"/>
      <c r="DG64" s="49"/>
      <c r="DH64" s="49"/>
      <c r="DI64" s="49"/>
      <c r="DJ64" s="49"/>
      <c r="DK64" s="49"/>
      <c r="DL64" s="49"/>
      <c r="DM64" s="49"/>
      <c r="DN64" s="49"/>
      <c r="DO64" s="49"/>
      <c r="DP64" s="49"/>
      <c r="DQ64" s="49"/>
      <c r="DR64" s="49"/>
      <c r="DS64" s="49"/>
      <c r="DT64" s="49"/>
      <c r="DU64" s="49"/>
      <c r="DV64" s="49"/>
      <c r="DW64" s="49"/>
      <c r="DX64" s="49"/>
    </row>
    <row r="65" spans="1:128" ht="18" customHeight="1">
      <c r="A65" s="49"/>
      <c r="B65" s="49"/>
      <c r="C65" s="49"/>
      <c r="D65" s="49"/>
      <c r="E65" s="166" t="str">
        <f t="shared" ca="1" si="26"/>
        <v>寅</v>
      </c>
      <c r="F65" s="226" t="str">
        <f t="shared" ca="1" si="27"/>
        <v>2027/2</v>
      </c>
      <c r="G65" s="178" t="str">
        <f ca="1">VLOOKUP(MOD((YEAR(F65)-2024)*12 + MONTH(F65), 60) + 1, [1]大運!$B$31:$C$90, 2, FALSE)</f>
        <v>壬寅</v>
      </c>
      <c r="H65" s="178" t="str">
        <f ca="1">VLOOKUP($F$5 &amp; "+" &amp; (MOD((YEAR(F65)-1900)*12 + MONTH(F65) + 2, 60) + 1), [1]大運!$H$45:$K$3644, 3, FALSE)</f>
        <v>禄存星</v>
      </c>
      <c r="I65" s="221"/>
      <c r="J65" s="178" t="str">
        <f ca="1">VLOOKUP($F$5 &amp; "+" &amp; (MOD((YEAR(F65)-1900)*12 + MONTH(F65), 60) + 1), [1]大運!$H$45:$K$3644, 4, FALSE)</f>
        <v>天貴星</v>
      </c>
      <c r="K65" s="221"/>
      <c r="L65" s="222">
        <f t="shared" ca="1" si="28"/>
        <v>2</v>
      </c>
      <c r="M65" s="178" t="str">
        <f ca="1">VLOOKUP($F$5 &amp; "+" &amp; (MOD((YEAR(F65)-1900)*12 + MONTH(F65) + 12, 60) + 1), [1]大運!$H$45:$K$3644, 2, FALSE)</f>
        <v>－</v>
      </c>
      <c r="N65" s="178" t="str">
        <f ca="1">VLOOKUP($G$5 &amp; "+" &amp; (MOD((YEAR(F65)-1900)*12 + MONTH(F65) + 12, 60) + 1), [1]大運!$H$45:$K$3644, 2, FALSE)</f>
        <v>天剋地冲</v>
      </c>
      <c r="O65" s="178" t="str">
        <f ca="1">VLOOKUP($H$5 &amp; "+" &amp; (MOD((YEAR(F65)-1900)*12 + MONTH(F65) + 12, 60) + 1), [1]大運!$H$45:$K$3644, 2, FALSE)</f>
        <v>－</v>
      </c>
      <c r="P65" s="100" t="str">
        <f t="shared" ca="1" si="29"/>
        <v/>
      </c>
      <c r="Q65" s="172" t="str">
        <f t="shared" ca="1" si="30"/>
        <v/>
      </c>
      <c r="R65" s="172" t="str">
        <f t="shared" ca="1" si="31"/>
        <v/>
      </c>
      <c r="S65" s="172" t="str">
        <f t="shared" ca="1" si="32"/>
        <v/>
      </c>
      <c r="T65" s="135" t="str">
        <f ca="1">INDEX('12運シート'!C:C, MATCH(1, INDEX(('12運シート'!A:A=TRIM($T$42)) * ('12運シート'!B:B=TRIM(E65)), 0), 0))</f>
        <v>乱気</v>
      </c>
      <c r="U65" s="224" t="str">
        <f ca="1">INDEX('12運シート'!E:E, MATCH(1, INDEX((TRIM('12運シート'!A:A)=TRIM($T$42)) * (TRIM('12運シート'!B:B)=TRIM(E65)), 0), 0))</f>
        <v>伏魔天</v>
      </c>
      <c r="V65" s="225" t="str">
        <f t="shared" ca="1" si="33"/>
        <v>強すぎる運気の反動で迷いや摩擦が生じる。理性と現状維持が必要な嵐。</v>
      </c>
      <c r="W65" s="49"/>
      <c r="X65" s="53"/>
      <c r="Y65" s="49"/>
      <c r="Z65" s="49"/>
      <c r="AA65" s="53"/>
      <c r="AB65" s="53"/>
      <c r="AC65" s="49"/>
      <c r="AD65" s="49"/>
      <c r="AE65" s="166" t="str">
        <f t="shared" si="12"/>
        <v>戌</v>
      </c>
      <c r="AF65" s="167">
        <f t="shared" si="5"/>
        <v>49</v>
      </c>
      <c r="AG65" s="168">
        <f t="shared" si="13"/>
        <v>2030</v>
      </c>
      <c r="AH65" s="100" t="str">
        <f>VLOOKUP(AM65,[1]大運!$B$31:$C$90,2,FALSE)</f>
        <v>庚戌</v>
      </c>
      <c r="AI65" s="99" t="str">
        <f>VLOOKUP($F$5&amp;"+"&amp;AM65,[1]大運!$H$45:$K$3644,3,FALSE)</f>
        <v>鳳閣星</v>
      </c>
      <c r="AJ65" s="73"/>
      <c r="AK65" s="99" t="str">
        <f>VLOOKUP($F$5&amp;"+"&amp;AM65,[1]大運!$H$45:$K$3644,4,FALSE)</f>
        <v>天庫星</v>
      </c>
      <c r="AL65" s="73"/>
      <c r="AM65" s="171">
        <f t="shared" si="6"/>
        <v>47</v>
      </c>
      <c r="AN65" s="164" t="str">
        <f>VLOOKUP($F$5&amp;"+"&amp;AM65,[1]大運!$H$45:$K$3644,2,FALSE)</f>
        <v>－</v>
      </c>
      <c r="AO65" s="164" t="str">
        <f>VLOOKUP($G$5&amp;"+"&amp;AM65,[1]大運!$H$45:$K$3644,2,FALSE)</f>
        <v>準方位</v>
      </c>
      <c r="AP65" s="164" t="str">
        <f>VLOOKUP($H$5&amp;"+"&amp;AM65,[1]大運!$H$45:$K$3644,2,FALSE)</f>
        <v>害</v>
      </c>
      <c r="AQ65" s="100" t="str">
        <f t="shared" si="25"/>
        <v/>
      </c>
      <c r="AR65" s="172" t="str">
        <f t="shared" si="15"/>
        <v/>
      </c>
      <c r="AS65" s="172" t="str">
        <f t="shared" si="16"/>
        <v/>
      </c>
      <c r="AT65" s="172" t="str">
        <f t="shared" si="17"/>
        <v/>
      </c>
      <c r="AU65" s="49" t="str">
        <f>INDEX('12運シート'!C:C, MATCH(1, INDEX(('12運シート'!A:A=TRIM($T$42)) * ('12運シート'!B:B=TRIM(RIGHT(AE65, 1))), 0), 0))</f>
        <v>緑生</v>
      </c>
      <c r="AV65" s="49" t="str">
        <f>INDEX('12運シート'!$E:$E, MATCH(1, INDEX((TRIM('12運シート'!$A:$A)=TRIM($T$42)) * (TRIM('12運シート'!$B:$B)=TRIM(AE65)), 0), 0))</f>
        <v>吉祥天</v>
      </c>
      <c r="AW65" s="49" t="str">
        <f t="shared" si="18"/>
        <v>まいた種が芽吹き、周囲の支援を受けて着実に育つ時期。</v>
      </c>
      <c r="AX65" s="49"/>
      <c r="AY65" s="49"/>
      <c r="AZ65" s="166" t="str">
        <f t="shared" ca="1" si="19"/>
        <v>亥</v>
      </c>
      <c r="BA65" s="173">
        <f t="shared" ca="1" si="20"/>
        <v>46191</v>
      </c>
      <c r="BB65" s="174">
        <f t="shared" ca="1" si="7"/>
        <v>60</v>
      </c>
      <c r="BC65" s="174" t="str">
        <f ca="1">VLOOKUP(BB65,[1]大運!$B$31:$C$90,2,FALSE)</f>
        <v>癸亥</v>
      </c>
      <c r="BD65" s="174" t="str">
        <f ca="1">VLOOKUP($F$5 &amp; "+" &amp; (MOD(BA65 - DATE(2024, 1, 1), 60) + 1), [1]大運!$H$45:$K$3644, 3, FALSE)</f>
        <v>司禄星</v>
      </c>
      <c r="BE65" s="174" t="str">
        <f ca="1">VLOOKUP($F$5 &amp; "+" &amp; (MOD(BA65 - DATE(2024, 1, 1), 60) + 1), [1]大運!$H$45:$K$3644, 4, FALSE)</f>
        <v>天馳星</v>
      </c>
      <c r="BF65" s="174" t="str">
        <f ca="1">VLOOKUP($F$5 &amp; "+" &amp; (MOD(BA65 - DATE(2024, 1, 1), 60) + 1), [1]大運!$H$45:$K$3644, 2, FALSE)</f>
        <v>準方位</v>
      </c>
      <c r="BG65" s="174" t="str">
        <f ca="1">VLOOKUP($G$5 &amp; "+" &amp; (MOD(BA65 - DATE(2024, 1, 1), 60) + 1), [1]大運!$H$45:$K$3644, 2, FALSE)</f>
        <v>害</v>
      </c>
      <c r="BH65" s="174" t="str">
        <f ca="1">VLOOKUP($H$5 &amp; "+" &amp; (MOD(BA65 - DATE(2024, 1, 1), 60) + 1), [1]大運!$H$45:$K$3644, 2, FALSE)</f>
        <v>－</v>
      </c>
      <c r="BI65" s="172" t="str">
        <f t="shared" ca="1" si="21"/>
        <v>戊癸干合</v>
      </c>
      <c r="BJ65" s="172" t="str">
        <f t="shared" ca="1" si="22"/>
        <v/>
      </c>
      <c r="BK65" s="172" t="str">
        <f t="shared" ca="1" si="23"/>
        <v/>
      </c>
      <c r="BL65" s="174" t="str">
        <f ca="1">INDEX('12運シート'!C:C, MATCH(1, INDEX(('12運シート'!A:A=TRIM($T$42)) * ('12運シート'!B:B=TRIM(RIGHT(AZ65, 1))), 0), 0))</f>
        <v>立花</v>
      </c>
      <c r="BM65" s="174" t="str">
        <f ca="1">INDEX('12運シート'!$E:$E, MATCH(1, INDEX((TRIM('12運シート'!$A:$A)=TRIM($T$42)) * (TRIM('12運シート'!$B:$B)=TRIM(AZ65)), 0), 0))</f>
        <v>弁財天</v>
      </c>
      <c r="BN65" s="49" t="str">
        <f t="shared" ca="1" si="24"/>
        <v>才能がパッと花開き、今後の人生を左右する重要な決定を下す発展期。</v>
      </c>
      <c r="BO65" s="49"/>
      <c r="BP65" s="49"/>
      <c r="BQ65" s="49"/>
      <c r="BR65" s="49"/>
      <c r="BS65" s="49"/>
      <c r="BT65" s="49"/>
      <c r="BU65" s="49"/>
      <c r="BV65" s="49"/>
      <c r="BW65" s="49"/>
      <c r="BX65" s="49"/>
      <c r="BY65" s="49"/>
      <c r="BZ65" s="49"/>
      <c r="CA65" s="49"/>
      <c r="CB65" s="49"/>
      <c r="CC65" s="49"/>
      <c r="CD65" s="49"/>
      <c r="CE65" s="49"/>
      <c r="CF65" s="49"/>
      <c r="CG65" s="49"/>
      <c r="CH65" s="49"/>
      <c r="CI65" s="49"/>
      <c r="CJ65" s="49"/>
      <c r="CK65" s="49"/>
      <c r="CL65" s="49"/>
      <c r="CM65" s="49"/>
      <c r="CN65" s="49"/>
      <c r="CO65" s="49"/>
      <c r="CP65" s="49"/>
      <c r="CQ65" s="49"/>
      <c r="CR65" s="49"/>
      <c r="CS65" s="49"/>
      <c r="CT65" s="49"/>
      <c r="CU65" s="49"/>
      <c r="CV65" s="49"/>
      <c r="CW65" s="49"/>
      <c r="CX65" s="49"/>
      <c r="CY65" s="49"/>
      <c r="CZ65" s="49"/>
      <c r="DA65" s="49"/>
      <c r="DB65" s="49"/>
      <c r="DC65" s="49"/>
      <c r="DD65" s="49"/>
      <c r="DE65" s="49"/>
      <c r="DF65" s="49"/>
      <c r="DG65" s="49"/>
      <c r="DH65" s="49"/>
      <c r="DI65" s="49"/>
      <c r="DJ65" s="49"/>
      <c r="DK65" s="49"/>
      <c r="DL65" s="49"/>
      <c r="DM65" s="49"/>
      <c r="DN65" s="49"/>
      <c r="DO65" s="49"/>
      <c r="DP65" s="49"/>
      <c r="DQ65" s="49"/>
      <c r="DR65" s="49"/>
      <c r="DS65" s="49"/>
      <c r="DT65" s="49"/>
      <c r="DU65" s="49"/>
      <c r="DV65" s="49"/>
      <c r="DW65" s="49"/>
      <c r="DX65" s="49"/>
    </row>
    <row r="66" spans="1:128" ht="18" customHeight="1">
      <c r="A66" s="49"/>
      <c r="B66" s="49"/>
      <c r="C66" s="49"/>
      <c r="D66" s="49"/>
      <c r="E66" s="166" t="str">
        <f t="shared" ca="1" si="26"/>
        <v>卯</v>
      </c>
      <c r="F66" s="226" t="str">
        <f t="shared" ca="1" si="27"/>
        <v>2027/3</v>
      </c>
      <c r="G66" s="178" t="str">
        <f ca="1">VLOOKUP(MOD((YEAR(F66)-2024)*12 + MONTH(F66), 60) + 1, [1]大運!$B$31:$C$90, 2, FALSE)</f>
        <v>癸卯</v>
      </c>
      <c r="H66" s="178" t="str">
        <f ca="1">VLOOKUP($F$5 &amp; "+" &amp; (MOD((YEAR(F66)-1900)*12 + MONTH(F66) + 2, 60) + 1), [1]大運!$H$45:$K$3644, 3, FALSE)</f>
        <v>司禄星</v>
      </c>
      <c r="I66" s="221"/>
      <c r="J66" s="178" t="str">
        <f ca="1">VLOOKUP($F$5 &amp; "+" &amp; (MOD((YEAR(F66)-1900)*12 + MONTH(F66), 60) + 1), [1]大運!$H$45:$K$3644, 4, FALSE)</f>
        <v>天恍星</v>
      </c>
      <c r="K66" s="221"/>
      <c r="L66" s="222">
        <f t="shared" ca="1" si="28"/>
        <v>3</v>
      </c>
      <c r="M66" s="178" t="str">
        <f ca="1">VLOOKUP($F$5 &amp; "+" &amp; (MOD((YEAR(F66)-1900)*12 + MONTH(F66) + 12, 60) + 1), [1]大運!$H$45:$K$3644, 2, FALSE)</f>
        <v>刑</v>
      </c>
      <c r="N66" s="178" t="str">
        <f ca="1">VLOOKUP($G$5 &amp; "+" &amp; (MOD((YEAR(F66)-1900)*12 + MONTH(F66) + 12, 60) + 1), [1]大運!$H$45:$K$3644, 2, FALSE)</f>
        <v>－</v>
      </c>
      <c r="O66" s="178" t="str">
        <f ca="1">VLOOKUP($H$5 &amp; "+" &amp; (MOD((YEAR(F66)-1900)*12 + MONTH(F66) + 12, 60) + 1), [1]大運!$H$45:$K$3644, 2, FALSE)</f>
        <v>対冲</v>
      </c>
      <c r="P66" s="100" t="str">
        <f t="shared" ca="1" si="29"/>
        <v>年</v>
      </c>
      <c r="Q66" s="172" t="str">
        <f t="shared" ca="1" si="30"/>
        <v>戊癸干合</v>
      </c>
      <c r="R66" s="172" t="str">
        <f t="shared" ca="1" si="31"/>
        <v/>
      </c>
      <c r="S66" s="172" t="str">
        <f t="shared" ca="1" si="32"/>
        <v/>
      </c>
      <c r="T66" s="135" t="str">
        <f ca="1">INDEX('12運シート'!C:C, MATCH(1, INDEX(('12運シート'!A:A=TRIM($T$42)) * ('12運シート'!B:B=TRIM(E66)), 0), 0))</f>
        <v>再会</v>
      </c>
      <c r="U66" s="224" t="str">
        <f ca="1">INDEX('12運シート'!E:E, MATCH(1, INDEX((TRIM('12運シート'!A:A)=TRIM($T$42)) * (TRIM('12運シート'!B:B)=TRIM(E66)), 0), 0))</f>
        <v>有頂天</v>
      </c>
      <c r="V66" s="225" t="str">
        <f t="shared" ca="1" si="33"/>
        <v>第2の絶頂期。過去の縁が繋がり、周囲を巻き込み大きな成果を出す。</v>
      </c>
      <c r="W66" s="49"/>
      <c r="X66" s="53"/>
      <c r="Y66" s="49"/>
      <c r="Z66" s="49"/>
      <c r="AA66" s="53"/>
      <c r="AB66" s="53"/>
      <c r="AC66" s="49"/>
      <c r="AD66" s="49"/>
      <c r="AE66" s="166" t="str">
        <f t="shared" si="12"/>
        <v>亥</v>
      </c>
      <c r="AF66" s="167">
        <f t="shared" si="5"/>
        <v>50</v>
      </c>
      <c r="AG66" s="168">
        <f t="shared" si="13"/>
        <v>2031</v>
      </c>
      <c r="AH66" s="100" t="str">
        <f>VLOOKUP(AM66,[1]大運!$B$31:$C$90,2,FALSE)</f>
        <v>辛亥</v>
      </c>
      <c r="AI66" s="99" t="str">
        <f>VLOOKUP($F$5&amp;"+"&amp;AM66,[1]大運!$H$45:$K$3644,3,FALSE)</f>
        <v>調舒星</v>
      </c>
      <c r="AJ66" s="73"/>
      <c r="AK66" s="99" t="str">
        <f>VLOOKUP($F$5&amp;"+"&amp;AM66,[1]大運!$H$45:$K$3644,4,FALSE)</f>
        <v>天馳星</v>
      </c>
      <c r="AL66" s="73"/>
      <c r="AM66" s="171">
        <f t="shared" si="6"/>
        <v>48</v>
      </c>
      <c r="AN66" s="164" t="str">
        <f>VLOOKUP($F$5&amp;"+"&amp;AM66,[1]大運!$H$45:$K$3644,2,FALSE)</f>
        <v>準方位</v>
      </c>
      <c r="AO66" s="164" t="str">
        <f>VLOOKUP($G$5&amp;"+"&amp;AM66,[1]大運!$H$45:$K$3644,2,FALSE)</f>
        <v>害</v>
      </c>
      <c r="AP66" s="164" t="str">
        <f>VLOOKUP($H$5&amp;"+"&amp;AM66,[1]大運!$H$45:$K$3644,2,FALSE)</f>
        <v>－</v>
      </c>
      <c r="AQ66" s="100" t="str">
        <f t="shared" si="25"/>
        <v>月</v>
      </c>
      <c r="AR66" s="172" t="str">
        <f t="shared" si="15"/>
        <v/>
      </c>
      <c r="AS66" s="172" t="str">
        <f t="shared" si="16"/>
        <v>丙辛干合</v>
      </c>
      <c r="AT66" s="172" t="str">
        <f t="shared" si="17"/>
        <v/>
      </c>
      <c r="AU66" s="49" t="str">
        <f>INDEX('12運シート'!C:C, MATCH(1, INDEX(('12運シート'!A:A=TRIM($T$42)) * ('12運シート'!B:B=TRIM(RIGHT(AE66, 1))), 0), 0))</f>
        <v>立花</v>
      </c>
      <c r="AV66" s="49" t="str">
        <f>INDEX('12運シート'!$E:$E, MATCH(1, INDEX((TRIM('12運シート'!$A:$A)=TRIM($T$42)) * (TRIM('12運シート'!$B:$B)=TRIM(AE66)), 0), 0))</f>
        <v>弁財天</v>
      </c>
      <c r="AW66" s="49" t="str">
        <f t="shared" si="18"/>
        <v>才能がパッと花開き、今後の人生を左右する重要な決定を下す発展期。</v>
      </c>
      <c r="AX66" s="49"/>
      <c r="AY66" s="49"/>
      <c r="AZ66" s="166" t="str">
        <f t="shared" ca="1" si="19"/>
        <v>子</v>
      </c>
      <c r="BA66" s="173">
        <f t="shared" ca="1" si="20"/>
        <v>46192</v>
      </c>
      <c r="BB66" s="174">
        <f t="shared" ca="1" si="7"/>
        <v>1</v>
      </c>
      <c r="BC66" s="174" t="str">
        <f ca="1">VLOOKUP(BB66,[1]大運!$B$31:$C$90,2,FALSE)</f>
        <v>甲子</v>
      </c>
      <c r="BD66" s="174" t="str">
        <f ca="1">VLOOKUP($F$5 &amp; "+" &amp; (MOD(BA66 - DATE(2024, 1, 1), 60) + 1), [1]大運!$H$45:$K$3644, 3, FALSE)</f>
        <v>車騎星</v>
      </c>
      <c r="BE66" s="174" t="str">
        <f ca="1">VLOOKUP($F$5 &amp; "+" &amp; (MOD(BA66 - DATE(2024, 1, 1), 60) + 1), [1]大運!$H$45:$K$3644, 4, FALSE)</f>
        <v>天報星</v>
      </c>
      <c r="BF66" s="174" t="str">
        <f ca="1">VLOOKUP($F$5 &amp; "+" &amp; (MOD(BA66 - DATE(2024, 1, 1), 60) + 1), [1]大運!$H$45:$K$3644, 2, FALSE)</f>
        <v>同</v>
      </c>
      <c r="BG66" s="174" t="str">
        <f ca="1">VLOOKUP($G$5 &amp; "+" &amp; (MOD(BA66 - DATE(2024, 1, 1), 60) + 1), [1]大運!$H$45:$K$3644, 2, FALSE)</f>
        <v>半会</v>
      </c>
      <c r="BH66" s="174" t="str">
        <f ca="1">VLOOKUP($H$5 &amp; "+" &amp; (MOD(BA66 - DATE(2024, 1, 1), 60) + 1), [1]大運!$H$45:$K$3644, 2, FALSE)</f>
        <v>破</v>
      </c>
      <c r="BI66" s="172" t="str">
        <f t="shared" ca="1" si="21"/>
        <v/>
      </c>
      <c r="BJ66" s="172" t="str">
        <f t="shared" ca="1" si="22"/>
        <v/>
      </c>
      <c r="BK66" s="172" t="str">
        <f t="shared" ca="1" si="23"/>
        <v/>
      </c>
      <c r="BL66" s="174" t="str">
        <f ca="1">INDEX('12運シート'!C:C, MATCH(1, INDEX(('12運シート'!A:A=TRIM($T$42)) * ('12運シート'!B:B=TRIM(RIGHT(AZ66, 1))), 0), 0))</f>
        <v>健弱</v>
      </c>
      <c r="BM66" s="174" t="str">
        <f ca="1">INDEX('12運シート'!$E:$E, MATCH(1, INDEX((TRIM('12運シート'!$A:$A)=TRIM($T$42)) * (TRIM('12運シート'!$B:$B)=TRIM(AZ66)), 0), 0))</f>
        <v>曇天</v>
      </c>
      <c r="BN66" s="49" t="str">
        <f t="shared" ca="1" si="24"/>
        <v>運気の勢いに心身が追いつかない小休止。自己治癒の時期。</v>
      </c>
      <c r="BO66" s="49"/>
      <c r="BP66" s="49"/>
      <c r="BQ66" s="49"/>
      <c r="BR66" s="49"/>
      <c r="BS66" s="49"/>
      <c r="BT66" s="49"/>
      <c r="BU66" s="49"/>
      <c r="BV66" s="49"/>
      <c r="BW66" s="49"/>
      <c r="BX66" s="49"/>
      <c r="BY66" s="49"/>
      <c r="BZ66" s="49"/>
      <c r="CA66" s="49"/>
      <c r="CB66" s="49"/>
      <c r="CC66" s="49"/>
      <c r="CD66" s="49"/>
      <c r="CE66" s="49"/>
      <c r="CF66" s="49"/>
      <c r="CG66" s="49"/>
      <c r="CH66" s="49"/>
      <c r="CI66" s="49"/>
      <c r="CJ66" s="49"/>
      <c r="CK66" s="49"/>
      <c r="CL66" s="49"/>
      <c r="CM66" s="49"/>
      <c r="CN66" s="49"/>
      <c r="CO66" s="49"/>
      <c r="CP66" s="49"/>
      <c r="CQ66" s="49"/>
      <c r="CR66" s="49"/>
      <c r="CS66" s="49"/>
      <c r="CT66" s="49"/>
      <c r="CU66" s="49"/>
      <c r="CV66" s="49"/>
      <c r="CW66" s="49"/>
      <c r="CX66" s="49"/>
      <c r="CY66" s="49"/>
      <c r="CZ66" s="49"/>
      <c r="DA66" s="49"/>
      <c r="DB66" s="49"/>
      <c r="DC66" s="49"/>
      <c r="DD66" s="49"/>
      <c r="DE66" s="49"/>
      <c r="DF66" s="49"/>
      <c r="DG66" s="49"/>
      <c r="DH66" s="49"/>
      <c r="DI66" s="49"/>
      <c r="DJ66" s="49"/>
      <c r="DK66" s="49"/>
      <c r="DL66" s="49"/>
      <c r="DM66" s="49"/>
      <c r="DN66" s="49"/>
      <c r="DO66" s="49"/>
      <c r="DP66" s="49"/>
      <c r="DQ66" s="49"/>
      <c r="DR66" s="49"/>
      <c r="DS66" s="49"/>
      <c r="DT66" s="49"/>
      <c r="DU66" s="49"/>
      <c r="DV66" s="49"/>
      <c r="DW66" s="49"/>
      <c r="DX66" s="49"/>
    </row>
    <row r="67" spans="1:128" ht="18" customHeight="1">
      <c r="A67" s="49"/>
      <c r="B67" s="49"/>
      <c r="C67" s="49"/>
      <c r="D67" s="49"/>
      <c r="E67" s="166" t="str">
        <f t="shared" ca="1" si="26"/>
        <v>辰</v>
      </c>
      <c r="F67" s="226" t="str">
        <f t="shared" ca="1" si="27"/>
        <v>2027/4</v>
      </c>
      <c r="G67" s="178" t="str">
        <f ca="1">VLOOKUP(MOD((YEAR(F67)-2024)*12 + MONTH(F67), 60) + 1, [1]大運!$B$31:$C$90, 2, FALSE)</f>
        <v>甲辰</v>
      </c>
      <c r="H67" s="178" t="str">
        <f ca="1">VLOOKUP($F$5 &amp; "+" &amp; (MOD((YEAR(F67)-1900)*12 + MONTH(F67) + 2, 60) + 1), [1]大運!$H$45:$K$3644, 3, FALSE)</f>
        <v>車騎星</v>
      </c>
      <c r="I67" s="221"/>
      <c r="J67" s="178" t="str">
        <f ca="1">VLOOKUP($F$5 &amp; "+" &amp; (MOD((YEAR(F67)-1900)*12 + MONTH(F67), 60) + 1), [1]大運!$H$45:$K$3644, 4, FALSE)</f>
        <v>天南星</v>
      </c>
      <c r="K67" s="221"/>
      <c r="L67" s="222">
        <f t="shared" ca="1" si="28"/>
        <v>4</v>
      </c>
      <c r="M67" s="178" t="str">
        <f ca="1">VLOOKUP($F$5 &amp; "+" &amp; (MOD((YEAR(F67)-1900)*12 + MONTH(F67) + 12, 60) + 1), [1]大運!$H$45:$K$3644, 2, FALSE)</f>
        <v>半会</v>
      </c>
      <c r="N67" s="178" t="str">
        <f ca="1">VLOOKUP($G$5 &amp; "+" &amp; (MOD((YEAR(F67)-1900)*12 + MONTH(F67) + 12, 60) + 1), [1]大運!$H$45:$K$3644, 2, FALSE)</f>
        <v>半会</v>
      </c>
      <c r="O67" s="178" t="str">
        <f ca="1">VLOOKUP($H$5 &amp; "+" &amp; (MOD((YEAR(F67)-1900)*12 + MONTH(F67) + 12, 60) + 1), [1]大運!$H$45:$K$3644, 2, FALSE)</f>
        <v>支合</v>
      </c>
      <c r="P67" s="100" t="str">
        <f t="shared" ca="1" si="29"/>
        <v/>
      </c>
      <c r="Q67" s="172" t="str">
        <f t="shared" ca="1" si="30"/>
        <v/>
      </c>
      <c r="R67" s="172" t="str">
        <f t="shared" ca="1" si="31"/>
        <v/>
      </c>
      <c r="S67" s="172" t="str">
        <f t="shared" ca="1" si="32"/>
        <v/>
      </c>
      <c r="T67" s="135" t="str">
        <f ca="1">INDEX('12運シート'!C:C, MATCH(1, INDEX(('12運シート'!A:A=TRIM($T$42)) * ('12運シート'!B:B=TRIM(E67)), 0), 0))</f>
        <v>財成</v>
      </c>
      <c r="U67" s="224" t="str">
        <f ca="1">INDEX('12運シート'!E:E, MATCH(1, INDEX((TRIM('12運シート'!A:A)=TRIM($T$42)) * (TRIM('12運シート'!B:B)=TRIM(E67)), 0), 0))</f>
        <v>満天</v>
      </c>
      <c r="V67" s="225" t="str">
        <f t="shared" ca="1" si="33"/>
        <v>収穫の喜び。物質や人脈などあらゆる財を蓄積し、強固な基盤を作る。</v>
      </c>
      <c r="W67" s="49"/>
      <c r="X67" s="53"/>
      <c r="Y67" s="49"/>
      <c r="Z67" s="49"/>
      <c r="AA67" s="53"/>
      <c r="AB67" s="53"/>
      <c r="AC67" s="49"/>
      <c r="AD67" s="49"/>
      <c r="AE67" s="166" t="str">
        <f t="shared" si="12"/>
        <v>子</v>
      </c>
      <c r="AF67" s="167">
        <f t="shared" si="5"/>
        <v>51</v>
      </c>
      <c r="AG67" s="168">
        <f t="shared" si="13"/>
        <v>2032</v>
      </c>
      <c r="AH67" s="100" t="str">
        <f>VLOOKUP(AM67,[1]大運!$B$31:$C$90,2,FALSE)</f>
        <v>壬子</v>
      </c>
      <c r="AI67" s="99" t="str">
        <f>VLOOKUP($F$5&amp;"+"&amp;AM67,[1]大運!$H$45:$K$3644,3,FALSE)</f>
        <v>禄存星</v>
      </c>
      <c r="AJ67" s="73"/>
      <c r="AK67" s="99" t="str">
        <f>VLOOKUP($F$5&amp;"+"&amp;AM67,[1]大運!$H$45:$K$3644,4,FALSE)</f>
        <v>天報星</v>
      </c>
      <c r="AL67" s="73"/>
      <c r="AM67" s="171">
        <f t="shared" si="6"/>
        <v>49</v>
      </c>
      <c r="AN67" s="164" t="str">
        <f>VLOOKUP($F$5&amp;"+"&amp;AM67,[1]大運!$H$45:$K$3644,2,FALSE)</f>
        <v>同</v>
      </c>
      <c r="AO67" s="164" t="str">
        <f>VLOOKUP($G$5&amp;"+"&amp;AM67,[1]大運!$H$45:$K$3644,2,FALSE)</f>
        <v>半会</v>
      </c>
      <c r="AP67" s="164" t="str">
        <f>VLOOKUP($H$5&amp;"+"&amp;AM67,[1]大運!$H$45:$K$3644,2,FALSE)</f>
        <v>破</v>
      </c>
      <c r="AQ67" s="100" t="str">
        <f t="shared" si="25"/>
        <v/>
      </c>
      <c r="AR67" s="172" t="str">
        <f t="shared" si="15"/>
        <v/>
      </c>
      <c r="AS67" s="172" t="str">
        <f t="shared" si="16"/>
        <v/>
      </c>
      <c r="AT67" s="172" t="str">
        <f t="shared" si="17"/>
        <v/>
      </c>
      <c r="AU67" s="49" t="str">
        <f>INDEX('12運シート'!C:C, MATCH(1, INDEX(('12運シート'!A:A=TRIM($T$42)) * ('12運シート'!B:B=TRIM(RIGHT(AE67, 1))), 0), 0))</f>
        <v>健弱</v>
      </c>
      <c r="AV67" s="49" t="str">
        <f>INDEX('12運シート'!$E:$E, MATCH(1, INDEX((TRIM('12運シート'!$A:$A)=TRIM($T$42)) * (TRIM('12運シート'!$B:$B)=TRIM(AE67)), 0), 0))</f>
        <v>曇天</v>
      </c>
      <c r="AW67" s="49" t="str">
        <f t="shared" si="18"/>
        <v>運気の勢いに心身が追いつかない小休止。自己治癒の時期。</v>
      </c>
      <c r="AX67" s="49"/>
      <c r="AY67" s="49"/>
      <c r="AZ67" s="166" t="str">
        <f t="shared" ca="1" si="19"/>
        <v>丑</v>
      </c>
      <c r="BA67" s="173">
        <f t="shared" ca="1" si="20"/>
        <v>46193</v>
      </c>
      <c r="BB67" s="174">
        <f t="shared" ca="1" si="7"/>
        <v>2</v>
      </c>
      <c r="BC67" s="174" t="str">
        <f ca="1">VLOOKUP(BB67,[1]大運!$B$31:$C$90,2,FALSE)</f>
        <v>乙丑</v>
      </c>
      <c r="BD67" s="174" t="str">
        <f ca="1">VLOOKUP($F$5 &amp; "+" &amp; (MOD(BA67 - DATE(2024, 1, 1), 60) + 1), [1]大運!$H$45:$K$3644, 3, FALSE)</f>
        <v>牽牛星</v>
      </c>
      <c r="BE67" s="174" t="str">
        <f ca="1">VLOOKUP($F$5 &amp; "+" &amp; (MOD(BA67 - DATE(2024, 1, 1), 60) + 1), [1]大運!$H$45:$K$3644, 4, FALSE)</f>
        <v>天印星</v>
      </c>
      <c r="BF67" s="174" t="str">
        <f ca="1">VLOOKUP($F$5 &amp; "+" &amp; (MOD(BA67 - DATE(2024, 1, 1), 60) + 1), [1]大運!$H$45:$K$3644, 2, FALSE)</f>
        <v>支合</v>
      </c>
      <c r="BG67" s="174" t="str">
        <f ca="1">VLOOKUP($G$5 &amp; "+" &amp; (MOD(BA67 - DATE(2024, 1, 1), 60) + 1), [1]大運!$H$45:$K$3644, 2, FALSE)</f>
        <v>－</v>
      </c>
      <c r="BH67" s="174" t="str">
        <f ca="1">VLOOKUP($H$5 &amp; "+" &amp; (MOD(BA67 - DATE(2024, 1, 1), 60) + 1), [1]大運!$H$45:$K$3644, 2, FALSE)</f>
        <v>半会</v>
      </c>
      <c r="BI67" s="172" t="str">
        <f t="shared" ca="1" si="21"/>
        <v/>
      </c>
      <c r="BJ67" s="172" t="str">
        <f t="shared" ca="1" si="22"/>
        <v/>
      </c>
      <c r="BK67" s="172" t="str">
        <f t="shared" ca="1" si="23"/>
        <v/>
      </c>
      <c r="BL67" s="174" t="str">
        <f ca="1">INDEX('12運シート'!C:C, MATCH(1, INDEX(('12運シート'!A:A=TRIM($T$42)) * ('12運シート'!B:B=TRIM(RIGHT(AZ67, 1))), 0), 0))</f>
        <v>達成</v>
      </c>
      <c r="BM67" s="174" t="str">
        <f ca="1">INDEX('12運シート'!$E:$E, MATCH(1, INDEX((TRIM('12運シート'!$A:$A)=TRIM($T$42)) * (TRIM('12運シート'!$B:$B)=TRIM(AZ67)), 0), 0))</f>
        <v>韋駄天</v>
      </c>
      <c r="BN67" s="49" t="str">
        <f t="shared" ca="1" si="24"/>
        <v>運気絶頂。これまでの努力が実を結び、最高のスポットライトを浴びる。</v>
      </c>
      <c r="BO67" s="49"/>
      <c r="BP67" s="49"/>
      <c r="BQ67" s="49"/>
      <c r="BR67" s="49"/>
      <c r="BS67" s="49"/>
      <c r="BT67" s="49"/>
      <c r="BU67" s="49"/>
      <c r="BV67" s="49"/>
      <c r="BW67" s="49"/>
      <c r="BX67" s="49"/>
      <c r="BY67" s="49"/>
      <c r="BZ67" s="49"/>
      <c r="CA67" s="49"/>
      <c r="CB67" s="49"/>
      <c r="CC67" s="49"/>
      <c r="CD67" s="49"/>
      <c r="CE67" s="49"/>
      <c r="CF67" s="49"/>
      <c r="CG67" s="49"/>
      <c r="CH67" s="49"/>
      <c r="CI67" s="49"/>
      <c r="CJ67" s="49"/>
      <c r="CK67" s="49"/>
      <c r="CL67" s="49"/>
      <c r="CM67" s="49"/>
      <c r="CN67" s="49"/>
      <c r="CO67" s="49"/>
      <c r="CP67" s="49"/>
      <c r="CQ67" s="49"/>
      <c r="CR67" s="49"/>
      <c r="CS67" s="49"/>
      <c r="CT67" s="49"/>
      <c r="CU67" s="49"/>
      <c r="CV67" s="49"/>
      <c r="CW67" s="49"/>
      <c r="CX67" s="49"/>
      <c r="CY67" s="49"/>
      <c r="CZ67" s="49"/>
      <c r="DA67" s="49"/>
      <c r="DB67" s="49"/>
      <c r="DC67" s="49"/>
      <c r="DD67" s="49"/>
      <c r="DE67" s="49"/>
      <c r="DF67" s="49"/>
      <c r="DG67" s="49"/>
      <c r="DH67" s="49"/>
      <c r="DI67" s="49"/>
      <c r="DJ67" s="49"/>
      <c r="DK67" s="49"/>
      <c r="DL67" s="49"/>
      <c r="DM67" s="49"/>
      <c r="DN67" s="49"/>
      <c r="DO67" s="49"/>
      <c r="DP67" s="49"/>
      <c r="DQ67" s="49"/>
      <c r="DR67" s="49"/>
      <c r="DS67" s="49"/>
      <c r="DT67" s="49"/>
      <c r="DU67" s="49"/>
      <c r="DV67" s="49"/>
      <c r="DW67" s="49"/>
      <c r="DX67" s="49"/>
    </row>
    <row r="68" spans="1:128" ht="18" customHeight="1">
      <c r="A68" s="49"/>
      <c r="B68" s="49"/>
      <c r="C68" s="49"/>
      <c r="D68" s="49"/>
      <c r="E68" s="166" t="str">
        <f t="shared" ca="1" si="26"/>
        <v>巳</v>
      </c>
      <c r="F68" s="226" t="str">
        <f t="shared" ca="1" si="27"/>
        <v>2027/5</v>
      </c>
      <c r="G68" s="178" t="str">
        <f ca="1">VLOOKUP(MOD((YEAR(F68)-2024)*12 + MONTH(F68), 60) + 1, [1]大運!$B$31:$C$90, 2, FALSE)</f>
        <v>乙巳</v>
      </c>
      <c r="H68" s="178" t="str">
        <f ca="1">VLOOKUP($F$5 &amp; "+" &amp; (MOD((YEAR(F68)-1900)*12 + MONTH(F68) + 2, 60) + 1), [1]大運!$H$45:$K$3644, 3, FALSE)</f>
        <v>牽牛星</v>
      </c>
      <c r="I68" s="221"/>
      <c r="J68" s="178" t="str">
        <f ca="1">VLOOKUP($F$5 &amp; "+" &amp; (MOD((YEAR(F68)-1900)*12 + MONTH(F68), 60) + 1), [1]大運!$H$45:$K$3644, 4, FALSE)</f>
        <v>天禄星</v>
      </c>
      <c r="K68" s="221"/>
      <c r="L68" s="222">
        <f t="shared" ca="1" si="28"/>
        <v>5</v>
      </c>
      <c r="M68" s="178" t="str">
        <f ca="1">VLOOKUP($F$5 &amp; "+" &amp; (MOD((YEAR(F68)-1900)*12 + MONTH(F68) + 12, 60) + 1), [1]大運!$H$45:$K$3644, 2, FALSE)</f>
        <v>－</v>
      </c>
      <c r="N68" s="178" t="str">
        <f ca="1">VLOOKUP($G$5 &amp; "+" &amp; (MOD((YEAR(F68)-1900)*12 + MONTH(F68) + 12, 60) + 1), [1]大運!$H$45:$K$3644, 2, FALSE)</f>
        <v>支合</v>
      </c>
      <c r="O68" s="178" t="str">
        <f ca="1">VLOOKUP($H$5 &amp; "+" &amp; (MOD((YEAR(F68)-1900)*12 + MONTH(F68) + 12, 60) + 1), [1]大運!$H$45:$K$3644, 2, FALSE)</f>
        <v>半会</v>
      </c>
      <c r="P68" s="100" t="str">
        <f t="shared" ca="1" si="29"/>
        <v/>
      </c>
      <c r="Q68" s="172" t="str">
        <f t="shared" ca="1" si="30"/>
        <v/>
      </c>
      <c r="R68" s="172" t="str">
        <f t="shared" ca="1" si="31"/>
        <v/>
      </c>
      <c r="S68" s="172" t="str">
        <f t="shared" ca="1" si="32"/>
        <v/>
      </c>
      <c r="T68" s="135" t="str">
        <f ca="1">INDEX('12運シート'!C:C, MATCH(1, INDEX(('12運シート'!A:A=TRIM($T$42)) * ('12運シート'!B:B=TRIM(E68)), 0), 0))</f>
        <v>充実</v>
      </c>
      <c r="U68" s="224" t="str">
        <f ca="1">INDEX('12運シート'!E:E, MATCH(1, INDEX((TRIM('12運シート'!A:A)=TRIM($T$42)) * (TRIM('12運シート'!B:B)=TRIM(E68)), 0), 0))</f>
        <v>静天</v>
      </c>
      <c r="V68" s="225" t="str">
        <f t="shared" ca="1" si="33"/>
        <v>成果が出揃う。精神的な安定と充実の中で平和に人生を俯瞰する時期。</v>
      </c>
      <c r="W68" s="49"/>
      <c r="X68" s="53"/>
      <c r="Y68" s="49"/>
      <c r="Z68" s="49"/>
      <c r="AA68" s="53"/>
      <c r="AB68" s="53"/>
      <c r="AC68" s="49"/>
      <c r="AD68" s="49"/>
      <c r="AE68" s="166" t="str">
        <f t="shared" si="12"/>
        <v>丑</v>
      </c>
      <c r="AF68" s="167">
        <f t="shared" si="5"/>
        <v>52</v>
      </c>
      <c r="AG68" s="168">
        <f t="shared" si="13"/>
        <v>2033</v>
      </c>
      <c r="AH68" s="100" t="str">
        <f>VLOOKUP(AM68,[1]大運!$B$31:$C$90,2,FALSE)</f>
        <v>癸丑</v>
      </c>
      <c r="AI68" s="99" t="str">
        <f>VLOOKUP($F$5&amp;"+"&amp;AM68,[1]大運!$H$45:$K$3644,3,FALSE)</f>
        <v>司禄星</v>
      </c>
      <c r="AJ68" s="73"/>
      <c r="AK68" s="99" t="str">
        <f>VLOOKUP($F$5&amp;"+"&amp;AM68,[1]大運!$H$45:$K$3644,4,FALSE)</f>
        <v>天印星</v>
      </c>
      <c r="AL68" s="73"/>
      <c r="AM68" s="171">
        <f t="shared" si="6"/>
        <v>50</v>
      </c>
      <c r="AN68" s="164" t="str">
        <f>VLOOKUP($F$5&amp;"+"&amp;AM68,[1]大運!$H$45:$K$3644,2,FALSE)</f>
        <v>支合</v>
      </c>
      <c r="AO68" s="164" t="str">
        <f>VLOOKUP($G$5&amp;"+"&amp;AM68,[1]大運!$H$45:$K$3644,2,FALSE)</f>
        <v>－</v>
      </c>
      <c r="AP68" s="164" t="str">
        <f>VLOOKUP($H$5&amp;"+"&amp;AM68,[1]大運!$H$45:$K$3644,2,FALSE)</f>
        <v>半会</v>
      </c>
      <c r="AQ68" s="100" t="str">
        <f t="shared" si="25"/>
        <v>日</v>
      </c>
      <c r="AR68" s="172" t="str">
        <f t="shared" si="15"/>
        <v>戊癸干合</v>
      </c>
      <c r="AS68" s="172" t="str">
        <f t="shared" si="16"/>
        <v/>
      </c>
      <c r="AT68" s="172" t="str">
        <f t="shared" si="17"/>
        <v/>
      </c>
      <c r="AU68" s="49" t="str">
        <f>INDEX('12運シート'!C:C, MATCH(1, INDEX(('12運シート'!A:A=TRIM($T$42)) * ('12運シート'!B:B=TRIM(RIGHT(AE68, 1))), 0), 0))</f>
        <v>達成</v>
      </c>
      <c r="AV68" s="49" t="str">
        <f>INDEX('12運シート'!$E:$E, MATCH(1, INDEX((TRIM('12運シート'!$A:$A)=TRIM($T$42)) * (TRIM('12運シート'!$B:$B)=TRIM(AE68)), 0), 0))</f>
        <v>韋駄天</v>
      </c>
      <c r="AW68" s="49" t="str">
        <f t="shared" si="18"/>
        <v>運気絶頂。これまでの努力が実を結び、最高のスポットライトを浴びる。</v>
      </c>
      <c r="AX68" s="49"/>
      <c r="AY68" s="49"/>
      <c r="AZ68" s="166" t="str">
        <f t="shared" ca="1" si="19"/>
        <v>寅</v>
      </c>
      <c r="BA68" s="173">
        <f t="shared" ca="1" si="20"/>
        <v>46194</v>
      </c>
      <c r="BB68" s="174">
        <f t="shared" ca="1" si="7"/>
        <v>3</v>
      </c>
      <c r="BC68" s="174" t="str">
        <f ca="1">VLOOKUP(BB68,[1]大運!$B$31:$C$90,2,FALSE)</f>
        <v>丙寅</v>
      </c>
      <c r="BD68" s="174" t="str">
        <f ca="1">VLOOKUP($F$5 &amp; "+" &amp; (MOD(BA68 - DATE(2024, 1, 1), 60) + 1), [1]大運!$H$45:$K$3644, 3, FALSE)</f>
        <v>龍高星</v>
      </c>
      <c r="BE68" s="174" t="str">
        <f ca="1">VLOOKUP($F$5 &amp; "+" &amp; (MOD(BA68 - DATE(2024, 1, 1), 60) + 1), [1]大運!$H$45:$K$3644, 4, FALSE)</f>
        <v>天貴星</v>
      </c>
      <c r="BF68" s="174" t="str">
        <f ca="1">VLOOKUP($F$5 &amp; "+" &amp; (MOD(BA68 - DATE(2024, 1, 1), 60) + 1), [1]大運!$H$45:$K$3644, 2, FALSE)</f>
        <v>－</v>
      </c>
      <c r="BG68" s="174" t="str">
        <f ca="1">VLOOKUP($G$5 &amp; "+" &amp; (MOD(BA68 - DATE(2024, 1, 1), 60) + 1), [1]大運!$H$45:$K$3644, 2, FALSE)</f>
        <v>納音</v>
      </c>
      <c r="BH68" s="174" t="str">
        <f ca="1">VLOOKUP($H$5 &amp; "+" &amp; (MOD(BA68 - DATE(2024, 1, 1), 60) + 1), [1]大運!$H$45:$K$3644, 2, FALSE)</f>
        <v>－</v>
      </c>
      <c r="BI68" s="172" t="str">
        <f t="shared" ca="1" si="21"/>
        <v/>
      </c>
      <c r="BJ68" s="172" t="str">
        <f t="shared" ca="1" si="22"/>
        <v/>
      </c>
      <c r="BK68" s="172" t="str">
        <f t="shared" ca="1" si="23"/>
        <v>丙辛干合</v>
      </c>
      <c r="BL68" s="174" t="str">
        <f ca="1">INDEX('12運シート'!C:C, MATCH(1, INDEX(('12運シート'!A:A=TRIM($T$42)) * ('12運シート'!B:B=TRIM(RIGHT(AZ68, 1))), 0), 0))</f>
        <v>乱気</v>
      </c>
      <c r="BM68" s="174" t="str">
        <f ca="1">INDEX('12運シート'!$E:$E, MATCH(1, INDEX((TRIM('12運シート'!$A:$A)=TRIM($T$42)) * (TRIM('12運シート'!$B:$B)=TRIM(AZ68)), 0), 0))</f>
        <v>伏魔天</v>
      </c>
      <c r="BN68" s="49" t="str">
        <f t="shared" ca="1" si="24"/>
        <v>強すぎる運気の反動で迷いや摩擦が生じる。理性と現状維持が必要な嵐。</v>
      </c>
      <c r="BO68" s="49"/>
      <c r="BP68" s="49"/>
      <c r="BQ68" s="49"/>
      <c r="BR68" s="49"/>
      <c r="BS68" s="49"/>
      <c r="BT68" s="49"/>
      <c r="BU68" s="49"/>
      <c r="BV68" s="49"/>
      <c r="BW68" s="49"/>
      <c r="BX68" s="49"/>
      <c r="BY68" s="49"/>
      <c r="BZ68" s="49"/>
      <c r="CA68" s="49"/>
      <c r="CB68" s="49"/>
      <c r="CC68" s="49"/>
      <c r="CD68" s="49"/>
      <c r="CE68" s="49"/>
      <c r="CF68" s="49"/>
      <c r="CG68" s="49"/>
      <c r="CH68" s="49"/>
      <c r="CI68" s="49"/>
      <c r="CJ68" s="49"/>
      <c r="CK68" s="49"/>
      <c r="CL68" s="49"/>
      <c r="CM68" s="49"/>
      <c r="CN68" s="49"/>
      <c r="CO68" s="49"/>
      <c r="CP68" s="49"/>
      <c r="CQ68" s="49"/>
      <c r="CR68" s="49"/>
      <c r="CS68" s="49"/>
      <c r="CT68" s="49"/>
      <c r="CU68" s="49"/>
      <c r="CV68" s="49"/>
      <c r="CW68" s="49"/>
      <c r="CX68" s="49"/>
      <c r="CY68" s="49"/>
      <c r="CZ68" s="49"/>
      <c r="DA68" s="49"/>
      <c r="DB68" s="49"/>
      <c r="DC68" s="49"/>
      <c r="DD68" s="49"/>
      <c r="DE68" s="49"/>
      <c r="DF68" s="49"/>
      <c r="DG68" s="49"/>
      <c r="DH68" s="49"/>
      <c r="DI68" s="49"/>
      <c r="DJ68" s="49"/>
      <c r="DK68" s="49"/>
      <c r="DL68" s="49"/>
      <c r="DM68" s="49"/>
      <c r="DN68" s="49"/>
      <c r="DO68" s="49"/>
      <c r="DP68" s="49"/>
      <c r="DQ68" s="49"/>
      <c r="DR68" s="49"/>
      <c r="DS68" s="49"/>
      <c r="DT68" s="49"/>
      <c r="DU68" s="49"/>
      <c r="DV68" s="49"/>
      <c r="DW68" s="49"/>
      <c r="DX68" s="49"/>
    </row>
    <row r="69" spans="1:128" ht="18" customHeight="1">
      <c r="A69" s="49"/>
      <c r="B69" s="49"/>
      <c r="C69" s="49"/>
      <c r="D69" s="49"/>
      <c r="E69" s="166" t="str">
        <f t="shared" ca="1" si="26"/>
        <v>午</v>
      </c>
      <c r="F69" s="226" t="str">
        <f t="shared" ca="1" si="27"/>
        <v>2027/6</v>
      </c>
      <c r="G69" s="178" t="str">
        <f ca="1">VLOOKUP(MOD((YEAR(F69)-2024)*12 + MONTH(F69), 60) + 1, [1]大運!$B$31:$C$90, 2, FALSE)</f>
        <v>丙午</v>
      </c>
      <c r="H69" s="178" t="str">
        <f ca="1">VLOOKUP($F$5 &amp; "+" &amp; (MOD((YEAR(F69)-1900)*12 + MONTH(F69) + 2, 60) + 1), [1]大運!$H$45:$K$3644, 3, FALSE)</f>
        <v>龍高星</v>
      </c>
      <c r="I69" s="221"/>
      <c r="J69" s="178" t="str">
        <f ca="1">VLOOKUP($F$5 &amp; "+" &amp; (MOD((YEAR(F69)-1900)*12 + MONTH(F69), 60) + 1), [1]大運!$H$45:$K$3644, 4, FALSE)</f>
        <v>天将星</v>
      </c>
      <c r="K69" s="221"/>
      <c r="L69" s="222">
        <f t="shared" ca="1" si="28"/>
        <v>6</v>
      </c>
      <c r="M69" s="178" t="str">
        <f ca="1">VLOOKUP($F$5 &amp; "+" &amp; (MOD((YEAR(F69)-1900)*12 + MONTH(F69) + 12, 60) + 1), [1]大運!$H$45:$K$3644, 2, FALSE)</f>
        <v>対冲</v>
      </c>
      <c r="N69" s="178" t="str">
        <f ca="1">VLOOKUP($G$5 &amp; "+" &amp; (MOD((YEAR(F69)-1900)*12 + MONTH(F69) + 12, 60) + 1), [1]大運!$H$45:$K$3644, 2, FALSE)</f>
        <v>－</v>
      </c>
      <c r="O69" s="178" t="str">
        <f ca="1">VLOOKUP($H$5 &amp; "+" &amp; (MOD((YEAR(F69)-1900)*12 + MONTH(F69) + 12, 60) + 1), [1]大運!$H$45:$K$3644, 2, FALSE)</f>
        <v>－</v>
      </c>
      <c r="P69" s="100" t="str">
        <f t="shared" ca="1" si="29"/>
        <v>殺</v>
      </c>
      <c r="Q69" s="172" t="str">
        <f t="shared" ca="1" si="30"/>
        <v/>
      </c>
      <c r="R69" s="172" t="str">
        <f t="shared" ca="1" si="31"/>
        <v/>
      </c>
      <c r="S69" s="172" t="str">
        <f t="shared" ca="1" si="32"/>
        <v>丙辛干合</v>
      </c>
      <c r="T69" s="135" t="str">
        <f ca="1">INDEX('12運シート'!C:C, MATCH(1, INDEX(('12運シート'!A:A=TRIM($T$42)) * ('12運シート'!B:B=TRIM(E69)), 0), 0))</f>
        <v>陰影</v>
      </c>
      <c r="U69" s="224" t="str">
        <f ca="1">INDEX('12運シート'!E:E, MATCH(1, INDEX((TRIM('12運シート'!A:A)=TRIM($T$42)) * (TRIM('12運シート'!B:B)=TRIM(E69)), 0), 0))</f>
        <v>暗天</v>
      </c>
      <c r="V69" s="225" t="str">
        <f t="shared" ca="1" si="33"/>
        <v>運気下降（運の冬入り）。孤独を感じやすいが水面下の自己鍛錬が必要。</v>
      </c>
      <c r="W69" s="49"/>
      <c r="X69" s="53"/>
      <c r="Y69" s="49"/>
      <c r="Z69" s="49"/>
      <c r="AA69" s="53"/>
      <c r="AB69" s="53"/>
      <c r="AC69" s="49"/>
      <c r="AD69" s="49"/>
      <c r="AE69" s="166" t="str">
        <f t="shared" si="12"/>
        <v>寅</v>
      </c>
      <c r="AF69" s="167">
        <f t="shared" si="5"/>
        <v>53</v>
      </c>
      <c r="AG69" s="168">
        <f t="shared" si="13"/>
        <v>2034</v>
      </c>
      <c r="AH69" s="100" t="str">
        <f>VLOOKUP(AM69,[1]大運!$B$31:$C$90,2,FALSE)</f>
        <v>甲寅</v>
      </c>
      <c r="AI69" s="99" t="str">
        <f>VLOOKUP($F$5&amp;"+"&amp;AM69,[1]大運!$H$45:$K$3644,3,FALSE)</f>
        <v>車騎星</v>
      </c>
      <c r="AJ69" s="73"/>
      <c r="AK69" s="99" t="str">
        <f>VLOOKUP($F$5&amp;"+"&amp;AM69,[1]大運!$H$45:$K$3644,4,FALSE)</f>
        <v>天貴星</v>
      </c>
      <c r="AL69" s="73"/>
      <c r="AM69" s="171">
        <f t="shared" si="6"/>
        <v>51</v>
      </c>
      <c r="AN69" s="164" t="str">
        <f>VLOOKUP($F$5&amp;"+"&amp;AM69,[1]大運!$H$45:$K$3644,2,FALSE)</f>
        <v>－</v>
      </c>
      <c r="AO69" s="164" t="str">
        <f>VLOOKUP($G$5&amp;"+"&amp;AM69,[1]大運!$H$45:$K$3644,2,FALSE)</f>
        <v>対冲</v>
      </c>
      <c r="AP69" s="164" t="str">
        <f>VLOOKUP($H$5&amp;"+"&amp;AM69,[1]大運!$H$45:$K$3644,2,FALSE)</f>
        <v>－</v>
      </c>
      <c r="AQ69" s="100" t="str">
        <f t="shared" si="25"/>
        <v/>
      </c>
      <c r="AR69" s="172" t="str">
        <f t="shared" si="15"/>
        <v/>
      </c>
      <c r="AS69" s="172" t="str">
        <f t="shared" si="16"/>
        <v/>
      </c>
      <c r="AT69" s="172" t="str">
        <f t="shared" si="17"/>
        <v/>
      </c>
      <c r="AU69" s="49" t="str">
        <f>INDEX('12運シート'!C:C, MATCH(1, INDEX(('12運シート'!A:A=TRIM($T$42)) * ('12運シート'!B:B=TRIM(RIGHT(AE69, 1))), 0), 0))</f>
        <v>乱気</v>
      </c>
      <c r="AV69" s="49" t="str">
        <f>INDEX('12運シート'!$E:$E, MATCH(1, INDEX((TRIM('12運シート'!$A:$A)=TRIM($T$42)) * (TRIM('12運シート'!$B:$B)=TRIM(AE69)), 0), 0))</f>
        <v>伏魔天</v>
      </c>
      <c r="AW69" s="49" t="str">
        <f t="shared" si="18"/>
        <v>強すぎる運気の反動で迷いや摩擦が生じる。理性と現状維持が必要な嵐。</v>
      </c>
      <c r="AX69" s="49"/>
      <c r="AY69" s="49"/>
      <c r="AZ69" s="166" t="str">
        <f t="shared" ca="1" si="19"/>
        <v>卯</v>
      </c>
      <c r="BA69" s="173">
        <f t="shared" ca="1" si="20"/>
        <v>46195</v>
      </c>
      <c r="BB69" s="174">
        <f t="shared" ca="1" si="7"/>
        <v>4</v>
      </c>
      <c r="BC69" s="174" t="str">
        <f ca="1">VLOOKUP(BB69,[1]大運!$B$31:$C$90,2,FALSE)</f>
        <v>丁卯</v>
      </c>
      <c r="BD69" s="174" t="str">
        <f ca="1">VLOOKUP($F$5 &amp; "+" &amp; (MOD(BA69 - DATE(2024, 1, 1), 60) + 1), [1]大運!$H$45:$K$3644, 3, FALSE)</f>
        <v>玉堂星</v>
      </c>
      <c r="BE69" s="174" t="str">
        <f ca="1">VLOOKUP($F$5 &amp; "+" &amp; (MOD(BA69 - DATE(2024, 1, 1), 60) + 1), [1]大運!$H$45:$K$3644, 4, FALSE)</f>
        <v>天恍星</v>
      </c>
      <c r="BF69" s="174" t="str">
        <f ca="1">VLOOKUP($F$5 &amp; "+" &amp; (MOD(BA69 - DATE(2024, 1, 1), 60) + 1), [1]大運!$H$45:$K$3644, 2, FALSE)</f>
        <v>刑</v>
      </c>
      <c r="BG69" s="174" t="str">
        <f ca="1">VLOOKUP($G$5 &amp; "+" &amp; (MOD(BA69 - DATE(2024, 1, 1), 60) + 1), [1]大運!$H$45:$K$3644, 2, FALSE)</f>
        <v>－</v>
      </c>
      <c r="BH69" s="174" t="str">
        <f ca="1">VLOOKUP($H$5 &amp; "+" &amp; (MOD(BA69 - DATE(2024, 1, 1), 60) + 1), [1]大運!$H$45:$K$3644, 2, FALSE)</f>
        <v>天剋地冲</v>
      </c>
      <c r="BI69" s="172" t="str">
        <f t="shared" ca="1" si="21"/>
        <v/>
      </c>
      <c r="BJ69" s="172" t="str">
        <f t="shared" ca="1" si="22"/>
        <v/>
      </c>
      <c r="BK69" s="172" t="str">
        <f t="shared" ca="1" si="23"/>
        <v/>
      </c>
      <c r="BL69" s="174" t="str">
        <f ca="1">INDEX('12運シート'!C:C, MATCH(1, INDEX(('12運シート'!A:A=TRIM($T$42)) * ('12運シート'!B:B=TRIM(RIGHT(AZ69, 1))), 0), 0))</f>
        <v>再会</v>
      </c>
      <c r="BM69" s="174" t="str">
        <f ca="1">INDEX('12運シート'!$E:$E, MATCH(1, INDEX((TRIM('12運シート'!$A:$A)=TRIM($T$42)) * (TRIM('12運シート'!$B:$B)=TRIM(AZ69)), 0), 0))</f>
        <v>有頂天</v>
      </c>
      <c r="BN69" s="49" t="str">
        <f t="shared" ca="1" si="24"/>
        <v>第2の絶頂期。過去の縁が繋がり、周囲を巻き込み大きな成果を出す。</v>
      </c>
      <c r="BO69" s="49"/>
      <c r="BP69" s="49"/>
      <c r="BQ69" s="49"/>
      <c r="BR69" s="49"/>
      <c r="BS69" s="49"/>
      <c r="BT69" s="49"/>
      <c r="BU69" s="49"/>
      <c r="BV69" s="49"/>
      <c r="BW69" s="49"/>
      <c r="BX69" s="49"/>
      <c r="BY69" s="49"/>
      <c r="BZ69" s="49"/>
      <c r="CA69" s="49"/>
      <c r="CB69" s="49"/>
      <c r="CC69" s="49"/>
      <c r="CD69" s="49"/>
      <c r="CE69" s="49"/>
      <c r="CF69" s="49"/>
      <c r="CG69" s="49"/>
      <c r="CH69" s="49"/>
      <c r="CI69" s="49"/>
      <c r="CJ69" s="49"/>
      <c r="CK69" s="49"/>
      <c r="CL69" s="49"/>
      <c r="CM69" s="49"/>
      <c r="CN69" s="49"/>
      <c r="CO69" s="49"/>
      <c r="CP69" s="49"/>
      <c r="CQ69" s="49"/>
      <c r="CR69" s="49"/>
      <c r="CS69" s="49"/>
      <c r="CT69" s="49"/>
      <c r="CU69" s="49"/>
      <c r="CV69" s="49"/>
      <c r="CW69" s="49"/>
      <c r="CX69" s="49"/>
      <c r="CY69" s="49"/>
      <c r="CZ69" s="49"/>
      <c r="DA69" s="49"/>
      <c r="DB69" s="49"/>
      <c r="DC69" s="49"/>
      <c r="DD69" s="49"/>
      <c r="DE69" s="49"/>
      <c r="DF69" s="49"/>
      <c r="DG69" s="49"/>
      <c r="DH69" s="49"/>
      <c r="DI69" s="49"/>
      <c r="DJ69" s="49"/>
      <c r="DK69" s="49"/>
      <c r="DL69" s="49"/>
      <c r="DM69" s="49"/>
      <c r="DN69" s="49"/>
      <c r="DO69" s="49"/>
      <c r="DP69" s="49"/>
      <c r="DQ69" s="49"/>
      <c r="DR69" s="49"/>
      <c r="DS69" s="49"/>
      <c r="DT69" s="49"/>
      <c r="DU69" s="49"/>
      <c r="DV69" s="49"/>
      <c r="DW69" s="49"/>
      <c r="DX69" s="49"/>
    </row>
    <row r="70" spans="1:128" ht="18" customHeight="1">
      <c r="A70" s="49"/>
      <c r="B70" s="49"/>
      <c r="C70" s="49"/>
      <c r="D70" s="49"/>
      <c r="E70" s="49"/>
      <c r="F70" s="49"/>
      <c r="G70" s="49"/>
      <c r="H70" s="49"/>
      <c r="I70" s="49"/>
      <c r="J70" s="49"/>
      <c r="K70" s="49"/>
      <c r="L70" s="49"/>
      <c r="M70" s="178"/>
      <c r="N70" s="178"/>
      <c r="O70" s="178"/>
      <c r="P70" s="49"/>
      <c r="Q70" s="49"/>
      <c r="R70" s="49"/>
      <c r="S70" s="49"/>
      <c r="T70" s="49"/>
      <c r="U70" s="52"/>
      <c r="V70" s="49"/>
      <c r="W70" s="49"/>
      <c r="X70" s="53"/>
      <c r="Y70" s="49"/>
      <c r="Z70" s="49"/>
      <c r="AA70" s="53"/>
      <c r="AB70" s="53"/>
      <c r="AC70" s="49"/>
      <c r="AD70" s="49"/>
      <c r="AE70" s="166" t="str">
        <f t="shared" si="12"/>
        <v>卯</v>
      </c>
      <c r="AF70" s="167">
        <f t="shared" si="5"/>
        <v>54</v>
      </c>
      <c r="AG70" s="168">
        <f t="shared" si="13"/>
        <v>2035</v>
      </c>
      <c r="AH70" s="100" t="str">
        <f>VLOOKUP(AM70,[1]大運!$B$31:$C$90,2,FALSE)</f>
        <v>乙卯</v>
      </c>
      <c r="AI70" s="99" t="str">
        <f>VLOOKUP($F$5&amp;"+"&amp;AM70,[1]大運!$H$45:$K$3644,3,FALSE)</f>
        <v>牽牛星</v>
      </c>
      <c r="AJ70" s="73"/>
      <c r="AK70" s="99" t="str">
        <f>VLOOKUP($F$5&amp;"+"&amp;AM70,[1]大運!$H$45:$K$3644,4,FALSE)</f>
        <v>天恍星</v>
      </c>
      <c r="AL70" s="73"/>
      <c r="AM70" s="171">
        <f t="shared" si="6"/>
        <v>52</v>
      </c>
      <c r="AN70" s="164" t="str">
        <f>VLOOKUP($F$5&amp;"+"&amp;AM70,[1]大運!$H$45:$K$3644,2,FALSE)</f>
        <v>刑</v>
      </c>
      <c r="AO70" s="164" t="str">
        <f>VLOOKUP($G$5&amp;"+"&amp;AM70,[1]大運!$H$45:$K$3644,2,FALSE)</f>
        <v>－</v>
      </c>
      <c r="AP70" s="164" t="str">
        <f>VLOOKUP($H$5&amp;"+"&amp;AM70,[1]大運!$H$45:$K$3644,2,FALSE)</f>
        <v>天剋地冲</v>
      </c>
      <c r="AQ70" s="100" t="str">
        <f t="shared" si="25"/>
        <v/>
      </c>
      <c r="AR70" s="172" t="str">
        <f t="shared" si="15"/>
        <v/>
      </c>
      <c r="AS70" s="172" t="str">
        <f t="shared" si="16"/>
        <v/>
      </c>
      <c r="AT70" s="172" t="str">
        <f t="shared" si="17"/>
        <v/>
      </c>
      <c r="AU70" s="49" t="str">
        <f>INDEX('12運シート'!C:C, MATCH(1, INDEX(('12運シート'!A:A=TRIM($T$42)) * ('12運シート'!B:B=TRIM(RIGHT(AE70, 1))), 0), 0))</f>
        <v>再会</v>
      </c>
      <c r="AV70" s="49" t="str">
        <f>INDEX('12運シート'!$E:$E, MATCH(1, INDEX((TRIM('12運シート'!$A:$A)=TRIM($T$42)) * (TRIM('12運シート'!$B:$B)=TRIM(AE70)), 0), 0))</f>
        <v>有頂天</v>
      </c>
      <c r="AW70" s="49" t="str">
        <f t="shared" si="18"/>
        <v>第2の絶頂期。過去の縁が繋がり、周囲を巻き込み大きな成果を出す。</v>
      </c>
      <c r="AX70" s="49"/>
      <c r="AY70" s="49"/>
      <c r="AZ70" s="166" t="str">
        <f t="shared" ca="1" si="19"/>
        <v>辰</v>
      </c>
      <c r="BA70" s="173">
        <f t="shared" ca="1" si="20"/>
        <v>46196</v>
      </c>
      <c r="BB70" s="174">
        <f t="shared" ca="1" si="7"/>
        <v>5</v>
      </c>
      <c r="BC70" s="174" t="str">
        <f ca="1">VLOOKUP(BB70,[1]大運!$B$31:$C$90,2,FALSE)</f>
        <v>戊辰</v>
      </c>
      <c r="BD70" s="174" t="str">
        <f ca="1">VLOOKUP($F$5 &amp; "+" &amp; (MOD(BA70 - DATE(2024, 1, 1), 60) + 1), [1]大運!$H$45:$K$3644, 3, FALSE)</f>
        <v>貫索星</v>
      </c>
      <c r="BE70" s="174" t="str">
        <f ca="1">VLOOKUP($F$5 &amp; "+" &amp; (MOD(BA70 - DATE(2024, 1, 1), 60) + 1), [1]大運!$H$45:$K$3644, 4, FALSE)</f>
        <v>天南星</v>
      </c>
      <c r="BF70" s="174" t="str">
        <f ca="1">VLOOKUP($F$5 &amp; "+" &amp; (MOD(BA70 - DATE(2024, 1, 1), 60) + 1), [1]大運!$H$45:$K$3644, 2, FALSE)</f>
        <v>大半会</v>
      </c>
      <c r="BG70" s="174" t="str">
        <f ca="1">VLOOKUP($G$5 &amp; "+" &amp; (MOD(BA70 - DATE(2024, 1, 1), 60) + 1), [1]大運!$H$45:$K$3644, 2, FALSE)</f>
        <v>半会</v>
      </c>
      <c r="BH70" s="174" t="str">
        <f ca="1">VLOOKUP($H$5 &amp; "+" &amp; (MOD(BA70 - DATE(2024, 1, 1), 60) + 1), [1]大運!$H$45:$K$3644, 2, FALSE)</f>
        <v>支合</v>
      </c>
      <c r="BI70" s="172" t="str">
        <f t="shared" ca="1" si="21"/>
        <v/>
      </c>
      <c r="BJ70" s="172" t="str">
        <f t="shared" ca="1" si="22"/>
        <v/>
      </c>
      <c r="BK70" s="172" t="str">
        <f t="shared" ca="1" si="23"/>
        <v/>
      </c>
      <c r="BL70" s="174" t="str">
        <f ca="1">INDEX('12運シート'!C:C, MATCH(1, INDEX(('12運シート'!A:A=TRIM($T$42)) * ('12運シート'!B:B=TRIM(RIGHT(AZ70, 1))), 0), 0))</f>
        <v>財成</v>
      </c>
      <c r="BM70" s="174" t="str">
        <f ca="1">INDEX('12運シート'!$E:$E, MATCH(1, INDEX((TRIM('12運シート'!$A:$A)=TRIM($T$42)) * (TRIM('12運シート'!$B:$B)=TRIM(AZ70)), 0), 0))</f>
        <v>満天</v>
      </c>
      <c r="BN70" s="49" t="str">
        <f t="shared" ca="1" si="24"/>
        <v>収穫の喜び。物質や人脈などあらゆる財を蓄積し、強固な基盤を作る。</v>
      </c>
      <c r="BO70" s="49"/>
      <c r="BP70" s="49"/>
      <c r="BQ70" s="49"/>
      <c r="BR70" s="49"/>
      <c r="BS70" s="49"/>
      <c r="BT70" s="49"/>
      <c r="BU70" s="49"/>
      <c r="BV70" s="49"/>
      <c r="BW70" s="49"/>
      <c r="BX70" s="49"/>
      <c r="BY70" s="49"/>
      <c r="BZ70" s="49"/>
      <c r="CA70" s="49"/>
      <c r="CB70" s="49"/>
      <c r="CC70" s="49"/>
      <c r="CD70" s="49"/>
      <c r="CE70" s="49"/>
      <c r="CF70" s="49"/>
      <c r="CG70" s="49"/>
      <c r="CH70" s="49"/>
      <c r="CI70" s="49"/>
      <c r="CJ70" s="49"/>
      <c r="CK70" s="49"/>
      <c r="CL70" s="49"/>
      <c r="CM70" s="49"/>
      <c r="CN70" s="49"/>
      <c r="CO70" s="49"/>
      <c r="CP70" s="49"/>
      <c r="CQ70" s="49"/>
      <c r="CR70" s="49"/>
      <c r="CS70" s="49"/>
      <c r="CT70" s="49"/>
      <c r="CU70" s="49"/>
      <c r="CV70" s="49"/>
      <c r="CW70" s="49"/>
      <c r="CX70" s="49"/>
      <c r="CY70" s="49"/>
      <c r="CZ70" s="49"/>
      <c r="DA70" s="49"/>
      <c r="DB70" s="49"/>
      <c r="DC70" s="49"/>
      <c r="DD70" s="49"/>
      <c r="DE70" s="49"/>
      <c r="DF70" s="49"/>
      <c r="DG70" s="49"/>
      <c r="DH70" s="49"/>
      <c r="DI70" s="49"/>
      <c r="DJ70" s="49"/>
      <c r="DK70" s="49"/>
      <c r="DL70" s="49"/>
      <c r="DM70" s="49"/>
      <c r="DN70" s="49"/>
      <c r="DO70" s="49"/>
      <c r="DP70" s="49"/>
      <c r="DQ70" s="49"/>
      <c r="DR70" s="49"/>
      <c r="DS70" s="49"/>
      <c r="DT70" s="49"/>
      <c r="DU70" s="49"/>
      <c r="DV70" s="49"/>
      <c r="DW70" s="49"/>
      <c r="DX70" s="49"/>
    </row>
    <row r="71" spans="1:128" ht="18" customHeight="1">
      <c r="A71" s="49"/>
      <c r="B71" s="49"/>
      <c r="C71" s="49"/>
      <c r="D71" s="49"/>
      <c r="E71" s="49"/>
      <c r="F71" s="49"/>
      <c r="G71" s="49"/>
      <c r="H71" s="49"/>
      <c r="I71" s="49"/>
      <c r="J71" s="49"/>
      <c r="K71" s="49"/>
      <c r="L71" s="49"/>
      <c r="M71" s="49"/>
      <c r="N71" s="49"/>
      <c r="O71" s="49"/>
      <c r="P71" s="49"/>
      <c r="Q71" s="49"/>
      <c r="R71" s="49"/>
      <c r="S71" s="49"/>
      <c r="T71" s="49"/>
      <c r="U71" s="52"/>
      <c r="V71" s="49"/>
      <c r="W71" s="49"/>
      <c r="X71" s="53"/>
      <c r="Y71" s="49"/>
      <c r="Z71" s="49"/>
      <c r="AA71" s="53"/>
      <c r="AB71" s="53"/>
      <c r="AC71" s="49"/>
      <c r="AD71" s="49"/>
      <c r="AE71" s="166" t="str">
        <f t="shared" si="12"/>
        <v>辰</v>
      </c>
      <c r="AF71" s="167">
        <f t="shared" si="5"/>
        <v>55</v>
      </c>
      <c r="AG71" s="168">
        <f t="shared" si="13"/>
        <v>2036</v>
      </c>
      <c r="AH71" s="100" t="str">
        <f>VLOOKUP(AM71,[1]大運!$B$31:$C$90,2,FALSE)</f>
        <v>丙辰</v>
      </c>
      <c r="AI71" s="99" t="str">
        <f>VLOOKUP($F$5&amp;"+"&amp;AM71,[1]大運!$H$45:$K$3644,3,FALSE)</f>
        <v>龍高星</v>
      </c>
      <c r="AJ71" s="73"/>
      <c r="AK71" s="99" t="str">
        <f>VLOOKUP($F$5&amp;"+"&amp;AM71,[1]大運!$H$45:$K$3644,4,FALSE)</f>
        <v>天南星</v>
      </c>
      <c r="AL71" s="73"/>
      <c r="AM71" s="171">
        <f t="shared" si="6"/>
        <v>53</v>
      </c>
      <c r="AN71" s="164" t="str">
        <f>VLOOKUP($F$5&amp;"+"&amp;AM71,[1]大運!$H$45:$K$3644,2,FALSE)</f>
        <v>半会</v>
      </c>
      <c r="AO71" s="164" t="str">
        <f>VLOOKUP($G$5&amp;"+"&amp;AM71,[1]大運!$H$45:$K$3644,2,FALSE)</f>
        <v>大半会</v>
      </c>
      <c r="AP71" s="164" t="str">
        <f>VLOOKUP($H$5&amp;"+"&amp;AM71,[1]大運!$H$45:$K$3644,2,FALSE)</f>
        <v>支合</v>
      </c>
      <c r="AQ71" s="100" t="str">
        <f t="shared" si="25"/>
        <v>年</v>
      </c>
      <c r="AR71" s="172" t="str">
        <f t="shared" si="15"/>
        <v/>
      </c>
      <c r="AS71" s="172" t="str">
        <f t="shared" si="16"/>
        <v/>
      </c>
      <c r="AT71" s="172" t="str">
        <f t="shared" si="17"/>
        <v>丙辛干合</v>
      </c>
      <c r="AU71" s="49" t="str">
        <f>INDEX('12運シート'!C:C, MATCH(1, INDEX(('12運シート'!A:A=TRIM($T$42)) * ('12運シート'!B:B=TRIM(RIGHT(AE71, 1))), 0), 0))</f>
        <v>財成</v>
      </c>
      <c r="AV71" s="49" t="str">
        <f>INDEX('12運シート'!$E:$E, MATCH(1, INDEX((TRIM('12運シート'!$A:$A)=TRIM($T$42)) * (TRIM('12運シート'!$B:$B)=TRIM(AE71)), 0), 0))</f>
        <v>満天</v>
      </c>
      <c r="AW71" s="49" t="str">
        <f t="shared" si="18"/>
        <v>収穫の喜び。物質や人脈などあらゆる財を蓄積し、強固な基盤を作る。</v>
      </c>
      <c r="AX71" s="49"/>
      <c r="AY71" s="49"/>
      <c r="AZ71" s="166" t="str">
        <f t="shared" ca="1" si="19"/>
        <v>巳</v>
      </c>
      <c r="BA71" s="173">
        <f t="shared" ca="1" si="20"/>
        <v>46197</v>
      </c>
      <c r="BB71" s="174">
        <f t="shared" ca="1" si="7"/>
        <v>6</v>
      </c>
      <c r="BC71" s="174" t="str">
        <f ca="1">VLOOKUP(BB71,[1]大運!$B$31:$C$90,2,FALSE)</f>
        <v>己巳</v>
      </c>
      <c r="BD71" s="174" t="str">
        <f ca="1">VLOOKUP($F$5 &amp; "+" &amp; (MOD(BA71 - DATE(2024, 1, 1), 60) + 1), [1]大運!$H$45:$K$3644, 3, FALSE)</f>
        <v>石門星</v>
      </c>
      <c r="BE71" s="174" t="str">
        <f ca="1">VLOOKUP($F$5 &amp; "+" &amp; (MOD(BA71 - DATE(2024, 1, 1), 60) + 1), [1]大運!$H$45:$K$3644, 4, FALSE)</f>
        <v>天禄星</v>
      </c>
      <c r="BF71" s="174" t="str">
        <f ca="1">VLOOKUP($F$5 &amp; "+" &amp; (MOD(BA71 - DATE(2024, 1, 1), 60) + 1), [1]大運!$H$45:$K$3644, 2, FALSE)</f>
        <v>－</v>
      </c>
      <c r="BG71" s="174" t="str">
        <f ca="1">VLOOKUP($G$5 &amp; "+" &amp; (MOD(BA71 - DATE(2024, 1, 1), 60) + 1), [1]大運!$H$45:$K$3644, 2, FALSE)</f>
        <v>支合</v>
      </c>
      <c r="BH71" s="174" t="str">
        <f ca="1">VLOOKUP($H$5 &amp; "+" &amp; (MOD(BA71 - DATE(2024, 1, 1), 60) + 1), [1]大運!$H$45:$K$3644, 2, FALSE)</f>
        <v>半会</v>
      </c>
      <c r="BI71" s="172" t="str">
        <f t="shared" ca="1" si="21"/>
        <v/>
      </c>
      <c r="BJ71" s="172" t="str">
        <f t="shared" ca="1" si="22"/>
        <v/>
      </c>
      <c r="BK71" s="172" t="str">
        <f t="shared" ca="1" si="23"/>
        <v/>
      </c>
      <c r="BL71" s="174" t="str">
        <f ca="1">INDEX('12運シート'!C:C, MATCH(1, INDEX(('12運シート'!A:A=TRIM($T$42)) * ('12運シート'!B:B=TRIM(RIGHT(AZ71, 1))), 0), 0))</f>
        <v>充実</v>
      </c>
      <c r="BM71" s="174" t="str">
        <f ca="1">INDEX('12運シート'!$E:$E, MATCH(1, INDEX((TRIM('12運シート'!$A:$A)=TRIM($T$42)) * (TRIM('12運シート'!$B:$B)=TRIM(AZ71)), 0), 0))</f>
        <v>静天</v>
      </c>
      <c r="BN71" s="49" t="str">
        <f t="shared" ca="1" si="24"/>
        <v>成果が出揃う。精神的な安定と充実の中で平和に人生を俯瞰する時期。</v>
      </c>
      <c r="BO71" s="49"/>
      <c r="BP71" s="49"/>
      <c r="BQ71" s="49"/>
      <c r="BR71" s="49"/>
      <c r="BS71" s="49"/>
      <c r="BT71" s="49"/>
      <c r="BU71" s="49"/>
      <c r="BV71" s="49"/>
      <c r="BW71" s="49"/>
      <c r="BX71" s="49"/>
      <c r="BY71" s="49"/>
      <c r="BZ71" s="49"/>
      <c r="CA71" s="49"/>
      <c r="CB71" s="49"/>
      <c r="CC71" s="49"/>
      <c r="CD71" s="49"/>
      <c r="CE71" s="49"/>
      <c r="CF71" s="49"/>
      <c r="CG71" s="49"/>
      <c r="CH71" s="49"/>
      <c r="CI71" s="49"/>
      <c r="CJ71" s="49"/>
      <c r="CK71" s="49"/>
      <c r="CL71" s="49"/>
      <c r="CM71" s="49"/>
      <c r="CN71" s="49"/>
      <c r="CO71" s="49"/>
      <c r="CP71" s="49"/>
      <c r="CQ71" s="49"/>
      <c r="CR71" s="49"/>
      <c r="CS71" s="49"/>
      <c r="CT71" s="49"/>
      <c r="CU71" s="49"/>
      <c r="CV71" s="49"/>
      <c r="CW71" s="49"/>
      <c r="CX71" s="49"/>
      <c r="CY71" s="49"/>
      <c r="CZ71" s="49"/>
      <c r="DA71" s="49"/>
      <c r="DB71" s="49"/>
      <c r="DC71" s="49"/>
      <c r="DD71" s="49"/>
      <c r="DE71" s="49"/>
      <c r="DF71" s="49"/>
      <c r="DG71" s="49"/>
      <c r="DH71" s="49"/>
      <c r="DI71" s="49"/>
      <c r="DJ71" s="49"/>
      <c r="DK71" s="49"/>
      <c r="DL71" s="49"/>
      <c r="DM71" s="49"/>
      <c r="DN71" s="49"/>
      <c r="DO71" s="49"/>
      <c r="DP71" s="49"/>
      <c r="DQ71" s="49"/>
      <c r="DR71" s="49"/>
      <c r="DS71" s="49"/>
      <c r="DT71" s="49"/>
      <c r="DU71" s="49"/>
      <c r="DV71" s="49"/>
      <c r="DW71" s="49"/>
      <c r="DX71" s="49"/>
    </row>
    <row r="72" spans="1:128" ht="18" customHeight="1">
      <c r="A72" s="49"/>
      <c r="B72" s="49"/>
      <c r="C72" s="49"/>
      <c r="D72" s="49"/>
      <c r="E72" s="49"/>
      <c r="F72" s="49"/>
      <c r="G72" s="49"/>
      <c r="H72" s="49"/>
      <c r="I72" s="49"/>
      <c r="J72" s="49"/>
      <c r="K72" s="49"/>
      <c r="L72" s="49"/>
      <c r="M72" s="49"/>
      <c r="N72" s="49"/>
      <c r="O72" s="49"/>
      <c r="P72" s="49"/>
      <c r="Q72" s="49"/>
      <c r="R72" s="49"/>
      <c r="S72" s="49"/>
      <c r="T72" s="49"/>
      <c r="U72" s="52"/>
      <c r="V72" s="49"/>
      <c r="W72" s="49"/>
      <c r="X72" s="53"/>
      <c r="Y72" s="49"/>
      <c r="Z72" s="49"/>
      <c r="AA72" s="53"/>
      <c r="AB72" s="53"/>
      <c r="AC72" s="49"/>
      <c r="AD72" s="49"/>
      <c r="AE72" s="166" t="str">
        <f t="shared" si="12"/>
        <v>巳</v>
      </c>
      <c r="AF72" s="167">
        <f t="shared" si="5"/>
        <v>56</v>
      </c>
      <c r="AG72" s="168">
        <f t="shared" si="13"/>
        <v>2037</v>
      </c>
      <c r="AH72" s="100" t="str">
        <f>VLOOKUP(AM72,[1]大運!$B$31:$C$90,2,FALSE)</f>
        <v>丁巳</v>
      </c>
      <c r="AI72" s="99" t="str">
        <f>VLOOKUP($F$5&amp;"+"&amp;AM72,[1]大運!$H$45:$K$3644,3,FALSE)</f>
        <v>玉堂星</v>
      </c>
      <c r="AJ72" s="73"/>
      <c r="AK72" s="99" t="str">
        <f>VLOOKUP($F$5&amp;"+"&amp;AM72,[1]大運!$H$45:$K$3644,4,FALSE)</f>
        <v>天禄星</v>
      </c>
      <c r="AL72" s="73"/>
      <c r="AM72" s="171">
        <f t="shared" si="6"/>
        <v>54</v>
      </c>
      <c r="AN72" s="164" t="str">
        <f>VLOOKUP($F$5&amp;"+"&amp;AM72,[1]大運!$H$45:$K$3644,2,FALSE)</f>
        <v>－</v>
      </c>
      <c r="AO72" s="164" t="str">
        <f>VLOOKUP($G$5&amp;"+"&amp;AM72,[1]大運!$H$45:$K$3644,2,FALSE)</f>
        <v>支合</v>
      </c>
      <c r="AP72" s="164" t="str">
        <f>VLOOKUP($H$5&amp;"+"&amp;AM72,[1]大運!$H$45:$K$3644,2,FALSE)</f>
        <v>半会</v>
      </c>
      <c r="AQ72" s="100" t="str">
        <f t="shared" si="25"/>
        <v/>
      </c>
      <c r="AR72" s="172" t="str">
        <f t="shared" si="15"/>
        <v/>
      </c>
      <c r="AS72" s="172" t="str">
        <f t="shared" si="16"/>
        <v/>
      </c>
      <c r="AT72" s="172" t="str">
        <f t="shared" si="17"/>
        <v/>
      </c>
      <c r="AU72" s="49" t="str">
        <f>INDEX('12運シート'!C:C, MATCH(1, INDEX(('12運シート'!A:A=TRIM($T$42)) * ('12運シート'!B:B=TRIM(RIGHT(AE72, 1))), 0), 0))</f>
        <v>充実</v>
      </c>
      <c r="AV72" s="49" t="str">
        <f>INDEX('12運シート'!$E:$E, MATCH(1, INDEX((TRIM('12運シート'!$A:$A)=TRIM($T$42)) * (TRIM('12運シート'!$B:$B)=TRIM(AE72)), 0), 0))</f>
        <v>静天</v>
      </c>
      <c r="AW72" s="49" t="str">
        <f t="shared" si="18"/>
        <v>成果が出揃う。精神的な安定と充実の中で平和に人生を俯瞰する時期。</v>
      </c>
      <c r="AX72" s="49"/>
      <c r="AY72" s="49"/>
      <c r="AZ72" s="166" t="str">
        <f t="shared" ca="1" si="19"/>
        <v>午</v>
      </c>
      <c r="BA72" s="173">
        <f t="shared" ca="1" si="20"/>
        <v>46198</v>
      </c>
      <c r="BB72" s="174">
        <f t="shared" ca="1" si="7"/>
        <v>7</v>
      </c>
      <c r="BC72" s="174" t="str">
        <f ca="1">VLOOKUP(BB72,[1]大運!$B$31:$C$90,2,FALSE)</f>
        <v>庚午</v>
      </c>
      <c r="BD72" s="174" t="str">
        <f ca="1">VLOOKUP($F$5 &amp; "+" &amp; (MOD(BA72 - DATE(2024, 1, 1), 60) + 1), [1]大運!$H$45:$K$3644, 3, FALSE)</f>
        <v>鳳閣星</v>
      </c>
      <c r="BE72" s="174" t="str">
        <f ca="1">VLOOKUP($F$5 &amp; "+" &amp; (MOD(BA72 - DATE(2024, 1, 1), 60) + 1), [1]大運!$H$45:$K$3644, 4, FALSE)</f>
        <v>天将星</v>
      </c>
      <c r="BF72" s="174" t="str">
        <f ca="1">VLOOKUP($F$5 &amp; "+" &amp; (MOD(BA72 - DATE(2024, 1, 1), 60) + 1), [1]大運!$H$45:$K$3644, 2, FALSE)</f>
        <v>対冲</v>
      </c>
      <c r="BG72" s="174" t="str">
        <f ca="1">VLOOKUP($G$5 &amp; "+" &amp; (MOD(BA72 - DATE(2024, 1, 1), 60) + 1), [1]大運!$H$45:$K$3644, 2, FALSE)</f>
        <v>－</v>
      </c>
      <c r="BH72" s="174" t="str">
        <f ca="1">VLOOKUP($H$5 &amp; "+" &amp; (MOD(BA72 - DATE(2024, 1, 1), 60) + 1), [1]大運!$H$45:$K$3644, 2, FALSE)</f>
        <v>－</v>
      </c>
      <c r="BI72" s="172" t="str">
        <f t="shared" ca="1" si="21"/>
        <v/>
      </c>
      <c r="BJ72" s="172" t="str">
        <f t="shared" ca="1" si="22"/>
        <v/>
      </c>
      <c r="BK72" s="172" t="str">
        <f t="shared" ca="1" si="23"/>
        <v/>
      </c>
      <c r="BL72" s="174" t="str">
        <f ca="1">INDEX('12運シート'!C:C, MATCH(1, INDEX(('12運シート'!A:A=TRIM($T$42)) * ('12運シート'!B:B=TRIM(RIGHT(AZ72, 1))), 0), 0))</f>
        <v>陰影</v>
      </c>
      <c r="BM72" s="174" t="str">
        <f ca="1">INDEX('12運シート'!$E:$E, MATCH(1, INDEX((TRIM('12運シート'!$A:$A)=TRIM($T$42)) * (TRIM('12運シート'!$B:$B)=TRIM(AZ72)), 0), 0))</f>
        <v>暗天</v>
      </c>
      <c r="BN72" s="49" t="str">
        <f t="shared" ca="1" si="24"/>
        <v>運気下降（運の冬入り）。孤独を感じやすいが水面下の自己鍛錬が必要。</v>
      </c>
      <c r="BO72" s="49"/>
      <c r="BP72" s="49"/>
      <c r="BQ72" s="49"/>
      <c r="BR72" s="49"/>
      <c r="BS72" s="49"/>
      <c r="BT72" s="49"/>
      <c r="BU72" s="49"/>
      <c r="BV72" s="49"/>
      <c r="BW72" s="49"/>
      <c r="BX72" s="49"/>
      <c r="BY72" s="49"/>
      <c r="BZ72" s="49"/>
      <c r="CA72" s="49"/>
      <c r="CB72" s="49"/>
      <c r="CC72" s="49"/>
      <c r="CD72" s="49"/>
      <c r="CE72" s="49"/>
      <c r="CF72" s="49"/>
      <c r="CG72" s="49"/>
      <c r="CH72" s="49"/>
      <c r="CI72" s="49"/>
      <c r="CJ72" s="49"/>
      <c r="CK72" s="49"/>
      <c r="CL72" s="49"/>
      <c r="CM72" s="49"/>
      <c r="CN72" s="49"/>
      <c r="CO72" s="49"/>
      <c r="CP72" s="49"/>
      <c r="CQ72" s="49"/>
      <c r="CR72" s="49"/>
      <c r="CS72" s="49"/>
      <c r="CT72" s="49"/>
      <c r="CU72" s="49"/>
      <c r="CV72" s="49"/>
      <c r="CW72" s="49"/>
      <c r="CX72" s="49"/>
      <c r="CY72" s="49"/>
      <c r="CZ72" s="49"/>
      <c r="DA72" s="49"/>
      <c r="DB72" s="49"/>
      <c r="DC72" s="49"/>
      <c r="DD72" s="49"/>
      <c r="DE72" s="49"/>
      <c r="DF72" s="49"/>
      <c r="DG72" s="49"/>
      <c r="DH72" s="49"/>
      <c r="DI72" s="49"/>
      <c r="DJ72" s="49"/>
      <c r="DK72" s="49"/>
      <c r="DL72" s="49"/>
      <c r="DM72" s="49"/>
      <c r="DN72" s="49"/>
      <c r="DO72" s="49"/>
      <c r="DP72" s="49"/>
      <c r="DQ72" s="49"/>
      <c r="DR72" s="49"/>
      <c r="DS72" s="49"/>
      <c r="DT72" s="49"/>
      <c r="DU72" s="49"/>
      <c r="DV72" s="49"/>
      <c r="DW72" s="49"/>
      <c r="DX72" s="49"/>
    </row>
    <row r="73" spans="1:128" ht="18" customHeight="1">
      <c r="A73" s="49"/>
      <c r="B73" s="49"/>
      <c r="C73" s="49"/>
      <c r="D73" s="49"/>
      <c r="E73" s="49"/>
      <c r="F73" s="49"/>
      <c r="G73" s="49"/>
      <c r="H73" s="49"/>
      <c r="I73" s="49"/>
      <c r="J73" s="49"/>
      <c r="K73" s="49"/>
      <c r="L73" s="49"/>
      <c r="M73" s="49"/>
      <c r="N73" s="49"/>
      <c r="O73" s="49"/>
      <c r="P73" s="49"/>
      <c r="Q73" s="49"/>
      <c r="R73" s="49"/>
      <c r="S73" s="49"/>
      <c r="T73" s="49"/>
      <c r="U73" s="52"/>
      <c r="V73" s="49"/>
      <c r="W73" s="49"/>
      <c r="X73" s="53"/>
      <c r="Y73" s="49"/>
      <c r="Z73" s="49"/>
      <c r="AA73" s="53"/>
      <c r="AB73" s="53"/>
      <c r="AC73" s="49"/>
      <c r="AD73" s="49"/>
      <c r="AE73" s="166" t="str">
        <f t="shared" si="12"/>
        <v>午</v>
      </c>
      <c r="AF73" s="167">
        <f t="shared" si="5"/>
        <v>57</v>
      </c>
      <c r="AG73" s="168">
        <f t="shared" si="13"/>
        <v>2038</v>
      </c>
      <c r="AH73" s="100" t="str">
        <f>VLOOKUP(AM73,[1]大運!$B$31:$C$90,2,FALSE)</f>
        <v>戊午</v>
      </c>
      <c r="AI73" s="99" t="str">
        <f>VLOOKUP($F$5&amp;"+"&amp;AM73,[1]大運!$H$45:$K$3644,3,FALSE)</f>
        <v>貫索星</v>
      </c>
      <c r="AJ73" s="73"/>
      <c r="AK73" s="99" t="str">
        <f>VLOOKUP($F$5&amp;"+"&amp;AM73,[1]大運!$H$45:$K$3644,4,FALSE)</f>
        <v>天将星</v>
      </c>
      <c r="AL73" s="73"/>
      <c r="AM73" s="171">
        <f t="shared" si="6"/>
        <v>55</v>
      </c>
      <c r="AN73" s="164" t="str">
        <f>VLOOKUP($F$5&amp;"+"&amp;AM73,[1]大運!$H$45:$K$3644,2,FALSE)</f>
        <v>納音</v>
      </c>
      <c r="AO73" s="164" t="str">
        <f>VLOOKUP($G$5&amp;"+"&amp;AM73,[1]大運!$H$45:$K$3644,2,FALSE)</f>
        <v>－</v>
      </c>
      <c r="AP73" s="164" t="str">
        <f>VLOOKUP($H$5&amp;"+"&amp;AM73,[1]大運!$H$45:$K$3644,2,FALSE)</f>
        <v>－</v>
      </c>
      <c r="AQ73" s="100" t="str">
        <f t="shared" si="25"/>
        <v>殺</v>
      </c>
      <c r="AR73" s="172" t="str">
        <f t="shared" si="15"/>
        <v/>
      </c>
      <c r="AS73" s="172" t="str">
        <f t="shared" si="16"/>
        <v/>
      </c>
      <c r="AT73" s="172" t="str">
        <f t="shared" si="17"/>
        <v/>
      </c>
      <c r="AU73" s="49" t="str">
        <f>INDEX('12運シート'!C:C, MATCH(1, INDEX(('12運シート'!A:A=TRIM($T$42)) * ('12運シート'!B:B=TRIM(RIGHT(AE73, 1))), 0), 0))</f>
        <v>陰影</v>
      </c>
      <c r="AV73" s="49" t="str">
        <f>INDEX('12運シート'!$E:$E, MATCH(1, INDEX((TRIM('12運シート'!$A:$A)=TRIM($T$42)) * (TRIM('12運シート'!$B:$B)=TRIM(AE73)), 0), 0))</f>
        <v>暗天</v>
      </c>
      <c r="AW73" s="49" t="str">
        <f t="shared" si="18"/>
        <v>運気下降（運の冬入り）。孤独を感じやすいが水面下の自己鍛錬が必要。</v>
      </c>
      <c r="AX73" s="49"/>
      <c r="AY73" s="49"/>
      <c r="AZ73" s="166" t="str">
        <f t="shared" ca="1" si="19"/>
        <v>未</v>
      </c>
      <c r="BA73" s="173">
        <f t="shared" ca="1" si="20"/>
        <v>46199</v>
      </c>
      <c r="BB73" s="174">
        <f t="shared" ca="1" si="7"/>
        <v>8</v>
      </c>
      <c r="BC73" s="174" t="str">
        <f ca="1">VLOOKUP(BB73,[1]大運!$B$31:$C$90,2,FALSE)</f>
        <v>辛未</v>
      </c>
      <c r="BD73" s="174" t="str">
        <f ca="1">VLOOKUP($F$5 &amp; "+" &amp; (MOD(BA73 - DATE(2024, 1, 1), 60) + 1), [1]大運!$H$45:$K$3644, 3, FALSE)</f>
        <v>調舒星</v>
      </c>
      <c r="BE73" s="174" t="str">
        <f ca="1">VLOOKUP($F$5 &amp; "+" &amp; (MOD(BA73 - DATE(2024, 1, 1), 60) + 1), [1]大運!$H$45:$K$3644, 4, FALSE)</f>
        <v>天堂星</v>
      </c>
      <c r="BF73" s="174" t="str">
        <f ca="1">VLOOKUP($F$5 &amp; "+" &amp; (MOD(BA73 - DATE(2024, 1, 1), 60) + 1), [1]大運!$H$45:$K$3644, 2, FALSE)</f>
        <v>害</v>
      </c>
      <c r="BG73" s="174" t="str">
        <f ca="1">VLOOKUP($G$5 &amp; "+" &amp; (MOD(BA73 - DATE(2024, 1, 1), 60) + 1), [1]大運!$H$45:$K$3644, 2, FALSE)</f>
        <v>－</v>
      </c>
      <c r="BH73" s="174" t="str">
        <f ca="1">VLOOKUP($H$5 &amp; "+" &amp; (MOD(BA73 - DATE(2024, 1, 1), 60) + 1), [1]大運!$H$45:$K$3644, 2, FALSE)</f>
        <v>－</v>
      </c>
      <c r="BI73" s="172" t="str">
        <f t="shared" ca="1" si="21"/>
        <v/>
      </c>
      <c r="BJ73" s="172" t="str">
        <f t="shared" ca="1" si="22"/>
        <v>丙辛干合</v>
      </c>
      <c r="BK73" s="172" t="str">
        <f t="shared" ca="1" si="23"/>
        <v/>
      </c>
      <c r="BL73" s="174" t="str">
        <f ca="1">INDEX('12運シート'!C:C, MATCH(1, INDEX(('12運シート'!A:A=TRIM($T$42)) * ('12運シート'!B:B=TRIM(RIGHT(AZ73, 1))), 0), 0))</f>
        <v>停止</v>
      </c>
      <c r="BM73" s="174" t="str">
        <f ca="1">INDEX('12運シート'!$E:$E, MATCH(1, INDEX((TRIM('12運シート'!$A:$A)=TRIM($T$42)) * (TRIM('12運シート'!$B:$B)=TRIM(AZ73)), 0), 0))</f>
        <v>大曇天</v>
      </c>
      <c r="BN73" s="49" t="str">
        <f t="shared" ca="1" si="24"/>
        <v>運命の停止（運の真冬時期）。古い価値観を手放す究極の浄化期間。</v>
      </c>
      <c r="BO73" s="49"/>
      <c r="BP73" s="49"/>
      <c r="BQ73" s="49"/>
      <c r="BR73" s="49"/>
      <c r="BS73" s="49"/>
      <c r="BT73" s="49"/>
      <c r="BU73" s="49"/>
      <c r="BV73" s="49"/>
      <c r="BW73" s="49"/>
      <c r="BX73" s="49"/>
      <c r="BY73" s="49"/>
      <c r="BZ73" s="49"/>
      <c r="CA73" s="49"/>
      <c r="CB73" s="49"/>
      <c r="CC73" s="49"/>
      <c r="CD73" s="49"/>
      <c r="CE73" s="49"/>
      <c r="CF73" s="49"/>
      <c r="CG73" s="49"/>
      <c r="CH73" s="49"/>
      <c r="CI73" s="49"/>
      <c r="CJ73" s="49"/>
      <c r="CK73" s="49"/>
      <c r="CL73" s="49"/>
      <c r="CM73" s="49"/>
      <c r="CN73" s="49"/>
      <c r="CO73" s="49"/>
      <c r="CP73" s="49"/>
      <c r="CQ73" s="49"/>
      <c r="CR73" s="49"/>
      <c r="CS73" s="49"/>
      <c r="CT73" s="49"/>
      <c r="CU73" s="49"/>
      <c r="CV73" s="49"/>
      <c r="CW73" s="49"/>
      <c r="CX73" s="49"/>
      <c r="CY73" s="49"/>
      <c r="CZ73" s="49"/>
      <c r="DA73" s="49"/>
      <c r="DB73" s="49"/>
      <c r="DC73" s="49"/>
      <c r="DD73" s="49"/>
      <c r="DE73" s="49"/>
      <c r="DF73" s="49"/>
      <c r="DG73" s="49"/>
      <c r="DH73" s="49"/>
      <c r="DI73" s="49"/>
      <c r="DJ73" s="49"/>
      <c r="DK73" s="49"/>
      <c r="DL73" s="49"/>
      <c r="DM73" s="49"/>
      <c r="DN73" s="49"/>
      <c r="DO73" s="49"/>
      <c r="DP73" s="49"/>
      <c r="DQ73" s="49"/>
      <c r="DR73" s="49"/>
      <c r="DS73" s="49"/>
      <c r="DT73" s="49"/>
      <c r="DU73" s="49"/>
      <c r="DV73" s="49"/>
      <c r="DW73" s="49"/>
      <c r="DX73" s="49"/>
    </row>
    <row r="74" spans="1:128" ht="18" customHeight="1">
      <c r="A74" s="49"/>
      <c r="B74" s="49"/>
      <c r="C74" s="49"/>
      <c r="D74" s="49"/>
      <c r="E74" s="49"/>
      <c r="F74" s="49"/>
      <c r="G74" s="49"/>
      <c r="H74" s="49"/>
      <c r="I74" s="49"/>
      <c r="J74" s="49"/>
      <c r="K74" s="49"/>
      <c r="L74" s="49"/>
      <c r="M74" s="49"/>
      <c r="N74" s="49"/>
      <c r="O74" s="49"/>
      <c r="P74" s="49"/>
      <c r="Q74" s="49"/>
      <c r="R74" s="49"/>
      <c r="S74" s="49"/>
      <c r="T74" s="49"/>
      <c r="U74" s="52"/>
      <c r="V74" s="49"/>
      <c r="W74" s="49"/>
      <c r="X74" s="53"/>
      <c r="Y74" s="49"/>
      <c r="Z74" s="49"/>
      <c r="AA74" s="53"/>
      <c r="AB74" s="53"/>
      <c r="AC74" s="49"/>
      <c r="AD74" s="49"/>
      <c r="AE74" s="166" t="str">
        <f t="shared" si="12"/>
        <v>未</v>
      </c>
      <c r="AF74" s="167">
        <f t="shared" si="5"/>
        <v>58</v>
      </c>
      <c r="AG74" s="168">
        <f t="shared" si="13"/>
        <v>2039</v>
      </c>
      <c r="AH74" s="100" t="str">
        <f>VLOOKUP(AM74,[1]大運!$B$31:$C$90,2,FALSE)</f>
        <v>己未</v>
      </c>
      <c r="AI74" s="99" t="str">
        <f>VLOOKUP($F$5&amp;"+"&amp;AM74,[1]大運!$H$45:$K$3644,3,FALSE)</f>
        <v>石門星</v>
      </c>
      <c r="AJ74" s="73"/>
      <c r="AK74" s="99" t="str">
        <f>VLOOKUP($F$5&amp;"+"&amp;AM74,[1]大運!$H$45:$K$3644,4,FALSE)</f>
        <v>天堂星</v>
      </c>
      <c r="AL74" s="73"/>
      <c r="AM74" s="171">
        <f t="shared" si="6"/>
        <v>56</v>
      </c>
      <c r="AN74" s="164" t="str">
        <f>VLOOKUP($F$5&amp;"+"&amp;AM74,[1]大運!$H$45:$K$3644,2,FALSE)</f>
        <v>害</v>
      </c>
      <c r="AO74" s="164" t="str">
        <f>VLOOKUP($G$5&amp;"+"&amp;AM74,[1]大運!$H$45:$K$3644,2,FALSE)</f>
        <v>－</v>
      </c>
      <c r="AP74" s="164" t="str">
        <f>VLOOKUP($H$5&amp;"+"&amp;AM74,[1]大運!$H$45:$K$3644,2,FALSE)</f>
        <v>－</v>
      </c>
      <c r="AQ74" s="100" t="str">
        <f t="shared" si="25"/>
        <v>殺</v>
      </c>
      <c r="AR74" s="172" t="str">
        <f t="shared" si="15"/>
        <v/>
      </c>
      <c r="AS74" s="172" t="str">
        <f t="shared" si="16"/>
        <v/>
      </c>
      <c r="AT74" s="172" t="str">
        <f t="shared" si="17"/>
        <v/>
      </c>
      <c r="AU74" s="49" t="str">
        <f>INDEX('12運シート'!C:C, MATCH(1, INDEX(('12運シート'!A:A=TRIM($T$42)) * ('12運シート'!B:B=TRIM(RIGHT(AE74, 1))), 0), 0))</f>
        <v>停止</v>
      </c>
      <c r="AV74" s="49" t="str">
        <f>INDEX('12運シート'!$E:$E, MATCH(1, INDEX((TRIM('12運シート'!$A:$A)=TRIM($T$42)) * (TRIM('12運シート'!$B:$B)=TRIM(AE74)), 0), 0))</f>
        <v>大曇天</v>
      </c>
      <c r="AW74" s="49" t="str">
        <f t="shared" si="18"/>
        <v>運命の停止（運の真冬時期）。古い価値観を手放す究極の浄化期間。</v>
      </c>
      <c r="AX74" s="49"/>
      <c r="AY74" s="49"/>
      <c r="AZ74" s="166" t="str">
        <f t="shared" ca="1" si="19"/>
        <v>申</v>
      </c>
      <c r="BA74" s="173">
        <f t="shared" ca="1" si="20"/>
        <v>46200</v>
      </c>
      <c r="BB74" s="174">
        <f t="shared" ca="1" si="7"/>
        <v>9</v>
      </c>
      <c r="BC74" s="174" t="str">
        <f ca="1">VLOOKUP(BB74,[1]大運!$B$31:$C$90,2,FALSE)</f>
        <v>壬申</v>
      </c>
      <c r="BD74" s="174" t="str">
        <f ca="1">VLOOKUP($F$5 &amp; "+" &amp; (MOD(BA74 - DATE(2024, 1, 1), 60) + 1), [1]大運!$H$45:$K$3644, 3, FALSE)</f>
        <v>禄存星</v>
      </c>
      <c r="BE74" s="174" t="str">
        <f ca="1">VLOOKUP($F$5 &amp; "+" &amp; (MOD(BA74 - DATE(2024, 1, 1), 60) + 1), [1]大運!$H$45:$K$3644, 4, FALSE)</f>
        <v>天胡星</v>
      </c>
      <c r="BF74" s="174" t="str">
        <f ca="1">VLOOKUP($F$5 &amp; "+" &amp; (MOD(BA74 - DATE(2024, 1, 1), 60) + 1), [1]大運!$H$45:$K$3644, 2, FALSE)</f>
        <v>半会</v>
      </c>
      <c r="BG74" s="174" t="str">
        <f ca="1">VLOOKUP($G$5 &amp; "+" &amp; (MOD(BA74 - DATE(2024, 1, 1), 60) + 1), [1]大運!$H$45:$K$3644, 2, FALSE)</f>
        <v>同</v>
      </c>
      <c r="BH74" s="174" t="str">
        <f ca="1">VLOOKUP($H$5 &amp; "+" &amp; (MOD(BA74 - DATE(2024, 1, 1), 60) + 1), [1]大運!$H$45:$K$3644, 2, FALSE)</f>
        <v>準方位</v>
      </c>
      <c r="BI74" s="172" t="str">
        <f t="shared" ca="1" si="21"/>
        <v/>
      </c>
      <c r="BJ74" s="172" t="str">
        <f t="shared" ca="1" si="22"/>
        <v/>
      </c>
      <c r="BK74" s="172" t="str">
        <f t="shared" ca="1" si="23"/>
        <v/>
      </c>
      <c r="BL74" s="174" t="str">
        <f ca="1">INDEX('12運シート'!C:C, MATCH(1, INDEX(('12運シート'!A:A=TRIM($T$42)) * ('12運シート'!B:B=TRIM(RIGHT(AZ74, 1))), 0), 0))</f>
        <v>減退</v>
      </c>
      <c r="BM74" s="174" t="str">
        <f ca="1">INDEX('12運シート'!$E:$E, MATCH(1, INDEX((TRIM('12運シート'!$A:$A)=TRIM($T$42)) * (TRIM('12運シート'!$B:$B)=TRIM(AZ74)), 0), 0))</f>
        <v>雨天</v>
      </c>
      <c r="BN74" s="49" t="str">
        <f t="shared" ca="1" si="24"/>
        <v>カルマの精算。過去の執着をすべて洗い流し、次の春への準備を整える。</v>
      </c>
      <c r="BO74" s="49"/>
      <c r="BP74" s="49"/>
      <c r="BQ74" s="49"/>
      <c r="BR74" s="49"/>
      <c r="BS74" s="49"/>
      <c r="BT74" s="49"/>
      <c r="BU74" s="49"/>
      <c r="BV74" s="49"/>
      <c r="BW74" s="49"/>
      <c r="BX74" s="49"/>
      <c r="BY74" s="49"/>
      <c r="BZ74" s="49"/>
      <c r="CA74" s="49"/>
      <c r="CB74" s="49"/>
      <c r="CC74" s="49"/>
      <c r="CD74" s="49"/>
      <c r="CE74" s="49"/>
      <c r="CF74" s="49"/>
      <c r="CG74" s="49"/>
      <c r="CH74" s="49"/>
      <c r="CI74" s="49"/>
      <c r="CJ74" s="49"/>
      <c r="CK74" s="49"/>
      <c r="CL74" s="49"/>
      <c r="CM74" s="49"/>
      <c r="CN74" s="49"/>
      <c r="CO74" s="49"/>
      <c r="CP74" s="49"/>
      <c r="CQ74" s="49"/>
      <c r="CR74" s="49"/>
      <c r="CS74" s="49"/>
      <c r="CT74" s="49"/>
      <c r="CU74" s="49"/>
      <c r="CV74" s="49"/>
      <c r="CW74" s="49"/>
      <c r="CX74" s="49"/>
      <c r="CY74" s="49"/>
      <c r="CZ74" s="49"/>
      <c r="DA74" s="49"/>
      <c r="DB74" s="49"/>
      <c r="DC74" s="49"/>
      <c r="DD74" s="49"/>
      <c r="DE74" s="49"/>
      <c r="DF74" s="49"/>
      <c r="DG74" s="49"/>
      <c r="DH74" s="49"/>
      <c r="DI74" s="49"/>
      <c r="DJ74" s="49"/>
      <c r="DK74" s="49"/>
      <c r="DL74" s="49"/>
      <c r="DM74" s="49"/>
      <c r="DN74" s="49"/>
      <c r="DO74" s="49"/>
      <c r="DP74" s="49"/>
      <c r="DQ74" s="49"/>
      <c r="DR74" s="49"/>
      <c r="DS74" s="49"/>
      <c r="DT74" s="49"/>
      <c r="DU74" s="49"/>
      <c r="DV74" s="49"/>
      <c r="DW74" s="49"/>
      <c r="DX74" s="49"/>
    </row>
    <row r="75" spans="1:128" ht="18" customHeight="1">
      <c r="A75" s="49"/>
      <c r="B75" s="49"/>
      <c r="C75" s="49"/>
      <c r="D75" s="49"/>
      <c r="E75" s="49"/>
      <c r="F75" s="49"/>
      <c r="G75" s="49"/>
      <c r="H75" s="49"/>
      <c r="I75" s="49"/>
      <c r="J75" s="49"/>
      <c r="K75" s="49"/>
      <c r="L75" s="49"/>
      <c r="M75" s="49"/>
      <c r="N75" s="49"/>
      <c r="O75" s="49"/>
      <c r="P75" s="49"/>
      <c r="Q75" s="49"/>
      <c r="R75" s="49"/>
      <c r="S75" s="49"/>
      <c r="T75" s="49"/>
      <c r="U75" s="52"/>
      <c r="V75" s="49"/>
      <c r="W75" s="49"/>
      <c r="X75" s="53"/>
      <c r="Y75" s="49"/>
      <c r="Z75" s="49"/>
      <c r="AA75" s="53"/>
      <c r="AB75" s="53"/>
      <c r="AC75" s="49"/>
      <c r="AD75" s="49"/>
      <c r="AE75" s="166" t="str">
        <f t="shared" si="12"/>
        <v>申</v>
      </c>
      <c r="AF75" s="167">
        <f t="shared" si="5"/>
        <v>59</v>
      </c>
      <c r="AG75" s="168">
        <f t="shared" si="13"/>
        <v>2040</v>
      </c>
      <c r="AH75" s="100" t="str">
        <f>VLOOKUP(AM75,[1]大運!$B$31:$C$90,2,FALSE)</f>
        <v>庚申</v>
      </c>
      <c r="AI75" s="99" t="str">
        <f>VLOOKUP($F$5&amp;"+"&amp;AM75,[1]大運!$H$45:$K$3644,3,FALSE)</f>
        <v>鳳閣星</v>
      </c>
      <c r="AJ75" s="73"/>
      <c r="AK75" s="99" t="str">
        <f>VLOOKUP($F$5&amp;"+"&amp;AM75,[1]大運!$H$45:$K$3644,4,FALSE)</f>
        <v>天胡星</v>
      </c>
      <c r="AL75" s="73"/>
      <c r="AM75" s="171">
        <f t="shared" si="6"/>
        <v>57</v>
      </c>
      <c r="AN75" s="164" t="str">
        <f>VLOOKUP($F$5&amp;"+"&amp;AM75,[1]大運!$H$45:$K$3644,2,FALSE)</f>
        <v>半会</v>
      </c>
      <c r="AO75" s="164" t="str">
        <f>VLOOKUP($G$5&amp;"+"&amp;AM75,[1]大運!$H$45:$K$3644,2,FALSE)</f>
        <v>同</v>
      </c>
      <c r="AP75" s="164" t="str">
        <f>VLOOKUP($H$5&amp;"+"&amp;AM75,[1]大運!$H$45:$K$3644,2,FALSE)</f>
        <v>準方位</v>
      </c>
      <c r="AQ75" s="100" t="str">
        <f t="shared" si="25"/>
        <v/>
      </c>
      <c r="AR75" s="172" t="str">
        <f t="shared" si="15"/>
        <v/>
      </c>
      <c r="AS75" s="172" t="str">
        <f t="shared" si="16"/>
        <v/>
      </c>
      <c r="AT75" s="172" t="str">
        <f t="shared" si="17"/>
        <v/>
      </c>
      <c r="AU75" s="49" t="str">
        <f>INDEX('12運シート'!C:C, MATCH(1, INDEX(('12運シート'!A:A=TRIM($T$42)) * ('12運シート'!B:B=TRIM(RIGHT(AE75, 1))), 0), 0))</f>
        <v>減退</v>
      </c>
      <c r="AV75" s="49" t="str">
        <f>INDEX('12運シート'!$E:$E, MATCH(1, INDEX((TRIM('12運シート'!$A:$A)=TRIM($T$42)) * (TRIM('12運シート'!$B:$B)=TRIM(AE75)), 0), 0))</f>
        <v>雨天</v>
      </c>
      <c r="AW75" s="49" t="str">
        <f t="shared" si="18"/>
        <v>カルマの精算。過去の執着をすべて洗い流し、次の春への準備を整える。</v>
      </c>
      <c r="AX75" s="49"/>
      <c r="AY75" s="49"/>
      <c r="AZ75" s="166" t="str">
        <f t="shared" ca="1" si="19"/>
        <v>酉</v>
      </c>
      <c r="BA75" s="173">
        <f t="shared" ca="1" si="20"/>
        <v>46201</v>
      </c>
      <c r="BB75" s="174">
        <f t="shared" ca="1" si="7"/>
        <v>10</v>
      </c>
      <c r="BC75" s="174" t="str">
        <f ca="1">VLOOKUP(BB75,[1]大運!$B$31:$C$90,2,FALSE)</f>
        <v>癸酉</v>
      </c>
      <c r="BD75" s="174" t="str">
        <f ca="1">VLOOKUP($F$5 &amp; "+" &amp; (MOD(BA75 - DATE(2024, 1, 1), 60) + 1), [1]大運!$H$45:$K$3644, 3, FALSE)</f>
        <v>司禄星</v>
      </c>
      <c r="BE75" s="174" t="str">
        <f ca="1">VLOOKUP($F$5 &amp; "+" &amp; (MOD(BA75 - DATE(2024, 1, 1), 60) + 1), [1]大運!$H$45:$K$3644, 4, FALSE)</f>
        <v>天極星</v>
      </c>
      <c r="BF75" s="174" t="str">
        <f ca="1">VLOOKUP($F$5 &amp; "+" &amp; (MOD(BA75 - DATE(2024, 1, 1), 60) + 1), [1]大運!$H$45:$K$3644, 2, FALSE)</f>
        <v>破</v>
      </c>
      <c r="BG75" s="174" t="str">
        <f ca="1">VLOOKUP($G$5 &amp; "+" &amp; (MOD(BA75 - DATE(2024, 1, 1), 60) + 1), [1]大運!$H$45:$K$3644, 2, FALSE)</f>
        <v>準方位</v>
      </c>
      <c r="BH75" s="174" t="str">
        <f ca="1">VLOOKUP($H$5 &amp; "+" &amp; (MOD(BA75 - DATE(2024, 1, 1), 60) + 1), [1]大運!$H$45:$K$3644, 2, FALSE)</f>
        <v>自刑</v>
      </c>
      <c r="BI75" s="172" t="str">
        <f t="shared" ca="1" si="21"/>
        <v>戊癸干合</v>
      </c>
      <c r="BJ75" s="172" t="str">
        <f t="shared" ca="1" si="22"/>
        <v/>
      </c>
      <c r="BK75" s="172" t="str">
        <f t="shared" ca="1" si="23"/>
        <v/>
      </c>
      <c r="BL75" s="174" t="str">
        <f ca="1">INDEX('12運シート'!C:C, MATCH(1, INDEX(('12運シート'!A:A=TRIM($T$42)) * ('12運シート'!B:B=TRIM(RIGHT(AZ75, 1))), 0), 0))</f>
        <v>種子</v>
      </c>
      <c r="BM75" s="174" t="str">
        <f ca="1">INDEX('12運シート'!$E:$E, MATCH(1, INDEX((TRIM('12運シート'!$A:$A)=TRIM($T$42)) * (TRIM('12運シート'!$B:$B)=TRIM(AZ75)), 0), 0))</f>
        <v>起天</v>
      </c>
      <c r="BN75" s="49" t="str">
        <f t="shared" ca="1" si="24"/>
        <v>運命の幕開け。過去を断ち切り新しい種をまく開拓期。</v>
      </c>
      <c r="BO75" s="49"/>
      <c r="BP75" s="49"/>
      <c r="BQ75" s="49"/>
      <c r="BR75" s="49"/>
      <c r="BS75" s="49"/>
      <c r="BT75" s="49"/>
      <c r="BU75" s="49"/>
      <c r="BV75" s="49"/>
      <c r="BW75" s="49"/>
      <c r="BX75" s="49"/>
      <c r="BY75" s="49"/>
      <c r="BZ75" s="49"/>
      <c r="CA75" s="49"/>
      <c r="CB75" s="49"/>
      <c r="CC75" s="49"/>
      <c r="CD75" s="49"/>
      <c r="CE75" s="49"/>
      <c r="CF75" s="49"/>
      <c r="CG75" s="49"/>
      <c r="CH75" s="49"/>
      <c r="CI75" s="49"/>
      <c r="CJ75" s="49"/>
      <c r="CK75" s="49"/>
      <c r="CL75" s="49"/>
      <c r="CM75" s="49"/>
      <c r="CN75" s="49"/>
      <c r="CO75" s="49"/>
      <c r="CP75" s="49"/>
      <c r="CQ75" s="49"/>
      <c r="CR75" s="49"/>
      <c r="CS75" s="49"/>
      <c r="CT75" s="49"/>
      <c r="CU75" s="49"/>
      <c r="CV75" s="49"/>
      <c r="CW75" s="49"/>
      <c r="CX75" s="49"/>
      <c r="CY75" s="49"/>
      <c r="CZ75" s="49"/>
      <c r="DA75" s="49"/>
      <c r="DB75" s="49"/>
      <c r="DC75" s="49"/>
      <c r="DD75" s="49"/>
      <c r="DE75" s="49"/>
      <c r="DF75" s="49"/>
      <c r="DG75" s="49"/>
      <c r="DH75" s="49"/>
      <c r="DI75" s="49"/>
      <c r="DJ75" s="49"/>
      <c r="DK75" s="49"/>
      <c r="DL75" s="49"/>
      <c r="DM75" s="49"/>
      <c r="DN75" s="49"/>
      <c r="DO75" s="49"/>
      <c r="DP75" s="49"/>
      <c r="DQ75" s="49"/>
      <c r="DR75" s="49"/>
      <c r="DS75" s="49"/>
      <c r="DT75" s="49"/>
      <c r="DU75" s="49"/>
      <c r="DV75" s="49"/>
      <c r="DW75" s="49"/>
      <c r="DX75" s="49"/>
    </row>
    <row r="76" spans="1:128" ht="18" customHeight="1">
      <c r="A76" s="49"/>
      <c r="B76" s="49"/>
      <c r="C76" s="49"/>
      <c r="D76" s="49"/>
      <c r="E76" s="49"/>
      <c r="F76" s="49"/>
      <c r="G76" s="49"/>
      <c r="H76" s="49"/>
      <c r="I76" s="49"/>
      <c r="J76" s="49"/>
      <c r="K76" s="49"/>
      <c r="L76" s="49"/>
      <c r="M76" s="49"/>
      <c r="N76" s="49"/>
      <c r="O76" s="49"/>
      <c r="P76" s="49"/>
      <c r="Q76" s="49"/>
      <c r="R76" s="49"/>
      <c r="S76" s="49"/>
      <c r="T76" s="49"/>
      <c r="U76" s="52"/>
      <c r="V76" s="49"/>
      <c r="W76" s="49"/>
      <c r="X76" s="53"/>
      <c r="Y76" s="49"/>
      <c r="Z76" s="49"/>
      <c r="AA76" s="53"/>
      <c r="AB76" s="53"/>
      <c r="AC76" s="49"/>
      <c r="AD76" s="49"/>
      <c r="AE76" s="166" t="str">
        <f t="shared" si="12"/>
        <v>酉</v>
      </c>
      <c r="AF76" s="167">
        <f t="shared" si="5"/>
        <v>60</v>
      </c>
      <c r="AG76" s="168">
        <f t="shared" si="13"/>
        <v>2041</v>
      </c>
      <c r="AH76" s="100" t="str">
        <f>VLOOKUP(AM76,[1]大運!$B$31:$C$90,2,FALSE)</f>
        <v>辛酉</v>
      </c>
      <c r="AI76" s="99" t="str">
        <f>VLOOKUP($F$5&amp;"+"&amp;AM76,[1]大運!$H$45:$K$3644,3,FALSE)</f>
        <v>調舒星</v>
      </c>
      <c r="AJ76" s="73"/>
      <c r="AK76" s="99" t="str">
        <f>VLOOKUP($F$5&amp;"+"&amp;AM76,[1]大運!$H$45:$K$3644,4,FALSE)</f>
        <v>天極星</v>
      </c>
      <c r="AL76" s="73"/>
      <c r="AM76" s="171">
        <f t="shared" si="6"/>
        <v>58</v>
      </c>
      <c r="AN76" s="164" t="str">
        <f>VLOOKUP($F$5&amp;"+"&amp;AM76,[1]大運!$H$45:$K$3644,2,FALSE)</f>
        <v>破</v>
      </c>
      <c r="AO76" s="164" t="str">
        <f>VLOOKUP($G$5&amp;"+"&amp;AM76,[1]大運!$H$45:$K$3644,2,FALSE)</f>
        <v>準方位</v>
      </c>
      <c r="AP76" s="164" t="str">
        <f>VLOOKUP($H$5&amp;"+"&amp;AM76,[1]大運!$H$45:$K$3644,2,FALSE)</f>
        <v>律音</v>
      </c>
      <c r="AQ76" s="100" t="str">
        <f t="shared" si="25"/>
        <v>月</v>
      </c>
      <c r="AR76" s="172" t="str">
        <f t="shared" si="15"/>
        <v/>
      </c>
      <c r="AS76" s="172" t="str">
        <f t="shared" si="16"/>
        <v>丙辛干合</v>
      </c>
      <c r="AT76" s="172" t="str">
        <f t="shared" si="17"/>
        <v/>
      </c>
      <c r="AU76" s="49" t="str">
        <f>INDEX('12運シート'!C:C, MATCH(1, INDEX(('12運シート'!A:A=TRIM($T$42)) * ('12運シート'!B:B=TRIM(RIGHT(AE76, 1))), 0), 0))</f>
        <v>種子</v>
      </c>
      <c r="AV76" s="49" t="str">
        <f>INDEX('12運シート'!$E:$E, MATCH(1, INDEX((TRIM('12運シート'!$A:$A)=TRIM($T$42)) * (TRIM('12運シート'!$B:$B)=TRIM(AE76)), 0), 0))</f>
        <v>起天</v>
      </c>
      <c r="AW76" s="49" t="str">
        <f t="shared" si="18"/>
        <v>運命の幕開け。過去を断ち切り新しい種をまく開拓期。</v>
      </c>
      <c r="AX76" s="49"/>
      <c r="AY76" s="49"/>
      <c r="AZ76" s="166" t="str">
        <f t="shared" ca="1" si="19"/>
        <v>戌</v>
      </c>
      <c r="BA76" s="173">
        <f t="shared" ca="1" si="20"/>
        <v>46202</v>
      </c>
      <c r="BB76" s="174">
        <f t="shared" ca="1" si="7"/>
        <v>11</v>
      </c>
      <c r="BC76" s="174" t="str">
        <f ca="1">VLOOKUP(BB76,[1]大運!$B$31:$C$90,2,FALSE)</f>
        <v>甲戌</v>
      </c>
      <c r="BD76" s="174" t="str">
        <f ca="1">VLOOKUP($F$5 &amp; "+" &amp; (MOD(BA76 - DATE(2024, 1, 1), 60) + 1), [1]大運!$H$45:$K$3644, 3, FALSE)</f>
        <v>車騎星</v>
      </c>
      <c r="BE76" s="174" t="str">
        <f ca="1">VLOOKUP($F$5 &amp; "+" &amp; (MOD(BA76 - DATE(2024, 1, 1), 60) + 1), [1]大運!$H$45:$K$3644, 4, FALSE)</f>
        <v>天庫星</v>
      </c>
      <c r="BF76" s="174" t="str">
        <f ca="1">VLOOKUP($F$5 &amp; "+" &amp; (MOD(BA76 - DATE(2024, 1, 1), 60) + 1), [1]大運!$H$45:$K$3644, 2, FALSE)</f>
        <v>－</v>
      </c>
      <c r="BG76" s="174" t="str">
        <f ca="1">VLOOKUP($G$5 &amp; "+" &amp; (MOD(BA76 - DATE(2024, 1, 1), 60) + 1), [1]大運!$H$45:$K$3644, 2, FALSE)</f>
        <v>準方位</v>
      </c>
      <c r="BH76" s="174" t="str">
        <f ca="1">VLOOKUP($H$5 &amp; "+" &amp; (MOD(BA76 - DATE(2024, 1, 1), 60) + 1), [1]大運!$H$45:$K$3644, 2, FALSE)</f>
        <v>害</v>
      </c>
      <c r="BI76" s="172" t="str">
        <f t="shared" ca="1" si="21"/>
        <v/>
      </c>
      <c r="BJ76" s="172" t="str">
        <f t="shared" ca="1" si="22"/>
        <v/>
      </c>
      <c r="BK76" s="172" t="str">
        <f t="shared" ca="1" si="23"/>
        <v/>
      </c>
      <c r="BL76" s="174" t="str">
        <f ca="1">INDEX('12運シート'!C:C, MATCH(1, INDEX(('12運シート'!A:A=TRIM($T$42)) * ('12運シート'!B:B=TRIM(RIGHT(AZ76, 1))), 0), 0))</f>
        <v>緑生</v>
      </c>
      <c r="BM76" s="174" t="str">
        <f ca="1">INDEX('12運シート'!$E:$E, MATCH(1, INDEX((TRIM('12運シート'!$A:$A)=TRIM($T$42)) * (TRIM('12運シート'!$B:$B)=TRIM(AZ76)), 0), 0))</f>
        <v>吉祥天</v>
      </c>
      <c r="BN76" s="49" t="str">
        <f t="shared" ca="1" si="24"/>
        <v>まいた種が芽吹き、周囲の支援を受けて着実に育つ時期。</v>
      </c>
      <c r="BO76" s="49"/>
      <c r="BP76" s="49"/>
      <c r="BQ76" s="49"/>
      <c r="BR76" s="49"/>
      <c r="BS76" s="49"/>
      <c r="BT76" s="49"/>
      <c r="BU76" s="49"/>
      <c r="BV76" s="49"/>
      <c r="BW76" s="49"/>
      <c r="BX76" s="49"/>
      <c r="BY76" s="49"/>
      <c r="BZ76" s="49"/>
      <c r="CA76" s="49"/>
      <c r="CB76" s="49"/>
      <c r="CC76" s="49"/>
      <c r="CD76" s="49"/>
      <c r="CE76" s="49"/>
      <c r="CF76" s="49"/>
      <c r="CG76" s="49"/>
      <c r="CH76" s="49"/>
      <c r="CI76" s="49"/>
      <c r="CJ76" s="49"/>
      <c r="CK76" s="49"/>
      <c r="CL76" s="49"/>
      <c r="CM76" s="49"/>
      <c r="CN76" s="49"/>
      <c r="CO76" s="49"/>
      <c r="CP76" s="49"/>
      <c r="CQ76" s="49"/>
      <c r="CR76" s="49"/>
      <c r="CS76" s="49"/>
      <c r="CT76" s="49"/>
      <c r="CU76" s="49"/>
      <c r="CV76" s="49"/>
      <c r="CW76" s="49"/>
      <c r="CX76" s="49"/>
      <c r="CY76" s="49"/>
      <c r="CZ76" s="49"/>
      <c r="DA76" s="49"/>
      <c r="DB76" s="49"/>
      <c r="DC76" s="49"/>
      <c r="DD76" s="49"/>
      <c r="DE76" s="49"/>
      <c r="DF76" s="49"/>
      <c r="DG76" s="49"/>
      <c r="DH76" s="49"/>
      <c r="DI76" s="49"/>
      <c r="DJ76" s="49"/>
      <c r="DK76" s="49"/>
      <c r="DL76" s="49"/>
      <c r="DM76" s="49"/>
      <c r="DN76" s="49"/>
      <c r="DO76" s="49"/>
      <c r="DP76" s="49"/>
      <c r="DQ76" s="49"/>
      <c r="DR76" s="49"/>
      <c r="DS76" s="49"/>
      <c r="DT76" s="49"/>
      <c r="DU76" s="49"/>
      <c r="DV76" s="49"/>
      <c r="DW76" s="49"/>
      <c r="DX76" s="49"/>
    </row>
    <row r="77" spans="1:128" ht="18" customHeight="1">
      <c r="A77" s="49"/>
      <c r="B77" s="49"/>
      <c r="C77" s="49"/>
      <c r="D77" s="49"/>
      <c r="E77" s="49"/>
      <c r="F77" s="49"/>
      <c r="G77" s="49"/>
      <c r="H77" s="49"/>
      <c r="I77" s="49"/>
      <c r="J77" s="49"/>
      <c r="K77" s="49"/>
      <c r="L77" s="49"/>
      <c r="M77" s="49"/>
      <c r="N77" s="49"/>
      <c r="O77" s="49"/>
      <c r="P77" s="49"/>
      <c r="Q77" s="49"/>
      <c r="R77" s="49"/>
      <c r="S77" s="49"/>
      <c r="T77" s="49"/>
      <c r="U77" s="52"/>
      <c r="V77" s="49"/>
      <c r="W77" s="49"/>
      <c r="X77" s="53"/>
      <c r="Y77" s="49"/>
      <c r="Z77" s="49"/>
      <c r="AA77" s="53"/>
      <c r="AB77" s="53"/>
      <c r="AC77" s="49"/>
      <c r="AD77" s="49"/>
      <c r="AE77" s="166" t="str">
        <f t="shared" si="12"/>
        <v>戌</v>
      </c>
      <c r="AF77" s="167">
        <f t="shared" si="5"/>
        <v>61</v>
      </c>
      <c r="AG77" s="168">
        <f t="shared" si="13"/>
        <v>2042</v>
      </c>
      <c r="AH77" s="100" t="str">
        <f>VLOOKUP(AM77,[1]大運!$B$31:$C$90,2,FALSE)</f>
        <v>壬戌</v>
      </c>
      <c r="AI77" s="99" t="str">
        <f>VLOOKUP($F$5&amp;"+"&amp;AM77,[1]大運!$H$45:$K$3644,3,FALSE)</f>
        <v>禄存星</v>
      </c>
      <c r="AJ77" s="73"/>
      <c r="AK77" s="99" t="str">
        <f>VLOOKUP($F$5&amp;"+"&amp;AM77,[1]大運!$H$45:$K$3644,4,FALSE)</f>
        <v>天庫星</v>
      </c>
      <c r="AL77" s="73"/>
      <c r="AM77" s="171">
        <f t="shared" si="6"/>
        <v>59</v>
      </c>
      <c r="AN77" s="164" t="str">
        <f>VLOOKUP($F$5&amp;"+"&amp;AM77,[1]大運!$H$45:$K$3644,2,FALSE)</f>
        <v>－</v>
      </c>
      <c r="AO77" s="164" t="str">
        <f>VLOOKUP($G$5&amp;"+"&amp;AM77,[1]大運!$H$45:$K$3644,2,FALSE)</f>
        <v>準方位</v>
      </c>
      <c r="AP77" s="164" t="str">
        <f>VLOOKUP($H$5&amp;"+"&amp;AM77,[1]大運!$H$45:$K$3644,2,FALSE)</f>
        <v>害</v>
      </c>
      <c r="AQ77" s="100" t="str">
        <f t="shared" si="25"/>
        <v/>
      </c>
      <c r="AR77" s="172" t="str">
        <f t="shared" si="15"/>
        <v/>
      </c>
      <c r="AS77" s="172" t="str">
        <f t="shared" si="16"/>
        <v/>
      </c>
      <c r="AT77" s="172" t="str">
        <f t="shared" si="17"/>
        <v/>
      </c>
      <c r="AU77" s="49" t="str">
        <f>INDEX('12運シート'!C:C, MATCH(1, INDEX(('12運シート'!A:A=TRIM($T$42)) * ('12運シート'!B:B=TRIM(RIGHT(AE77, 1))), 0), 0))</f>
        <v>緑生</v>
      </c>
      <c r="AV77" s="49" t="str">
        <f>INDEX('12運シート'!$E:$E, MATCH(1, INDEX((TRIM('12運シート'!$A:$A)=TRIM($T$42)) * (TRIM('12運シート'!$B:$B)=TRIM(AE77)), 0), 0))</f>
        <v>吉祥天</v>
      </c>
      <c r="AW77" s="49" t="str">
        <f t="shared" si="18"/>
        <v>まいた種が芽吹き、周囲の支援を受けて着実に育つ時期。</v>
      </c>
      <c r="AX77" s="49"/>
      <c r="AY77" s="49"/>
      <c r="AZ77" s="166" t="str">
        <f t="shared" ca="1" si="19"/>
        <v>亥</v>
      </c>
      <c r="BA77" s="173">
        <f t="shared" ca="1" si="20"/>
        <v>46203</v>
      </c>
      <c r="BB77" s="174">
        <f t="shared" ca="1" si="7"/>
        <v>12</v>
      </c>
      <c r="BC77" s="174" t="str">
        <f ca="1">VLOOKUP(BB77,[1]大運!$B$31:$C$90,2,FALSE)</f>
        <v>乙亥</v>
      </c>
      <c r="BD77" s="174" t="str">
        <f ca="1">VLOOKUP($F$5 &amp; "+" &amp; (MOD(BA77 - DATE(2024, 1, 1), 60) + 1), [1]大運!$H$45:$K$3644, 3, FALSE)</f>
        <v>牽牛星</v>
      </c>
      <c r="BE77" s="174" t="str">
        <f ca="1">VLOOKUP($F$5 &amp; "+" &amp; (MOD(BA77 - DATE(2024, 1, 1), 60) + 1), [1]大運!$H$45:$K$3644, 4, FALSE)</f>
        <v>天馳星</v>
      </c>
      <c r="BF77" s="174" t="str">
        <f ca="1">VLOOKUP($F$5 &amp; "+" &amp; (MOD(BA77 - DATE(2024, 1, 1), 60) + 1), [1]大運!$H$45:$K$3644, 2, FALSE)</f>
        <v>準方位</v>
      </c>
      <c r="BG77" s="174" t="str">
        <f ca="1">VLOOKUP($G$5 &amp; "+" &amp; (MOD(BA77 - DATE(2024, 1, 1), 60) + 1), [1]大運!$H$45:$K$3644, 2, FALSE)</f>
        <v>害</v>
      </c>
      <c r="BH77" s="174" t="str">
        <f ca="1">VLOOKUP($H$5 &amp; "+" &amp; (MOD(BA77 - DATE(2024, 1, 1), 60) + 1), [1]大運!$H$45:$K$3644, 2, FALSE)</f>
        <v>－</v>
      </c>
      <c r="BI77" s="172" t="str">
        <f t="shared" ca="1" si="21"/>
        <v/>
      </c>
      <c r="BJ77" s="172" t="str">
        <f t="shared" ca="1" si="22"/>
        <v/>
      </c>
      <c r="BK77" s="172" t="str">
        <f t="shared" ca="1" si="23"/>
        <v/>
      </c>
      <c r="BL77" s="174" t="str">
        <f ca="1">INDEX('12運シート'!C:C, MATCH(1, INDEX(('12運シート'!A:A=TRIM($T$42)) * ('12運シート'!B:B=TRIM(RIGHT(AZ77, 1))), 0), 0))</f>
        <v>立花</v>
      </c>
      <c r="BM77" s="174" t="str">
        <f ca="1">INDEX('12運シート'!$E:$E, MATCH(1, INDEX((TRIM('12運シート'!$A:$A)=TRIM($T$42)) * (TRIM('12運シート'!$B:$B)=TRIM(AZ77)), 0), 0))</f>
        <v>弁財天</v>
      </c>
      <c r="BN77" s="49" t="str">
        <f t="shared" ca="1" si="24"/>
        <v>才能がパッと花開き、今後の人生を左右する重要な決定を下す発展期。</v>
      </c>
      <c r="BO77" s="49"/>
      <c r="BP77" s="49"/>
      <c r="BQ77" s="49"/>
      <c r="BR77" s="49"/>
      <c r="BS77" s="49"/>
      <c r="BT77" s="49"/>
      <c r="BU77" s="49"/>
      <c r="BV77" s="49"/>
      <c r="BW77" s="49"/>
      <c r="BX77" s="49"/>
      <c r="BY77" s="49"/>
      <c r="BZ77" s="49"/>
      <c r="CA77" s="49"/>
      <c r="CB77" s="49"/>
      <c r="CC77" s="49"/>
      <c r="CD77" s="49"/>
      <c r="CE77" s="49"/>
      <c r="CF77" s="49"/>
      <c r="CG77" s="49"/>
      <c r="CH77" s="49"/>
      <c r="CI77" s="49"/>
      <c r="CJ77" s="49"/>
      <c r="CK77" s="49"/>
      <c r="CL77" s="49"/>
      <c r="CM77" s="49"/>
      <c r="CN77" s="49"/>
      <c r="CO77" s="49"/>
      <c r="CP77" s="49"/>
      <c r="CQ77" s="49"/>
      <c r="CR77" s="49"/>
      <c r="CS77" s="49"/>
      <c r="CT77" s="49"/>
      <c r="CU77" s="49"/>
      <c r="CV77" s="49"/>
      <c r="CW77" s="49"/>
      <c r="CX77" s="49"/>
      <c r="CY77" s="49"/>
      <c r="CZ77" s="49"/>
      <c r="DA77" s="49"/>
      <c r="DB77" s="49"/>
      <c r="DC77" s="49"/>
      <c r="DD77" s="49"/>
      <c r="DE77" s="49"/>
      <c r="DF77" s="49"/>
      <c r="DG77" s="49"/>
      <c r="DH77" s="49"/>
      <c r="DI77" s="49"/>
      <c r="DJ77" s="49"/>
      <c r="DK77" s="49"/>
      <c r="DL77" s="49"/>
      <c r="DM77" s="49"/>
      <c r="DN77" s="49"/>
      <c r="DO77" s="49"/>
      <c r="DP77" s="49"/>
      <c r="DQ77" s="49"/>
      <c r="DR77" s="49"/>
      <c r="DS77" s="49"/>
      <c r="DT77" s="49"/>
      <c r="DU77" s="49"/>
      <c r="DV77" s="49"/>
      <c r="DW77" s="49"/>
      <c r="DX77" s="49"/>
    </row>
    <row r="78" spans="1:128" ht="18" customHeight="1">
      <c r="A78" s="49"/>
      <c r="B78" s="49"/>
      <c r="C78" s="49"/>
      <c r="D78" s="49"/>
      <c r="E78" s="49"/>
      <c r="F78" s="49"/>
      <c r="G78" s="49"/>
      <c r="H78" s="49"/>
      <c r="I78" s="49"/>
      <c r="J78" s="49"/>
      <c r="K78" s="49"/>
      <c r="L78" s="49"/>
      <c r="M78" s="49"/>
      <c r="N78" s="49"/>
      <c r="O78" s="49"/>
      <c r="P78" s="49"/>
      <c r="Q78" s="49"/>
      <c r="R78" s="49"/>
      <c r="S78" s="49"/>
      <c r="T78" s="49"/>
      <c r="U78" s="52"/>
      <c r="V78" s="49"/>
      <c r="W78" s="49"/>
      <c r="X78" s="53"/>
      <c r="Y78" s="49"/>
      <c r="Z78" s="49"/>
      <c r="AA78" s="53"/>
      <c r="AB78" s="53"/>
      <c r="AC78" s="49"/>
      <c r="AD78" s="49"/>
      <c r="AE78" s="166" t="str">
        <f t="shared" si="12"/>
        <v>亥</v>
      </c>
      <c r="AF78" s="167">
        <f t="shared" si="5"/>
        <v>62</v>
      </c>
      <c r="AG78" s="168">
        <f t="shared" si="13"/>
        <v>2043</v>
      </c>
      <c r="AH78" s="100" t="str">
        <f>VLOOKUP(AM78,[1]大運!$B$31:$C$90,2,FALSE)</f>
        <v>癸亥</v>
      </c>
      <c r="AI78" s="99" t="str">
        <f>VLOOKUP($F$5&amp;"+"&amp;AM78,[1]大運!$H$45:$K$3644,3,FALSE)</f>
        <v>司禄星</v>
      </c>
      <c r="AJ78" s="73"/>
      <c r="AK78" s="99" t="str">
        <f>VLOOKUP($F$5&amp;"+"&amp;AM78,[1]大運!$H$45:$K$3644,4,FALSE)</f>
        <v>天馳星</v>
      </c>
      <c r="AL78" s="73"/>
      <c r="AM78" s="181">
        <f t="shared" si="6"/>
        <v>60</v>
      </c>
      <c r="AN78" s="164" t="str">
        <f>VLOOKUP($F$5&amp;"+"&amp;AM78,[1]大運!$H$45:$K$3644,2,FALSE)</f>
        <v>準方位</v>
      </c>
      <c r="AO78" s="164" t="str">
        <f>VLOOKUP($G$5&amp;"+"&amp;AM78,[1]大運!$H$45:$K$3644,2,FALSE)</f>
        <v>害</v>
      </c>
      <c r="AP78" s="164" t="str">
        <f>VLOOKUP($H$5&amp;"+"&amp;AM78,[1]大運!$H$45:$K$3644,2,FALSE)</f>
        <v>－</v>
      </c>
      <c r="AQ78" s="100" t="str">
        <f t="shared" si="25"/>
        <v>日</v>
      </c>
      <c r="AR78" s="172" t="str">
        <f t="shared" si="15"/>
        <v>戊癸干合</v>
      </c>
      <c r="AS78" s="172" t="str">
        <f t="shared" si="16"/>
        <v/>
      </c>
      <c r="AT78" s="172" t="str">
        <f t="shared" si="17"/>
        <v/>
      </c>
      <c r="AU78" s="49" t="str">
        <f>INDEX('12運シート'!C:C, MATCH(1, INDEX(('12運シート'!A:A=TRIM($T$42)) * ('12運シート'!B:B=TRIM(RIGHT(AE78, 1))), 0), 0))</f>
        <v>立花</v>
      </c>
      <c r="AV78" s="49" t="str">
        <f>INDEX('12運シート'!$E:$E, MATCH(1, INDEX((TRIM('12運シート'!$A:$A)=TRIM($T$42)) * (TRIM('12運シート'!$B:$B)=TRIM(AE78)), 0), 0))</f>
        <v>弁財天</v>
      </c>
      <c r="AW78" s="49" t="str">
        <f t="shared" si="18"/>
        <v>才能がパッと花開き、今後の人生を左右する重要な決定を下す発展期。</v>
      </c>
      <c r="AX78" s="49"/>
      <c r="AY78" s="49"/>
      <c r="AZ78" s="166" t="str">
        <f t="shared" ca="1" si="19"/>
        <v>子</v>
      </c>
      <c r="BA78" s="173">
        <f t="shared" ca="1" si="20"/>
        <v>46204</v>
      </c>
      <c r="BB78" s="174">
        <f t="shared" ca="1" si="7"/>
        <v>13</v>
      </c>
      <c r="BC78" s="174" t="str">
        <f ca="1">VLOOKUP(BB78,[1]大運!$B$31:$C$90,2,FALSE)</f>
        <v>丙子</v>
      </c>
      <c r="BD78" s="174" t="str">
        <f ca="1">VLOOKUP($F$5 &amp; "+" &amp; (MOD(BA78 - DATE(2024, 1, 1), 60) + 1), [1]大運!$H$45:$K$3644, 3, FALSE)</f>
        <v>龍高星</v>
      </c>
      <c r="BE78" s="174" t="str">
        <f ca="1">VLOOKUP($F$5 &amp; "+" &amp; (MOD(BA78 - DATE(2024, 1, 1), 60) + 1), [1]大運!$H$45:$K$3644, 4, FALSE)</f>
        <v>天報星</v>
      </c>
      <c r="BF78" s="174" t="str">
        <f ca="1">VLOOKUP($F$5 &amp; "+" &amp; (MOD(BA78 - DATE(2024, 1, 1), 60) + 1), [1]大運!$H$45:$K$3644, 2, FALSE)</f>
        <v>同</v>
      </c>
      <c r="BG78" s="174" t="str">
        <f ca="1">VLOOKUP($G$5 &amp; "+" &amp; (MOD(BA78 - DATE(2024, 1, 1), 60) + 1), [1]大運!$H$45:$K$3644, 2, FALSE)</f>
        <v>大半会</v>
      </c>
      <c r="BH78" s="174" t="str">
        <f ca="1">VLOOKUP($H$5 &amp; "+" &amp; (MOD(BA78 - DATE(2024, 1, 1), 60) + 1), [1]大運!$H$45:$K$3644, 2, FALSE)</f>
        <v>破</v>
      </c>
      <c r="BI78" s="172" t="str">
        <f t="shared" ca="1" si="21"/>
        <v/>
      </c>
      <c r="BJ78" s="172" t="str">
        <f t="shared" ca="1" si="22"/>
        <v/>
      </c>
      <c r="BK78" s="172" t="str">
        <f t="shared" ca="1" si="23"/>
        <v>丙辛干合</v>
      </c>
      <c r="BL78" s="174" t="str">
        <f ca="1">INDEX('12運シート'!C:C, MATCH(1, INDEX(('12運シート'!A:A=TRIM($T$42)) * ('12運シート'!B:B=TRIM(RIGHT(AZ78, 1))), 0), 0))</f>
        <v>健弱</v>
      </c>
      <c r="BM78" s="174" t="str">
        <f ca="1">INDEX('12運シート'!$E:$E, MATCH(1, INDEX((TRIM('12運シート'!$A:$A)=TRIM($T$42)) * (TRIM('12運シート'!$B:$B)=TRIM(AZ78)), 0), 0))</f>
        <v>曇天</v>
      </c>
      <c r="BN78" s="49" t="str">
        <f t="shared" ca="1" si="24"/>
        <v>運気の勢いに心身が追いつかない小休止。自己治癒の時期。</v>
      </c>
      <c r="BO78" s="49"/>
      <c r="BP78" s="49"/>
      <c r="BQ78" s="49"/>
      <c r="BR78" s="49"/>
      <c r="BS78" s="49"/>
      <c r="BT78" s="49"/>
      <c r="BU78" s="49"/>
      <c r="BV78" s="49"/>
      <c r="BW78" s="49"/>
      <c r="BX78" s="49"/>
      <c r="BY78" s="49"/>
      <c r="BZ78" s="49"/>
      <c r="CA78" s="49"/>
      <c r="CB78" s="49"/>
      <c r="CC78" s="49"/>
      <c r="CD78" s="49"/>
      <c r="CE78" s="49"/>
      <c r="CF78" s="49"/>
      <c r="CG78" s="49"/>
      <c r="CH78" s="49"/>
      <c r="CI78" s="49"/>
      <c r="CJ78" s="49"/>
      <c r="CK78" s="49"/>
      <c r="CL78" s="49"/>
      <c r="CM78" s="49"/>
      <c r="CN78" s="49"/>
      <c r="CO78" s="49"/>
      <c r="CP78" s="49"/>
      <c r="CQ78" s="49"/>
      <c r="CR78" s="49"/>
      <c r="CS78" s="49"/>
      <c r="CT78" s="49"/>
      <c r="CU78" s="49"/>
      <c r="CV78" s="49"/>
      <c r="CW78" s="49"/>
      <c r="CX78" s="49"/>
      <c r="CY78" s="49"/>
      <c r="CZ78" s="49"/>
      <c r="DA78" s="49"/>
      <c r="DB78" s="49"/>
      <c r="DC78" s="49"/>
      <c r="DD78" s="49"/>
      <c r="DE78" s="49"/>
      <c r="DF78" s="49"/>
      <c r="DG78" s="49"/>
      <c r="DH78" s="49"/>
      <c r="DI78" s="49"/>
      <c r="DJ78" s="49"/>
      <c r="DK78" s="49"/>
      <c r="DL78" s="49"/>
      <c r="DM78" s="49"/>
      <c r="DN78" s="49"/>
      <c r="DO78" s="49"/>
      <c r="DP78" s="49"/>
      <c r="DQ78" s="49"/>
      <c r="DR78" s="49"/>
      <c r="DS78" s="49"/>
      <c r="DT78" s="49"/>
      <c r="DU78" s="49"/>
      <c r="DV78" s="49"/>
      <c r="DW78" s="49"/>
      <c r="DX78" s="49"/>
    </row>
    <row r="79" spans="1:128" ht="18" customHeight="1">
      <c r="A79" s="49"/>
      <c r="B79" s="49"/>
      <c r="C79" s="49"/>
      <c r="D79" s="49"/>
      <c r="E79" s="49"/>
      <c r="F79" s="49"/>
      <c r="G79" s="49"/>
      <c r="H79" s="49"/>
      <c r="I79" s="49"/>
      <c r="J79" s="49"/>
      <c r="K79" s="49"/>
      <c r="L79" s="49"/>
      <c r="M79" s="49"/>
      <c r="N79" s="49"/>
      <c r="O79" s="49"/>
      <c r="P79" s="49"/>
      <c r="Q79" s="49"/>
      <c r="R79" s="49"/>
      <c r="S79" s="49"/>
      <c r="T79" s="49"/>
      <c r="U79" s="52"/>
      <c r="V79" s="49"/>
      <c r="W79" s="49"/>
      <c r="X79" s="53"/>
      <c r="Y79" s="49"/>
      <c r="Z79" s="49"/>
      <c r="AA79" s="53"/>
      <c r="AB79" s="53"/>
      <c r="AC79" s="49"/>
      <c r="AD79" s="49"/>
      <c r="AE79" s="166" t="str">
        <f t="shared" si="12"/>
        <v>子</v>
      </c>
      <c r="AF79" s="167">
        <f t="shared" si="5"/>
        <v>63</v>
      </c>
      <c r="AG79" s="168">
        <f t="shared" si="13"/>
        <v>2044</v>
      </c>
      <c r="AH79" s="100" t="str">
        <f>VLOOKUP(AM79,[1]大運!$B$31:$C$90,2,FALSE)</f>
        <v>甲子</v>
      </c>
      <c r="AI79" s="99" t="str">
        <f>VLOOKUP($F$5&amp;"+"&amp;AM79,[1]大運!$H$45:$K$3644,3,FALSE)</f>
        <v>車騎星</v>
      </c>
      <c r="AJ79" s="73"/>
      <c r="AK79" s="99" t="str">
        <f>VLOOKUP($F$5&amp;"+"&amp;AM79,[1]大運!$H$45:$K$3644,4,FALSE)</f>
        <v>天報星</v>
      </c>
      <c r="AL79" s="73"/>
      <c r="AM79" s="171">
        <f t="shared" si="6"/>
        <v>1</v>
      </c>
      <c r="AN79" s="164" t="str">
        <f>VLOOKUP($F$5&amp;"+"&amp;AM79,[1]大運!$H$45:$K$3644,2,FALSE)</f>
        <v>同</v>
      </c>
      <c r="AO79" s="164" t="str">
        <f>VLOOKUP($G$5&amp;"+"&amp;AM79,[1]大運!$H$45:$K$3644,2,FALSE)</f>
        <v>半会</v>
      </c>
      <c r="AP79" s="164" t="str">
        <f>VLOOKUP($H$5&amp;"+"&amp;AM79,[1]大運!$H$45:$K$3644,2,FALSE)</f>
        <v>破</v>
      </c>
      <c r="AQ79" s="100" t="str">
        <f t="shared" si="25"/>
        <v/>
      </c>
      <c r="AR79" s="172" t="str">
        <f t="shared" si="15"/>
        <v/>
      </c>
      <c r="AS79" s="172" t="str">
        <f t="shared" si="16"/>
        <v/>
      </c>
      <c r="AT79" s="172" t="str">
        <f t="shared" si="17"/>
        <v/>
      </c>
      <c r="AU79" s="49" t="str">
        <f>INDEX('12運シート'!C:C, MATCH(1, INDEX(('12運シート'!A:A=TRIM($T$42)) * ('12運シート'!B:B=TRIM(RIGHT(AE79, 1))), 0), 0))</f>
        <v>健弱</v>
      </c>
      <c r="AV79" s="49" t="str">
        <f>INDEX('12運シート'!$E:$E, MATCH(1, INDEX((TRIM('12運シート'!$A:$A)=TRIM($T$42)) * (TRIM('12運シート'!$B:$B)=TRIM(AE79)), 0), 0))</f>
        <v>曇天</v>
      </c>
      <c r="AW79" s="49" t="str">
        <f t="shared" si="18"/>
        <v>運気の勢いに心身が追いつかない小休止。自己治癒の時期。</v>
      </c>
      <c r="AX79" s="49"/>
      <c r="AY79" s="49"/>
      <c r="AZ79" s="166" t="str">
        <f t="shared" ca="1" si="19"/>
        <v>丑</v>
      </c>
      <c r="BA79" s="173">
        <f t="shared" ca="1" si="20"/>
        <v>46205</v>
      </c>
      <c r="BB79" s="174">
        <f t="shared" ca="1" si="7"/>
        <v>14</v>
      </c>
      <c r="BC79" s="174" t="str">
        <f ca="1">VLOOKUP(BB79,[1]大運!$B$31:$C$90,2,FALSE)</f>
        <v>丁丑</v>
      </c>
      <c r="BD79" s="174" t="str">
        <f ca="1">VLOOKUP($F$5 &amp; "+" &amp; (MOD(BA79 - DATE(2024, 1, 1), 60) + 1), [1]大運!$H$45:$K$3644, 3, FALSE)</f>
        <v>玉堂星</v>
      </c>
      <c r="BE79" s="174" t="str">
        <f ca="1">VLOOKUP($F$5 &amp; "+" &amp; (MOD(BA79 - DATE(2024, 1, 1), 60) + 1), [1]大運!$H$45:$K$3644, 4, FALSE)</f>
        <v>天印星</v>
      </c>
      <c r="BF79" s="174" t="str">
        <f ca="1">VLOOKUP($F$5 &amp; "+" &amp; (MOD(BA79 - DATE(2024, 1, 1), 60) + 1), [1]大運!$H$45:$K$3644, 2, FALSE)</f>
        <v>支合</v>
      </c>
      <c r="BG79" s="174" t="str">
        <f ca="1">VLOOKUP($G$5 &amp; "+" &amp; (MOD(BA79 - DATE(2024, 1, 1), 60) + 1), [1]大運!$H$45:$K$3644, 2, FALSE)</f>
        <v>－</v>
      </c>
      <c r="BH79" s="174" t="str">
        <f ca="1">VLOOKUP($H$5 &amp; "+" &amp; (MOD(BA79 - DATE(2024, 1, 1), 60) + 1), [1]大運!$H$45:$K$3644, 2, FALSE)</f>
        <v>半会</v>
      </c>
      <c r="BI79" s="172" t="str">
        <f t="shared" ca="1" si="21"/>
        <v/>
      </c>
      <c r="BJ79" s="172" t="str">
        <f t="shared" ca="1" si="22"/>
        <v/>
      </c>
      <c r="BK79" s="172" t="str">
        <f t="shared" ca="1" si="23"/>
        <v/>
      </c>
      <c r="BL79" s="174" t="str">
        <f ca="1">INDEX('12運シート'!C:C, MATCH(1, INDEX(('12運シート'!A:A=TRIM($T$42)) * ('12運シート'!B:B=TRIM(RIGHT(AZ79, 1))), 0), 0))</f>
        <v>達成</v>
      </c>
      <c r="BM79" s="174" t="str">
        <f ca="1">INDEX('12運シート'!$E:$E, MATCH(1, INDEX((TRIM('12運シート'!$A:$A)=TRIM($T$42)) * (TRIM('12運シート'!$B:$B)=TRIM(AZ79)), 0), 0))</f>
        <v>韋駄天</v>
      </c>
      <c r="BN79" s="49" t="str">
        <f t="shared" ca="1" si="24"/>
        <v>運気絶頂。これまでの努力が実を結び、最高のスポットライトを浴びる。</v>
      </c>
      <c r="BO79" s="49"/>
      <c r="BP79" s="49"/>
      <c r="BQ79" s="49"/>
      <c r="BR79" s="49"/>
      <c r="BS79" s="49"/>
      <c r="BT79" s="49"/>
      <c r="BU79" s="49"/>
      <c r="BV79" s="49"/>
      <c r="BW79" s="49"/>
      <c r="BX79" s="49"/>
      <c r="BY79" s="49"/>
      <c r="BZ79" s="49"/>
      <c r="CA79" s="49"/>
      <c r="CB79" s="49"/>
      <c r="CC79" s="49"/>
      <c r="CD79" s="49"/>
      <c r="CE79" s="49"/>
      <c r="CF79" s="49"/>
      <c r="CG79" s="49"/>
      <c r="CH79" s="49"/>
      <c r="CI79" s="49"/>
      <c r="CJ79" s="49"/>
      <c r="CK79" s="49"/>
      <c r="CL79" s="49"/>
      <c r="CM79" s="49"/>
      <c r="CN79" s="49"/>
      <c r="CO79" s="49"/>
      <c r="CP79" s="49"/>
      <c r="CQ79" s="49"/>
      <c r="CR79" s="49"/>
      <c r="CS79" s="49"/>
      <c r="CT79" s="49"/>
      <c r="CU79" s="49"/>
      <c r="CV79" s="49"/>
      <c r="CW79" s="49"/>
      <c r="CX79" s="49"/>
      <c r="CY79" s="49"/>
      <c r="CZ79" s="49"/>
      <c r="DA79" s="49"/>
      <c r="DB79" s="49"/>
      <c r="DC79" s="49"/>
      <c r="DD79" s="49"/>
      <c r="DE79" s="49"/>
      <c r="DF79" s="49"/>
      <c r="DG79" s="49"/>
      <c r="DH79" s="49"/>
      <c r="DI79" s="49"/>
      <c r="DJ79" s="49"/>
      <c r="DK79" s="49"/>
      <c r="DL79" s="49"/>
      <c r="DM79" s="49"/>
      <c r="DN79" s="49"/>
      <c r="DO79" s="49"/>
      <c r="DP79" s="49"/>
      <c r="DQ79" s="49"/>
      <c r="DR79" s="49"/>
      <c r="DS79" s="49"/>
      <c r="DT79" s="49"/>
      <c r="DU79" s="49"/>
      <c r="DV79" s="49"/>
      <c r="DW79" s="49"/>
      <c r="DX79" s="49"/>
    </row>
    <row r="80" spans="1:128" ht="18" customHeight="1">
      <c r="A80" s="49"/>
      <c r="B80" s="49"/>
      <c r="C80" s="49"/>
      <c r="D80" s="49"/>
      <c r="E80" s="49"/>
      <c r="F80" s="49"/>
      <c r="G80" s="49"/>
      <c r="H80" s="49"/>
      <c r="I80" s="49"/>
      <c r="J80" s="49"/>
      <c r="K80" s="49"/>
      <c r="L80" s="49"/>
      <c r="M80" s="49"/>
      <c r="N80" s="49"/>
      <c r="O80" s="49"/>
      <c r="P80" s="49"/>
      <c r="Q80" s="49"/>
      <c r="R80" s="49"/>
      <c r="S80" s="49"/>
      <c r="T80" s="49"/>
      <c r="U80" s="52"/>
      <c r="V80" s="49"/>
      <c r="W80" s="49"/>
      <c r="X80" s="53"/>
      <c r="Y80" s="49"/>
      <c r="Z80" s="49"/>
      <c r="AA80" s="53"/>
      <c r="AB80" s="53"/>
      <c r="AC80" s="49"/>
      <c r="AD80" s="49"/>
      <c r="AE80" s="166" t="str">
        <f t="shared" si="12"/>
        <v>丑</v>
      </c>
      <c r="AF80" s="167">
        <f t="shared" si="5"/>
        <v>64</v>
      </c>
      <c r="AG80" s="168">
        <f t="shared" si="13"/>
        <v>2045</v>
      </c>
      <c r="AH80" s="100" t="str">
        <f>VLOOKUP(AM80,[1]大運!$B$31:$C$90,2,FALSE)</f>
        <v>乙丑</v>
      </c>
      <c r="AI80" s="99" t="str">
        <f>VLOOKUP($F$5&amp;"+"&amp;AM80,[1]大運!$H$45:$K$3644,3,FALSE)</f>
        <v>牽牛星</v>
      </c>
      <c r="AJ80" s="73"/>
      <c r="AK80" s="99" t="str">
        <f>VLOOKUP($F$5&amp;"+"&amp;AM80,[1]大運!$H$45:$K$3644,4,FALSE)</f>
        <v>天印星</v>
      </c>
      <c r="AL80" s="73"/>
      <c r="AM80" s="171">
        <f t="shared" si="6"/>
        <v>2</v>
      </c>
      <c r="AN80" s="164" t="str">
        <f>VLOOKUP($F$5&amp;"+"&amp;AM80,[1]大運!$H$45:$K$3644,2,FALSE)</f>
        <v>支合</v>
      </c>
      <c r="AO80" s="164" t="str">
        <f>VLOOKUP($G$5&amp;"+"&amp;AM80,[1]大運!$H$45:$K$3644,2,FALSE)</f>
        <v>－</v>
      </c>
      <c r="AP80" s="164" t="str">
        <f>VLOOKUP($H$5&amp;"+"&amp;AM80,[1]大運!$H$45:$K$3644,2,FALSE)</f>
        <v>半会</v>
      </c>
      <c r="AQ80" s="100" t="str">
        <f t="shared" si="25"/>
        <v/>
      </c>
      <c r="AR80" s="172" t="str">
        <f t="shared" si="15"/>
        <v/>
      </c>
      <c r="AS80" s="172" t="str">
        <f t="shared" si="16"/>
        <v/>
      </c>
      <c r="AT80" s="172" t="str">
        <f t="shared" si="17"/>
        <v/>
      </c>
      <c r="AU80" s="49" t="str">
        <f>INDEX('12運シート'!C:C, MATCH(1, INDEX(('12運シート'!A:A=TRIM($T$42)) * ('12運シート'!B:B=TRIM(RIGHT(AE80, 1))), 0), 0))</f>
        <v>達成</v>
      </c>
      <c r="AV80" s="49" t="str">
        <f>INDEX('12運シート'!$E:$E, MATCH(1, INDEX((TRIM('12運シート'!$A:$A)=TRIM($T$42)) * (TRIM('12運シート'!$B:$B)=TRIM(AE80)), 0), 0))</f>
        <v>韋駄天</v>
      </c>
      <c r="AW80" s="49" t="str">
        <f t="shared" si="18"/>
        <v>運気絶頂。これまでの努力が実を結び、最高のスポットライトを浴びる。</v>
      </c>
      <c r="AX80" s="49"/>
      <c r="AY80" s="49"/>
      <c r="AZ80" s="166" t="str">
        <f t="shared" ca="1" si="19"/>
        <v>寅</v>
      </c>
      <c r="BA80" s="173">
        <f t="shared" ca="1" si="20"/>
        <v>46206</v>
      </c>
      <c r="BB80" s="174">
        <f t="shared" ca="1" si="7"/>
        <v>15</v>
      </c>
      <c r="BC80" s="174" t="str">
        <f ca="1">VLOOKUP(BB80,[1]大運!$B$31:$C$90,2,FALSE)</f>
        <v>戊寅</v>
      </c>
      <c r="BD80" s="174" t="str">
        <f ca="1">VLOOKUP($F$5 &amp; "+" &amp; (MOD(BA80 - DATE(2024, 1, 1), 60) + 1), [1]大運!$H$45:$K$3644, 3, FALSE)</f>
        <v>貫索星</v>
      </c>
      <c r="BE80" s="174" t="str">
        <f ca="1">VLOOKUP($F$5 &amp; "+" &amp; (MOD(BA80 - DATE(2024, 1, 1), 60) + 1), [1]大運!$H$45:$K$3644, 4, FALSE)</f>
        <v>天貴星</v>
      </c>
      <c r="BF80" s="174" t="str">
        <f ca="1">VLOOKUP($F$5 &amp; "+" &amp; (MOD(BA80 - DATE(2024, 1, 1), 60) + 1), [1]大運!$H$45:$K$3644, 2, FALSE)</f>
        <v>－</v>
      </c>
      <c r="BG80" s="174" t="str">
        <f ca="1">VLOOKUP($G$5 &amp; "+" &amp; (MOD(BA80 - DATE(2024, 1, 1), 60) + 1), [1]大運!$H$45:$K$3644, 2, FALSE)</f>
        <v>対冲</v>
      </c>
      <c r="BH80" s="174" t="str">
        <f ca="1">VLOOKUP($H$5 &amp; "+" &amp; (MOD(BA80 - DATE(2024, 1, 1), 60) + 1), [1]大運!$H$45:$K$3644, 2, FALSE)</f>
        <v>－</v>
      </c>
      <c r="BI80" s="172" t="str">
        <f t="shared" ca="1" si="21"/>
        <v/>
      </c>
      <c r="BJ80" s="172" t="str">
        <f t="shared" ca="1" si="22"/>
        <v/>
      </c>
      <c r="BK80" s="172" t="str">
        <f t="shared" ca="1" si="23"/>
        <v/>
      </c>
      <c r="BL80" s="174" t="str">
        <f ca="1">INDEX('12運シート'!C:C, MATCH(1, INDEX(('12運シート'!A:A=TRIM($T$42)) * ('12運シート'!B:B=TRIM(RIGHT(AZ80, 1))), 0), 0))</f>
        <v>乱気</v>
      </c>
      <c r="BM80" s="174" t="str">
        <f ca="1">INDEX('12運シート'!$E:$E, MATCH(1, INDEX((TRIM('12運シート'!$A:$A)=TRIM($T$42)) * (TRIM('12運シート'!$B:$B)=TRIM(AZ80)), 0), 0))</f>
        <v>伏魔天</v>
      </c>
      <c r="BN80" s="49" t="str">
        <f t="shared" ca="1" si="24"/>
        <v>強すぎる運気の反動で迷いや摩擦が生じる。理性と現状維持が必要な嵐。</v>
      </c>
      <c r="BO80" s="49"/>
      <c r="BP80" s="49"/>
      <c r="BQ80" s="49"/>
      <c r="BR80" s="49"/>
      <c r="BS80" s="49"/>
      <c r="BT80" s="49"/>
      <c r="BU80" s="49"/>
      <c r="BV80" s="49"/>
      <c r="BW80" s="49"/>
      <c r="BX80" s="49"/>
      <c r="BY80" s="49"/>
      <c r="BZ80" s="49"/>
      <c r="CA80" s="49"/>
      <c r="CB80" s="49"/>
      <c r="CC80" s="49"/>
      <c r="CD80" s="49"/>
      <c r="CE80" s="49"/>
      <c r="CF80" s="49"/>
      <c r="CG80" s="49"/>
      <c r="CH80" s="49"/>
      <c r="CI80" s="49"/>
      <c r="CJ80" s="49"/>
      <c r="CK80" s="49"/>
      <c r="CL80" s="49"/>
      <c r="CM80" s="49"/>
      <c r="CN80" s="49"/>
      <c r="CO80" s="49"/>
      <c r="CP80" s="49"/>
      <c r="CQ80" s="49"/>
      <c r="CR80" s="49"/>
      <c r="CS80" s="49"/>
      <c r="CT80" s="49"/>
      <c r="CU80" s="49"/>
      <c r="CV80" s="49"/>
      <c r="CW80" s="49"/>
      <c r="CX80" s="49"/>
      <c r="CY80" s="49"/>
      <c r="CZ80" s="49"/>
      <c r="DA80" s="49"/>
      <c r="DB80" s="49"/>
      <c r="DC80" s="49"/>
      <c r="DD80" s="49"/>
      <c r="DE80" s="49"/>
      <c r="DF80" s="49"/>
      <c r="DG80" s="49"/>
      <c r="DH80" s="49"/>
      <c r="DI80" s="49"/>
      <c r="DJ80" s="49"/>
      <c r="DK80" s="49"/>
      <c r="DL80" s="49"/>
      <c r="DM80" s="49"/>
      <c r="DN80" s="49"/>
      <c r="DO80" s="49"/>
      <c r="DP80" s="49"/>
      <c r="DQ80" s="49"/>
      <c r="DR80" s="49"/>
      <c r="DS80" s="49"/>
      <c r="DT80" s="49"/>
      <c r="DU80" s="49"/>
      <c r="DV80" s="49"/>
      <c r="DW80" s="49"/>
      <c r="DX80" s="49"/>
    </row>
    <row r="81" spans="1:128" ht="18" customHeight="1">
      <c r="A81" s="49"/>
      <c r="B81" s="49"/>
      <c r="C81" s="49"/>
      <c r="D81" s="49"/>
      <c r="E81" s="49"/>
      <c r="F81" s="49"/>
      <c r="G81" s="49"/>
      <c r="H81" s="49"/>
      <c r="I81" s="49"/>
      <c r="J81" s="49"/>
      <c r="K81" s="49"/>
      <c r="L81" s="49"/>
      <c r="M81" s="49"/>
      <c r="N81" s="49"/>
      <c r="O81" s="49"/>
      <c r="P81" s="49"/>
      <c r="Q81" s="49"/>
      <c r="R81" s="49"/>
      <c r="S81" s="49"/>
      <c r="T81" s="49"/>
      <c r="U81" s="52"/>
      <c r="V81" s="49"/>
      <c r="W81" s="49"/>
      <c r="X81" s="53"/>
      <c r="Y81" s="49"/>
      <c r="Z81" s="49"/>
      <c r="AA81" s="53"/>
      <c r="AB81" s="53"/>
      <c r="AC81" s="49"/>
      <c r="AD81" s="49"/>
      <c r="AE81" s="166" t="str">
        <f t="shared" si="12"/>
        <v>寅</v>
      </c>
      <c r="AF81" s="167">
        <f t="shared" si="5"/>
        <v>65</v>
      </c>
      <c r="AG81" s="168">
        <f t="shared" si="13"/>
        <v>2046</v>
      </c>
      <c r="AH81" s="100" t="str">
        <f>VLOOKUP(AM81,[1]大運!$B$31:$C$90,2,FALSE)</f>
        <v>丙寅</v>
      </c>
      <c r="AI81" s="99" t="str">
        <f>VLOOKUP($F$5&amp;"+"&amp;AM81,[1]大運!$H$45:$K$3644,3,FALSE)</f>
        <v>龍高星</v>
      </c>
      <c r="AJ81" s="73"/>
      <c r="AK81" s="99" t="str">
        <f>VLOOKUP($F$5&amp;"+"&amp;AM81,[1]大運!$H$45:$K$3644,4,FALSE)</f>
        <v>天貴星</v>
      </c>
      <c r="AL81" s="73"/>
      <c r="AM81" s="171">
        <f t="shared" si="6"/>
        <v>3</v>
      </c>
      <c r="AN81" s="164" t="str">
        <f>VLOOKUP($F$5&amp;"+"&amp;AM81,[1]大運!$H$45:$K$3644,2,FALSE)</f>
        <v>－</v>
      </c>
      <c r="AO81" s="164" t="str">
        <f>VLOOKUP($G$5&amp;"+"&amp;AM81,[1]大運!$H$45:$K$3644,2,FALSE)</f>
        <v>納音</v>
      </c>
      <c r="AP81" s="164" t="str">
        <f>VLOOKUP($H$5&amp;"+"&amp;AM81,[1]大運!$H$45:$K$3644,2,FALSE)</f>
        <v>－</v>
      </c>
      <c r="AQ81" s="100" t="str">
        <f t="shared" si="25"/>
        <v>年</v>
      </c>
      <c r="AR81" s="172" t="str">
        <f t="shared" si="15"/>
        <v/>
      </c>
      <c r="AS81" s="172" t="str">
        <f t="shared" si="16"/>
        <v/>
      </c>
      <c r="AT81" s="172" t="str">
        <f t="shared" si="17"/>
        <v>丙辛干合</v>
      </c>
      <c r="AU81" s="49" t="str">
        <f>INDEX('12運シート'!C:C, MATCH(1, INDEX(('12運シート'!A:A=TRIM($T$42)) * ('12運シート'!B:B=TRIM(RIGHT(AE81, 1))), 0), 0))</f>
        <v>乱気</v>
      </c>
      <c r="AV81" s="49" t="str">
        <f>INDEX('12運シート'!$E:$E, MATCH(1, INDEX((TRIM('12運シート'!$A:$A)=TRIM($T$42)) * (TRIM('12運シート'!$B:$B)=TRIM(AE81)), 0), 0))</f>
        <v>伏魔天</v>
      </c>
      <c r="AW81" s="49" t="str">
        <f t="shared" si="18"/>
        <v>強すぎる運気の反動で迷いや摩擦が生じる。理性と現状維持が必要な嵐。</v>
      </c>
      <c r="AX81" s="49"/>
      <c r="AY81" s="49"/>
      <c r="AZ81" s="166" t="str">
        <f t="shared" ca="1" si="19"/>
        <v>卯</v>
      </c>
      <c r="BA81" s="173">
        <f t="shared" ca="1" si="20"/>
        <v>46207</v>
      </c>
      <c r="BB81" s="174">
        <f t="shared" ca="1" si="7"/>
        <v>16</v>
      </c>
      <c r="BC81" s="174" t="str">
        <f ca="1">VLOOKUP(BB81,[1]大運!$B$31:$C$90,2,FALSE)</f>
        <v>己卯</v>
      </c>
      <c r="BD81" s="174" t="str">
        <f ca="1">VLOOKUP($F$5 &amp; "+" &amp; (MOD(BA81 - DATE(2024, 1, 1), 60) + 1), [1]大運!$H$45:$K$3644, 3, FALSE)</f>
        <v>石門星</v>
      </c>
      <c r="BE81" s="174" t="str">
        <f ca="1">VLOOKUP($F$5 &amp; "+" &amp; (MOD(BA81 - DATE(2024, 1, 1), 60) + 1), [1]大運!$H$45:$K$3644, 4, FALSE)</f>
        <v>天恍星</v>
      </c>
      <c r="BF81" s="174" t="str">
        <f ca="1">VLOOKUP($F$5 &amp; "+" &amp; (MOD(BA81 - DATE(2024, 1, 1), 60) + 1), [1]大運!$H$45:$K$3644, 2, FALSE)</f>
        <v>刑</v>
      </c>
      <c r="BG81" s="174" t="str">
        <f ca="1">VLOOKUP($G$5 &amp; "+" &amp; (MOD(BA81 - DATE(2024, 1, 1), 60) + 1), [1]大運!$H$45:$K$3644, 2, FALSE)</f>
        <v>－</v>
      </c>
      <c r="BH81" s="174" t="str">
        <f ca="1">VLOOKUP($H$5 &amp; "+" &amp; (MOD(BA81 - DATE(2024, 1, 1), 60) + 1), [1]大運!$H$45:$K$3644, 2, FALSE)</f>
        <v>対冲</v>
      </c>
      <c r="BI81" s="172" t="str">
        <f t="shared" ca="1" si="21"/>
        <v/>
      </c>
      <c r="BJ81" s="172" t="str">
        <f t="shared" ca="1" si="22"/>
        <v/>
      </c>
      <c r="BK81" s="172" t="str">
        <f t="shared" ca="1" si="23"/>
        <v/>
      </c>
      <c r="BL81" s="174" t="str">
        <f ca="1">INDEX('12運シート'!C:C, MATCH(1, INDEX(('12運シート'!A:A=TRIM($T$42)) * ('12運シート'!B:B=TRIM(RIGHT(AZ81, 1))), 0), 0))</f>
        <v>再会</v>
      </c>
      <c r="BM81" s="174" t="str">
        <f ca="1">INDEX('12運シート'!$E:$E, MATCH(1, INDEX((TRIM('12運シート'!$A:$A)=TRIM($T$42)) * (TRIM('12運シート'!$B:$B)=TRIM(AZ81)), 0), 0))</f>
        <v>有頂天</v>
      </c>
      <c r="BN81" s="49" t="str">
        <f t="shared" ca="1" si="24"/>
        <v>第2の絶頂期。過去の縁が繋がり、周囲を巻き込み大きな成果を出す。</v>
      </c>
      <c r="BO81" s="49"/>
      <c r="BP81" s="49"/>
      <c r="BQ81" s="49"/>
      <c r="BR81" s="49"/>
      <c r="BS81" s="49"/>
      <c r="BT81" s="49"/>
      <c r="BU81" s="49"/>
      <c r="BV81" s="49"/>
      <c r="BW81" s="49"/>
      <c r="BX81" s="49"/>
      <c r="BY81" s="49"/>
      <c r="BZ81" s="49"/>
      <c r="CA81" s="49"/>
      <c r="CB81" s="49"/>
      <c r="CC81" s="49"/>
      <c r="CD81" s="49"/>
      <c r="CE81" s="49"/>
      <c r="CF81" s="49"/>
      <c r="CG81" s="49"/>
      <c r="CH81" s="49"/>
      <c r="CI81" s="49"/>
      <c r="CJ81" s="49"/>
      <c r="CK81" s="49"/>
      <c r="CL81" s="49"/>
      <c r="CM81" s="49"/>
      <c r="CN81" s="49"/>
      <c r="CO81" s="49"/>
      <c r="CP81" s="49"/>
      <c r="CQ81" s="49"/>
      <c r="CR81" s="49"/>
      <c r="CS81" s="49"/>
      <c r="CT81" s="49"/>
      <c r="CU81" s="49"/>
      <c r="CV81" s="49"/>
      <c r="CW81" s="49"/>
      <c r="CX81" s="49"/>
      <c r="CY81" s="49"/>
      <c r="CZ81" s="49"/>
      <c r="DA81" s="49"/>
      <c r="DB81" s="49"/>
      <c r="DC81" s="49"/>
      <c r="DD81" s="49"/>
      <c r="DE81" s="49"/>
      <c r="DF81" s="49"/>
      <c r="DG81" s="49"/>
      <c r="DH81" s="49"/>
      <c r="DI81" s="49"/>
      <c r="DJ81" s="49"/>
      <c r="DK81" s="49"/>
      <c r="DL81" s="49"/>
      <c r="DM81" s="49"/>
      <c r="DN81" s="49"/>
      <c r="DO81" s="49"/>
      <c r="DP81" s="49"/>
      <c r="DQ81" s="49"/>
      <c r="DR81" s="49"/>
      <c r="DS81" s="49"/>
      <c r="DT81" s="49"/>
      <c r="DU81" s="49"/>
      <c r="DV81" s="49"/>
      <c r="DW81" s="49"/>
      <c r="DX81" s="49"/>
    </row>
    <row r="82" spans="1:128" ht="18" customHeight="1">
      <c r="A82" s="49"/>
      <c r="B82" s="49"/>
      <c r="C82" s="49"/>
      <c r="D82" s="49"/>
      <c r="E82" s="49"/>
      <c r="F82" s="49"/>
      <c r="G82" s="49"/>
      <c r="H82" s="49"/>
      <c r="I82" s="49"/>
      <c r="J82" s="49"/>
      <c r="K82" s="49"/>
      <c r="L82" s="49"/>
      <c r="M82" s="49"/>
      <c r="N82" s="49"/>
      <c r="O82" s="49"/>
      <c r="P82" s="49"/>
      <c r="Q82" s="49"/>
      <c r="R82" s="49"/>
      <c r="S82" s="49"/>
      <c r="T82" s="49"/>
      <c r="U82" s="52"/>
      <c r="V82" s="49"/>
      <c r="W82" s="49"/>
      <c r="X82" s="53"/>
      <c r="Y82" s="49"/>
      <c r="Z82" s="49"/>
      <c r="AA82" s="53"/>
      <c r="AB82" s="53"/>
      <c r="AC82" s="49"/>
      <c r="AD82" s="49"/>
      <c r="AE82" s="166" t="str">
        <f t="shared" ref="AE82:AE116" si="34">RIGHT(AH82, 1)</f>
        <v>卯</v>
      </c>
      <c r="AF82" s="167">
        <f t="shared" si="5"/>
        <v>66</v>
      </c>
      <c r="AG82" s="168">
        <f t="shared" ref="AG82:AG116" si="35">AG81+1</f>
        <v>2047</v>
      </c>
      <c r="AH82" s="100" t="str">
        <f>VLOOKUP(AM82,[1]大運!$B$31:$C$90,2,FALSE)</f>
        <v>丁卯</v>
      </c>
      <c r="AI82" s="99" t="str">
        <f>VLOOKUP($F$5&amp;"+"&amp;AM82,[1]大運!$H$45:$K$3644,3,FALSE)</f>
        <v>玉堂星</v>
      </c>
      <c r="AJ82" s="73"/>
      <c r="AK82" s="99" t="str">
        <f>VLOOKUP($F$5&amp;"+"&amp;AM82,[1]大運!$H$45:$K$3644,4,FALSE)</f>
        <v>天恍星</v>
      </c>
      <c r="AL82" s="73"/>
      <c r="AM82" s="171">
        <f t="shared" si="6"/>
        <v>4</v>
      </c>
      <c r="AN82" s="164" t="str">
        <f>VLOOKUP($F$5&amp;"+"&amp;AM82,[1]大運!$H$45:$K$3644,2,FALSE)</f>
        <v>刑</v>
      </c>
      <c r="AO82" s="164" t="str">
        <f>VLOOKUP($G$5&amp;"+"&amp;AM82,[1]大運!$H$45:$K$3644,2,FALSE)</f>
        <v>－</v>
      </c>
      <c r="AP82" s="164" t="str">
        <f>VLOOKUP($H$5&amp;"+"&amp;AM82,[1]大運!$H$45:$K$3644,2,FALSE)</f>
        <v>天剋地冲</v>
      </c>
      <c r="AQ82" s="100" t="str">
        <f t="shared" si="25"/>
        <v/>
      </c>
      <c r="AR82" s="172" t="str">
        <f t="shared" ref="AR82:AR116" si="36">IF($AH82="","", IFERROR(IF(COUNTIF($F$6, MID("己庚辛壬癸甲乙丙丁戊", FIND(LEFT($AH82,1), "甲乙丙丁戊己庚辛壬癸"), 1))&gt;0, CHOOSE(INT((FIND(LEFT($AH82,1), "甲己乙庚丙辛丁壬戊癸")+1)/2), "甲己干合", "乙庚干合", "丙辛干合", "丁壬干合", "戊癸干合"), ""), ""))</f>
        <v/>
      </c>
      <c r="AS82" s="172" t="str">
        <f t="shared" ref="AS82:AS116" si="37">IF($AH82="","", IFERROR(IF(COUNTIF($G$6, MID("己庚辛壬癸甲乙丙丁戊", FIND(LEFT($AH82,1), "甲乙丙丁戊己庚辛壬癸"), 1))&gt;0, CHOOSE(INT((FIND(LEFT($AH82,1), "甲己乙庚丙辛丁壬戊癸")+1)/2), "甲己干合", "乙庚干合", "丙辛干合", "丁壬干合", "戊癸干合"), ""), ""))</f>
        <v/>
      </c>
      <c r="AT82" s="172" t="str">
        <f t="shared" ref="AT82:AT116" si="38">IF($AH82="","", IFERROR(IF(COUNTIF($H$6, MID("己庚辛壬癸甲乙丙丁戊", FIND(LEFT($AH82,1), "甲乙丙丁戊己庚辛壬癸"), 1))&gt;0, CHOOSE(INT((FIND(LEFT($AH82,1), "甲己乙庚丙辛丁壬戊癸")+1)/2), "甲己干合", "乙庚干合", "丙辛干合", "丁壬干合", "戊癸干合"), ""), ""))</f>
        <v/>
      </c>
      <c r="AU82" s="49" t="str">
        <f>INDEX('12運シート'!C:C, MATCH(1, INDEX(('12運シート'!A:A=TRIM($T$42)) * ('12運シート'!B:B=TRIM(RIGHT(AE82, 1))), 0), 0))</f>
        <v>再会</v>
      </c>
      <c r="AV82" s="49" t="str">
        <f>INDEX('12運シート'!$E:$E, MATCH(1, INDEX((TRIM('12運シート'!$A:$A)=TRIM($T$42)) * (TRIM('12運シート'!$B:$B)=TRIM(AE82)), 0), 0))</f>
        <v>有頂天</v>
      </c>
      <c r="AW82" s="49" t="str">
        <f t="shared" ref="AW82:AW116" si="39">VLOOKUP(AV82,$V$6:$W$18, 2, FALSE)</f>
        <v>第2の絶頂期。過去の縁が繋がり、周囲を巻き込み大きな成果を出す。</v>
      </c>
      <c r="AX82" s="49"/>
      <c r="AY82" s="49"/>
      <c r="AZ82" s="166" t="str">
        <f t="shared" ref="AZ82:AZ112" ca="1" si="40">RIGHT(BC82, 1)</f>
        <v>辰</v>
      </c>
      <c r="BA82" s="173">
        <f t="shared" ref="BA82:BA112" ca="1" si="41">BA81+1</f>
        <v>46208</v>
      </c>
      <c r="BB82" s="174">
        <f t="shared" ca="1" si="7"/>
        <v>17</v>
      </c>
      <c r="BC82" s="174" t="str">
        <f ca="1">VLOOKUP(BB82,[1]大運!$B$31:$C$90,2,FALSE)</f>
        <v>庚辰</v>
      </c>
      <c r="BD82" s="174" t="str">
        <f ca="1">VLOOKUP($F$5 &amp; "+" &amp; (MOD(BA82 - DATE(2024, 1, 1), 60) + 1), [1]大運!$H$45:$K$3644, 3, FALSE)</f>
        <v>鳳閣星</v>
      </c>
      <c r="BE82" s="174" t="str">
        <f ca="1">VLOOKUP($F$5 &amp; "+" &amp; (MOD(BA82 - DATE(2024, 1, 1), 60) + 1), [1]大運!$H$45:$K$3644, 4, FALSE)</f>
        <v>天南星</v>
      </c>
      <c r="BF82" s="174" t="str">
        <f ca="1">VLOOKUP($F$5 &amp; "+" &amp; (MOD(BA82 - DATE(2024, 1, 1), 60) + 1), [1]大運!$H$45:$K$3644, 2, FALSE)</f>
        <v>半会</v>
      </c>
      <c r="BG82" s="174" t="str">
        <f ca="1">VLOOKUP($G$5 &amp; "+" &amp; (MOD(BA82 - DATE(2024, 1, 1), 60) + 1), [1]大運!$H$45:$K$3644, 2, FALSE)</f>
        <v>半会</v>
      </c>
      <c r="BH82" s="174" t="str">
        <f ca="1">VLOOKUP($H$5 &amp; "+" &amp; (MOD(BA82 - DATE(2024, 1, 1), 60) + 1), [1]大運!$H$45:$K$3644, 2, FALSE)</f>
        <v>支合</v>
      </c>
      <c r="BI82" s="172" t="str">
        <f t="shared" ref="BI82:BI112" ca="1" si="42">IF($BC82="","", IFERROR(IF(COUNTIF($F$6, MID("己庚辛壬癸甲乙丙丁戊", FIND(LEFT($BC82,1), "甲乙丙丁戊己庚辛壬癸"), 1))&gt;0, CHOOSE(INT((FIND(LEFT($BC82,1), "甲己乙庚丙辛丁壬戊癸")+1)/2), "甲己干合", "乙庚干合", "丙辛干合", "丁壬干合", "戊癸干合"), ""), ""))</f>
        <v/>
      </c>
      <c r="BJ82" s="172" t="str">
        <f t="shared" ref="BJ82:BJ112" ca="1" si="43">IF($BC82="","", IFERROR(IF(COUNTIF($G$6, MID("己庚辛壬癸甲乙丙丁戊", FIND(LEFT($BC82,1), "甲乙丙丁戊己庚辛壬癸"), 1))&gt;0, CHOOSE(INT((FIND(LEFT($BC82,1), "甲己乙庚丙辛丁壬戊癸")+1)/2), "甲己干合", "乙庚干合", "丙辛干合", "丁壬干合", "戊癸干合"), ""), ""))</f>
        <v/>
      </c>
      <c r="BK82" s="172" t="str">
        <f t="shared" ref="BK82:BK112" ca="1" si="44">IF($BC82="","", IFERROR(IF(COUNTIF($H$6, MID("己庚辛壬癸甲乙丙丁戊", FIND(LEFT($BC82,1), "甲乙丙丁戊己庚辛壬癸"), 1))&gt;0, CHOOSE(INT((FIND(LEFT($BC82,1), "甲己乙庚丙辛丁壬戊癸")+1)/2), "甲己干合", "乙庚干合", "丙辛干合", "丁壬干合", "戊癸干合"), ""), ""))</f>
        <v/>
      </c>
      <c r="BL82" s="174" t="str">
        <f ca="1">INDEX('12運シート'!C:C, MATCH(1, INDEX(('12運シート'!A:A=TRIM($T$42)) * ('12運シート'!B:B=TRIM(RIGHT(AZ82, 1))), 0), 0))</f>
        <v>財成</v>
      </c>
      <c r="BM82" s="174" t="str">
        <f ca="1">INDEX('12運シート'!$E:$E, MATCH(1, INDEX((TRIM('12運シート'!$A:$A)=TRIM($T$42)) * (TRIM('12運シート'!$B:$B)=TRIM(AZ82)), 0), 0))</f>
        <v>満天</v>
      </c>
      <c r="BN82" s="49" t="str">
        <f t="shared" ref="BN82:BN112" ca="1" si="45">VLOOKUP(BM82,$V$6:$W$18, 2, FALSE)</f>
        <v>収穫の喜び。物質や人脈などあらゆる財を蓄積し、強固な基盤を作る。</v>
      </c>
      <c r="BO82" s="49"/>
      <c r="BP82" s="49"/>
      <c r="BQ82" s="49"/>
      <c r="BR82" s="49"/>
      <c r="BS82" s="49"/>
      <c r="BT82" s="49"/>
      <c r="BU82" s="49"/>
      <c r="BV82" s="49"/>
      <c r="BW82" s="49"/>
      <c r="BX82" s="49"/>
      <c r="BY82" s="49"/>
      <c r="BZ82" s="49"/>
      <c r="CA82" s="49"/>
      <c r="CB82" s="49"/>
      <c r="CC82" s="49"/>
      <c r="CD82" s="49"/>
      <c r="CE82" s="49"/>
      <c r="CF82" s="49"/>
      <c r="CG82" s="49"/>
      <c r="CH82" s="49"/>
      <c r="CI82" s="49"/>
      <c r="CJ82" s="49"/>
      <c r="CK82" s="49"/>
      <c r="CL82" s="49"/>
      <c r="CM82" s="49"/>
      <c r="CN82" s="49"/>
      <c r="CO82" s="49"/>
      <c r="CP82" s="49"/>
      <c r="CQ82" s="49"/>
      <c r="CR82" s="49"/>
      <c r="CS82" s="49"/>
      <c r="CT82" s="49"/>
      <c r="CU82" s="49"/>
      <c r="CV82" s="49"/>
      <c r="CW82" s="49"/>
      <c r="CX82" s="49"/>
      <c r="CY82" s="49"/>
      <c r="CZ82" s="49"/>
      <c r="DA82" s="49"/>
      <c r="DB82" s="49"/>
      <c r="DC82" s="49"/>
      <c r="DD82" s="49"/>
      <c r="DE82" s="49"/>
      <c r="DF82" s="49"/>
      <c r="DG82" s="49"/>
      <c r="DH82" s="49"/>
      <c r="DI82" s="49"/>
      <c r="DJ82" s="49"/>
      <c r="DK82" s="49"/>
      <c r="DL82" s="49"/>
      <c r="DM82" s="49"/>
      <c r="DN82" s="49"/>
      <c r="DO82" s="49"/>
      <c r="DP82" s="49"/>
      <c r="DQ82" s="49"/>
      <c r="DR82" s="49"/>
      <c r="DS82" s="49"/>
      <c r="DT82" s="49"/>
      <c r="DU82" s="49"/>
      <c r="DV82" s="49"/>
      <c r="DW82" s="49"/>
      <c r="DX82" s="49"/>
    </row>
    <row r="83" spans="1:128" ht="18" customHeight="1">
      <c r="A83" s="49"/>
      <c r="B83" s="49"/>
      <c r="C83" s="49"/>
      <c r="D83" s="49"/>
      <c r="E83" s="49"/>
      <c r="F83" s="49"/>
      <c r="G83" s="49"/>
      <c r="H83" s="49"/>
      <c r="I83" s="49"/>
      <c r="J83" s="49"/>
      <c r="K83" s="49"/>
      <c r="L83" s="49"/>
      <c r="M83" s="49"/>
      <c r="N83" s="49"/>
      <c r="O83" s="49"/>
      <c r="P83" s="49"/>
      <c r="Q83" s="49"/>
      <c r="R83" s="49"/>
      <c r="S83" s="49"/>
      <c r="T83" s="49"/>
      <c r="U83" s="52"/>
      <c r="V83" s="49"/>
      <c r="W83" s="49"/>
      <c r="X83" s="53"/>
      <c r="Y83" s="49"/>
      <c r="Z83" s="49"/>
      <c r="AA83" s="53"/>
      <c r="AB83" s="53"/>
      <c r="AC83" s="49"/>
      <c r="AD83" s="49"/>
      <c r="AE83" s="166" t="str">
        <f t="shared" si="34"/>
        <v>辰</v>
      </c>
      <c r="AF83" s="167">
        <f t="shared" si="5"/>
        <v>67</v>
      </c>
      <c r="AG83" s="168">
        <f t="shared" si="35"/>
        <v>2048</v>
      </c>
      <c r="AH83" s="100" t="str">
        <f>VLOOKUP(AM83,[1]大運!$B$31:$C$90,2,FALSE)</f>
        <v>戊辰</v>
      </c>
      <c r="AI83" s="99" t="str">
        <f>VLOOKUP($F$5&amp;"+"&amp;AM83,[1]大運!$H$45:$K$3644,3,FALSE)</f>
        <v>貫索星</v>
      </c>
      <c r="AJ83" s="73"/>
      <c r="AK83" s="99" t="str">
        <f>VLOOKUP($F$5&amp;"+"&amp;AM83,[1]大運!$H$45:$K$3644,4,FALSE)</f>
        <v>天南星</v>
      </c>
      <c r="AL83" s="73"/>
      <c r="AM83" s="171">
        <f t="shared" si="6"/>
        <v>5</v>
      </c>
      <c r="AN83" s="164" t="str">
        <f>VLOOKUP($F$5&amp;"+"&amp;AM83,[1]大運!$H$45:$K$3644,2,FALSE)</f>
        <v>大半会</v>
      </c>
      <c r="AO83" s="164" t="str">
        <f>VLOOKUP($G$5&amp;"+"&amp;AM83,[1]大運!$H$45:$K$3644,2,FALSE)</f>
        <v>半会</v>
      </c>
      <c r="AP83" s="164" t="str">
        <f>VLOOKUP($H$5&amp;"+"&amp;AM83,[1]大運!$H$45:$K$3644,2,FALSE)</f>
        <v>支合</v>
      </c>
      <c r="AQ83" s="100" t="str">
        <f t="shared" si="25"/>
        <v/>
      </c>
      <c r="AR83" s="172" t="str">
        <f t="shared" si="36"/>
        <v/>
      </c>
      <c r="AS83" s="172" t="str">
        <f t="shared" si="37"/>
        <v/>
      </c>
      <c r="AT83" s="172" t="str">
        <f t="shared" si="38"/>
        <v/>
      </c>
      <c r="AU83" s="49" t="str">
        <f>INDEX('12運シート'!C:C, MATCH(1, INDEX(('12運シート'!A:A=TRIM($T$42)) * ('12運シート'!B:B=TRIM(RIGHT(AE83, 1))), 0), 0))</f>
        <v>財成</v>
      </c>
      <c r="AV83" s="49" t="str">
        <f>INDEX('12運シート'!$E:$E, MATCH(1, INDEX((TRIM('12運シート'!$A:$A)=TRIM($T$42)) * (TRIM('12運シート'!$B:$B)=TRIM(AE83)), 0), 0))</f>
        <v>満天</v>
      </c>
      <c r="AW83" s="49" t="str">
        <f t="shared" si="39"/>
        <v>収穫の喜び。物質や人脈などあらゆる財を蓄積し、強固な基盤を作る。</v>
      </c>
      <c r="AX83" s="49"/>
      <c r="AY83" s="49"/>
      <c r="AZ83" s="166" t="str">
        <f t="shared" ca="1" si="40"/>
        <v>巳</v>
      </c>
      <c r="BA83" s="173">
        <f t="shared" ca="1" si="41"/>
        <v>46209</v>
      </c>
      <c r="BB83" s="174">
        <f t="shared" ca="1" si="7"/>
        <v>18</v>
      </c>
      <c r="BC83" s="174" t="str">
        <f ca="1">VLOOKUP(BB83,[1]大運!$B$31:$C$90,2,FALSE)</f>
        <v>辛巳</v>
      </c>
      <c r="BD83" s="174" t="str">
        <f ca="1">VLOOKUP($F$5 &amp; "+" &amp; (MOD(BA83 - DATE(2024, 1, 1), 60) + 1), [1]大運!$H$45:$K$3644, 3, FALSE)</f>
        <v>調舒星</v>
      </c>
      <c r="BE83" s="174" t="str">
        <f ca="1">VLOOKUP($F$5 &amp; "+" &amp; (MOD(BA83 - DATE(2024, 1, 1), 60) + 1), [1]大運!$H$45:$K$3644, 4, FALSE)</f>
        <v>天禄星</v>
      </c>
      <c r="BF83" s="174" t="str">
        <f ca="1">VLOOKUP($F$5 &amp; "+" &amp; (MOD(BA83 - DATE(2024, 1, 1), 60) + 1), [1]大運!$H$45:$K$3644, 2, FALSE)</f>
        <v>－</v>
      </c>
      <c r="BG83" s="174" t="str">
        <f ca="1">VLOOKUP($G$5 &amp; "+" &amp; (MOD(BA83 - DATE(2024, 1, 1), 60) + 1), [1]大運!$H$45:$K$3644, 2, FALSE)</f>
        <v>支合</v>
      </c>
      <c r="BH83" s="174" t="str">
        <f ca="1">VLOOKUP($H$5 &amp; "+" &amp; (MOD(BA83 - DATE(2024, 1, 1), 60) + 1), [1]大運!$H$45:$K$3644, 2, FALSE)</f>
        <v>大半会</v>
      </c>
      <c r="BI83" s="172" t="str">
        <f t="shared" ca="1" si="42"/>
        <v/>
      </c>
      <c r="BJ83" s="172" t="str">
        <f t="shared" ca="1" si="43"/>
        <v>丙辛干合</v>
      </c>
      <c r="BK83" s="172" t="str">
        <f t="shared" ca="1" si="44"/>
        <v/>
      </c>
      <c r="BL83" s="174" t="str">
        <f ca="1">INDEX('12運シート'!C:C, MATCH(1, INDEX(('12運シート'!A:A=TRIM($T$42)) * ('12運シート'!B:B=TRIM(RIGHT(AZ83, 1))), 0), 0))</f>
        <v>充実</v>
      </c>
      <c r="BM83" s="174" t="str">
        <f ca="1">INDEX('12運シート'!$E:$E, MATCH(1, INDEX((TRIM('12運シート'!$A:$A)=TRIM($T$42)) * (TRIM('12運シート'!$B:$B)=TRIM(AZ83)), 0), 0))</f>
        <v>静天</v>
      </c>
      <c r="BN83" s="49" t="str">
        <f t="shared" ca="1" si="45"/>
        <v>成果が出揃う。精神的な安定と充実の中で平和に人生を俯瞰する時期。</v>
      </c>
      <c r="BO83" s="49"/>
      <c r="BP83" s="49"/>
      <c r="BQ83" s="49"/>
      <c r="BR83" s="49"/>
      <c r="BS83" s="49"/>
      <c r="BT83" s="49"/>
      <c r="BU83" s="49"/>
      <c r="BV83" s="49"/>
      <c r="BW83" s="49"/>
      <c r="BX83" s="49"/>
      <c r="BY83" s="49"/>
      <c r="BZ83" s="49"/>
      <c r="CA83" s="49"/>
      <c r="CB83" s="49"/>
      <c r="CC83" s="49"/>
      <c r="CD83" s="49"/>
      <c r="CE83" s="49"/>
      <c r="CF83" s="49"/>
      <c r="CG83" s="49"/>
      <c r="CH83" s="49"/>
      <c r="CI83" s="49"/>
      <c r="CJ83" s="49"/>
      <c r="CK83" s="49"/>
      <c r="CL83" s="49"/>
      <c r="CM83" s="49"/>
      <c r="CN83" s="49"/>
      <c r="CO83" s="49"/>
      <c r="CP83" s="49"/>
      <c r="CQ83" s="49"/>
      <c r="CR83" s="49"/>
      <c r="CS83" s="49"/>
      <c r="CT83" s="49"/>
      <c r="CU83" s="49"/>
      <c r="CV83" s="49"/>
      <c r="CW83" s="49"/>
      <c r="CX83" s="49"/>
      <c r="CY83" s="49"/>
      <c r="CZ83" s="49"/>
      <c r="DA83" s="49"/>
      <c r="DB83" s="49"/>
      <c r="DC83" s="49"/>
      <c r="DD83" s="49"/>
      <c r="DE83" s="49"/>
      <c r="DF83" s="49"/>
      <c r="DG83" s="49"/>
      <c r="DH83" s="49"/>
      <c r="DI83" s="49"/>
      <c r="DJ83" s="49"/>
      <c r="DK83" s="49"/>
      <c r="DL83" s="49"/>
      <c r="DM83" s="49"/>
      <c r="DN83" s="49"/>
      <c r="DO83" s="49"/>
      <c r="DP83" s="49"/>
      <c r="DQ83" s="49"/>
      <c r="DR83" s="49"/>
      <c r="DS83" s="49"/>
      <c r="DT83" s="49"/>
      <c r="DU83" s="49"/>
      <c r="DV83" s="49"/>
      <c r="DW83" s="49"/>
      <c r="DX83" s="49"/>
    </row>
    <row r="84" spans="1:128" ht="18" customHeight="1">
      <c r="A84" s="49"/>
      <c r="B84" s="49"/>
      <c r="C84" s="49"/>
      <c r="D84" s="49"/>
      <c r="E84" s="49"/>
      <c r="F84" s="49"/>
      <c r="G84" s="49"/>
      <c r="H84" s="49"/>
      <c r="I84" s="49"/>
      <c r="J84" s="49"/>
      <c r="K84" s="49"/>
      <c r="L84" s="49"/>
      <c r="M84" s="49"/>
      <c r="N84" s="49"/>
      <c r="O84" s="49"/>
      <c r="P84" s="49"/>
      <c r="Q84" s="49"/>
      <c r="R84" s="49"/>
      <c r="S84" s="49"/>
      <c r="T84" s="49"/>
      <c r="U84" s="52"/>
      <c r="V84" s="49"/>
      <c r="W84" s="49"/>
      <c r="X84" s="53"/>
      <c r="Y84" s="49"/>
      <c r="Z84" s="49"/>
      <c r="AA84" s="53"/>
      <c r="AB84" s="53"/>
      <c r="AC84" s="49"/>
      <c r="AD84" s="49"/>
      <c r="AE84" s="166" t="str">
        <f t="shared" si="34"/>
        <v>巳</v>
      </c>
      <c r="AF84" s="167">
        <f t="shared" si="5"/>
        <v>68</v>
      </c>
      <c r="AG84" s="168">
        <f t="shared" si="35"/>
        <v>2049</v>
      </c>
      <c r="AH84" s="100" t="str">
        <f>VLOOKUP(AM84,[1]大運!$B$31:$C$90,2,FALSE)</f>
        <v>己巳</v>
      </c>
      <c r="AI84" s="99" t="str">
        <f>VLOOKUP($F$5&amp;"+"&amp;AM84,[1]大運!$H$45:$K$3644,3,FALSE)</f>
        <v>石門星</v>
      </c>
      <c r="AJ84" s="73"/>
      <c r="AK84" s="99" t="str">
        <f>VLOOKUP($F$5&amp;"+"&amp;AM84,[1]大運!$H$45:$K$3644,4,FALSE)</f>
        <v>天禄星</v>
      </c>
      <c r="AL84" s="73"/>
      <c r="AM84" s="171">
        <f t="shared" si="6"/>
        <v>6</v>
      </c>
      <c r="AN84" s="164" t="str">
        <f>VLOOKUP($F$5&amp;"+"&amp;AM84,[1]大運!$H$45:$K$3644,2,FALSE)</f>
        <v>－</v>
      </c>
      <c r="AO84" s="164" t="str">
        <f>VLOOKUP($G$5&amp;"+"&amp;AM84,[1]大運!$H$45:$K$3644,2,FALSE)</f>
        <v>支合</v>
      </c>
      <c r="AP84" s="164" t="str">
        <f>VLOOKUP($H$5&amp;"+"&amp;AM84,[1]大運!$H$45:$K$3644,2,FALSE)</f>
        <v>半会</v>
      </c>
      <c r="AQ84" s="100" t="str">
        <f t="shared" si="25"/>
        <v/>
      </c>
      <c r="AR84" s="172" t="str">
        <f t="shared" si="36"/>
        <v/>
      </c>
      <c r="AS84" s="172" t="str">
        <f t="shared" si="37"/>
        <v/>
      </c>
      <c r="AT84" s="172" t="str">
        <f t="shared" si="38"/>
        <v/>
      </c>
      <c r="AU84" s="49" t="str">
        <f>INDEX('12運シート'!C:C, MATCH(1, INDEX(('12運シート'!A:A=TRIM($T$42)) * ('12運シート'!B:B=TRIM(RIGHT(AE84, 1))), 0), 0))</f>
        <v>充実</v>
      </c>
      <c r="AV84" s="49" t="str">
        <f>INDEX('12運シート'!$E:$E, MATCH(1, INDEX((TRIM('12運シート'!$A:$A)=TRIM($T$42)) * (TRIM('12運シート'!$B:$B)=TRIM(AE84)), 0), 0))</f>
        <v>静天</v>
      </c>
      <c r="AW84" s="49" t="str">
        <f t="shared" si="39"/>
        <v>成果が出揃う。精神的な安定と充実の中で平和に人生を俯瞰する時期。</v>
      </c>
      <c r="AX84" s="49"/>
      <c r="AY84" s="49"/>
      <c r="AZ84" s="166" t="str">
        <f t="shared" ca="1" si="40"/>
        <v>午</v>
      </c>
      <c r="BA84" s="173">
        <f t="shared" ca="1" si="41"/>
        <v>46210</v>
      </c>
      <c r="BB84" s="174">
        <f t="shared" ca="1" si="7"/>
        <v>19</v>
      </c>
      <c r="BC84" s="174" t="str">
        <f ca="1">VLOOKUP(BB84,[1]大運!$B$31:$C$90,2,FALSE)</f>
        <v>壬午</v>
      </c>
      <c r="BD84" s="174" t="str">
        <f ca="1">VLOOKUP($F$5 &amp; "+" &amp; (MOD(BA84 - DATE(2024, 1, 1), 60) + 1), [1]大運!$H$45:$K$3644, 3, FALSE)</f>
        <v>禄存星</v>
      </c>
      <c r="BE84" s="174" t="str">
        <f ca="1">VLOOKUP($F$5 &amp; "+" &amp; (MOD(BA84 - DATE(2024, 1, 1), 60) + 1), [1]大運!$H$45:$K$3644, 4, FALSE)</f>
        <v>天将星</v>
      </c>
      <c r="BF84" s="174" t="str">
        <f ca="1">VLOOKUP($F$5 &amp; "+" &amp; (MOD(BA84 - DATE(2024, 1, 1), 60) + 1), [1]大運!$H$45:$K$3644, 2, FALSE)</f>
        <v>天剋地冲</v>
      </c>
      <c r="BG84" s="174" t="str">
        <f ca="1">VLOOKUP($G$5 &amp; "+" &amp; (MOD(BA84 - DATE(2024, 1, 1), 60) + 1), [1]大運!$H$45:$K$3644, 2, FALSE)</f>
        <v>－</v>
      </c>
      <c r="BH84" s="174" t="str">
        <f ca="1">VLOOKUP($H$5 &amp; "+" &amp; (MOD(BA84 - DATE(2024, 1, 1), 60) + 1), [1]大運!$H$45:$K$3644, 2, FALSE)</f>
        <v>－</v>
      </c>
      <c r="BI84" s="172" t="str">
        <f t="shared" ca="1" si="42"/>
        <v/>
      </c>
      <c r="BJ84" s="172" t="str">
        <f t="shared" ca="1" si="43"/>
        <v/>
      </c>
      <c r="BK84" s="172" t="str">
        <f t="shared" ca="1" si="44"/>
        <v/>
      </c>
      <c r="BL84" s="174" t="str">
        <f ca="1">INDEX('12運シート'!C:C, MATCH(1, INDEX(('12運シート'!A:A=TRIM($T$42)) * ('12運シート'!B:B=TRIM(RIGHT(AZ84, 1))), 0), 0))</f>
        <v>陰影</v>
      </c>
      <c r="BM84" s="174" t="str">
        <f ca="1">INDEX('12運シート'!$E:$E, MATCH(1, INDEX((TRIM('12運シート'!$A:$A)=TRIM($T$42)) * (TRIM('12運シート'!$B:$B)=TRIM(AZ84)), 0), 0))</f>
        <v>暗天</v>
      </c>
      <c r="BN84" s="49" t="str">
        <f t="shared" ca="1" si="45"/>
        <v>運気下降（運の冬入り）。孤独を感じやすいが水面下の自己鍛錬が必要。</v>
      </c>
      <c r="BO84" s="49"/>
      <c r="BP84" s="49"/>
      <c r="BQ84" s="49"/>
      <c r="BR84" s="49"/>
      <c r="BS84" s="49"/>
      <c r="BT84" s="49"/>
      <c r="BU84" s="49"/>
      <c r="BV84" s="49"/>
      <c r="BW84" s="49"/>
      <c r="BX84" s="49"/>
      <c r="BY84" s="49"/>
      <c r="BZ84" s="49"/>
      <c r="CA84" s="49"/>
      <c r="CB84" s="49"/>
      <c r="CC84" s="49"/>
      <c r="CD84" s="49"/>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c r="DM84" s="49"/>
      <c r="DN84" s="49"/>
      <c r="DO84" s="49"/>
      <c r="DP84" s="49"/>
      <c r="DQ84" s="49"/>
      <c r="DR84" s="49"/>
      <c r="DS84" s="49"/>
      <c r="DT84" s="49"/>
      <c r="DU84" s="49"/>
      <c r="DV84" s="49"/>
      <c r="DW84" s="49"/>
      <c r="DX84" s="49"/>
    </row>
    <row r="85" spans="1:128" ht="18" customHeight="1">
      <c r="A85" s="49"/>
      <c r="B85" s="49"/>
      <c r="C85" s="49"/>
      <c r="D85" s="49"/>
      <c r="E85" s="49"/>
      <c r="F85" s="49"/>
      <c r="G85" s="49"/>
      <c r="H85" s="49"/>
      <c r="I85" s="49"/>
      <c r="J85" s="49"/>
      <c r="K85" s="49"/>
      <c r="L85" s="49"/>
      <c r="M85" s="49"/>
      <c r="N85" s="49"/>
      <c r="O85" s="49"/>
      <c r="P85" s="49"/>
      <c r="Q85" s="49"/>
      <c r="R85" s="49"/>
      <c r="S85" s="49"/>
      <c r="T85" s="49"/>
      <c r="U85" s="52"/>
      <c r="V85" s="49"/>
      <c r="W85" s="49"/>
      <c r="X85" s="53"/>
      <c r="Y85" s="49"/>
      <c r="Z85" s="49"/>
      <c r="AA85" s="53"/>
      <c r="AB85" s="53"/>
      <c r="AC85" s="49"/>
      <c r="AD85" s="49"/>
      <c r="AE85" s="166" t="str">
        <f t="shared" si="34"/>
        <v>午</v>
      </c>
      <c r="AF85" s="167">
        <f t="shared" si="5"/>
        <v>69</v>
      </c>
      <c r="AG85" s="168">
        <f t="shared" si="35"/>
        <v>2050</v>
      </c>
      <c r="AH85" s="100" t="str">
        <f>VLOOKUP(AM85,[1]大運!$B$31:$C$90,2,FALSE)</f>
        <v>庚午</v>
      </c>
      <c r="AI85" s="99" t="str">
        <f>VLOOKUP($F$5&amp;"+"&amp;AM85,[1]大運!$H$45:$K$3644,3,FALSE)</f>
        <v>鳳閣星</v>
      </c>
      <c r="AJ85" s="73"/>
      <c r="AK85" s="99" t="str">
        <f>VLOOKUP($F$5&amp;"+"&amp;AM85,[1]大運!$H$45:$K$3644,4,FALSE)</f>
        <v>天将星</v>
      </c>
      <c r="AL85" s="73"/>
      <c r="AM85" s="171">
        <f t="shared" si="6"/>
        <v>7</v>
      </c>
      <c r="AN85" s="164" t="str">
        <f>VLOOKUP($F$5&amp;"+"&amp;AM85,[1]大運!$H$45:$K$3644,2,FALSE)</f>
        <v>対冲</v>
      </c>
      <c r="AO85" s="164" t="str">
        <f>VLOOKUP($G$5&amp;"+"&amp;AM85,[1]大運!$H$45:$K$3644,2,FALSE)</f>
        <v>－</v>
      </c>
      <c r="AP85" s="164" t="str">
        <f>VLOOKUP($H$5&amp;"+"&amp;AM85,[1]大運!$H$45:$K$3644,2,FALSE)</f>
        <v>－</v>
      </c>
      <c r="AQ85" s="100" t="str">
        <f t="shared" si="25"/>
        <v>殺</v>
      </c>
      <c r="AR85" s="172" t="str">
        <f t="shared" si="36"/>
        <v/>
      </c>
      <c r="AS85" s="172" t="str">
        <f t="shared" si="37"/>
        <v/>
      </c>
      <c r="AT85" s="172" t="str">
        <f t="shared" si="38"/>
        <v/>
      </c>
      <c r="AU85" s="49" t="str">
        <f>INDEX('12運シート'!C:C, MATCH(1, INDEX(('12運シート'!A:A=TRIM($T$42)) * ('12運シート'!B:B=TRIM(RIGHT(AE85, 1))), 0), 0))</f>
        <v>陰影</v>
      </c>
      <c r="AV85" s="49" t="str">
        <f>INDEX('12運シート'!$E:$E, MATCH(1, INDEX((TRIM('12運シート'!$A:$A)=TRIM($T$42)) * (TRIM('12運シート'!$B:$B)=TRIM(AE85)), 0), 0))</f>
        <v>暗天</v>
      </c>
      <c r="AW85" s="49" t="str">
        <f t="shared" si="39"/>
        <v>運気下降（運の冬入り）。孤独を感じやすいが水面下の自己鍛錬が必要。</v>
      </c>
      <c r="AX85" s="49"/>
      <c r="AY85" s="49"/>
      <c r="AZ85" s="166" t="str">
        <f t="shared" ca="1" si="40"/>
        <v>未</v>
      </c>
      <c r="BA85" s="173">
        <f t="shared" ca="1" si="41"/>
        <v>46211</v>
      </c>
      <c r="BB85" s="174">
        <f t="shared" ca="1" si="7"/>
        <v>20</v>
      </c>
      <c r="BC85" s="174" t="str">
        <f ca="1">VLOOKUP(BB85,[1]大運!$B$31:$C$90,2,FALSE)</f>
        <v>癸未</v>
      </c>
      <c r="BD85" s="174" t="str">
        <f ca="1">VLOOKUP($F$5 &amp; "+" &amp; (MOD(BA85 - DATE(2024, 1, 1), 60) + 1), [1]大運!$H$45:$K$3644, 3, FALSE)</f>
        <v>司禄星</v>
      </c>
      <c r="BE85" s="174" t="str">
        <f ca="1">VLOOKUP($F$5 &amp; "+" &amp; (MOD(BA85 - DATE(2024, 1, 1), 60) + 1), [1]大運!$H$45:$K$3644, 4, FALSE)</f>
        <v>天堂星</v>
      </c>
      <c r="BF85" s="174" t="str">
        <f ca="1">VLOOKUP($F$5 &amp; "+" &amp; (MOD(BA85 - DATE(2024, 1, 1), 60) + 1), [1]大運!$H$45:$K$3644, 2, FALSE)</f>
        <v>害</v>
      </c>
      <c r="BG85" s="174" t="str">
        <f ca="1">VLOOKUP($G$5 &amp; "+" &amp; (MOD(BA85 - DATE(2024, 1, 1), 60) + 1), [1]大運!$H$45:$K$3644, 2, FALSE)</f>
        <v>－</v>
      </c>
      <c r="BH85" s="174" t="str">
        <f ca="1">VLOOKUP($H$5 &amp; "+" &amp; (MOD(BA85 - DATE(2024, 1, 1), 60) + 1), [1]大運!$H$45:$K$3644, 2, FALSE)</f>
        <v>－</v>
      </c>
      <c r="BI85" s="172" t="str">
        <f t="shared" ca="1" si="42"/>
        <v>戊癸干合</v>
      </c>
      <c r="BJ85" s="172" t="str">
        <f t="shared" ca="1" si="43"/>
        <v/>
      </c>
      <c r="BK85" s="172" t="str">
        <f t="shared" ca="1" si="44"/>
        <v/>
      </c>
      <c r="BL85" s="174" t="str">
        <f ca="1">INDEX('12運シート'!C:C, MATCH(1, INDEX(('12運シート'!A:A=TRIM($T$42)) * ('12運シート'!B:B=TRIM(RIGHT(AZ85, 1))), 0), 0))</f>
        <v>停止</v>
      </c>
      <c r="BM85" s="174" t="str">
        <f ca="1">INDEX('12運シート'!$E:$E, MATCH(1, INDEX((TRIM('12運シート'!$A:$A)=TRIM($T$42)) * (TRIM('12運シート'!$B:$B)=TRIM(AZ85)), 0), 0))</f>
        <v>大曇天</v>
      </c>
      <c r="BN85" s="49" t="str">
        <f t="shared" ca="1" si="45"/>
        <v>運命の停止（運の真冬時期）。古い価値観を手放す究極の浄化期間。</v>
      </c>
      <c r="BO85" s="49"/>
      <c r="BP85" s="49"/>
      <c r="BQ85" s="49"/>
      <c r="BR85" s="49"/>
      <c r="BS85" s="49"/>
      <c r="BT85" s="49"/>
      <c r="BU85" s="49"/>
      <c r="BV85" s="49"/>
      <c r="BW85" s="49"/>
      <c r="BX85" s="49"/>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c r="DR85" s="49"/>
      <c r="DS85" s="49"/>
      <c r="DT85" s="49"/>
      <c r="DU85" s="49"/>
      <c r="DV85" s="49"/>
      <c r="DW85" s="49"/>
      <c r="DX85" s="49"/>
    </row>
    <row r="86" spans="1:128" ht="18" customHeight="1">
      <c r="A86" s="49"/>
      <c r="B86" s="49"/>
      <c r="C86" s="49"/>
      <c r="D86" s="49"/>
      <c r="E86" s="49"/>
      <c r="F86" s="49"/>
      <c r="G86" s="49"/>
      <c r="H86" s="49"/>
      <c r="I86" s="49"/>
      <c r="J86" s="49"/>
      <c r="K86" s="49"/>
      <c r="L86" s="49"/>
      <c r="M86" s="49"/>
      <c r="N86" s="49"/>
      <c r="O86" s="49"/>
      <c r="P86" s="49"/>
      <c r="Q86" s="49"/>
      <c r="R86" s="49"/>
      <c r="S86" s="49"/>
      <c r="T86" s="49"/>
      <c r="U86" s="52"/>
      <c r="V86" s="49"/>
      <c r="W86" s="49"/>
      <c r="X86" s="53"/>
      <c r="Y86" s="49"/>
      <c r="Z86" s="49"/>
      <c r="AA86" s="53"/>
      <c r="AB86" s="53"/>
      <c r="AC86" s="49"/>
      <c r="AD86" s="49"/>
      <c r="AE86" s="166" t="str">
        <f t="shared" si="34"/>
        <v>未</v>
      </c>
      <c r="AF86" s="167">
        <f t="shared" si="5"/>
        <v>70</v>
      </c>
      <c r="AG86" s="168">
        <f t="shared" si="35"/>
        <v>2051</v>
      </c>
      <c r="AH86" s="100" t="str">
        <f>VLOOKUP(AM86,[1]大運!$B$31:$C$90,2,FALSE)</f>
        <v>辛未</v>
      </c>
      <c r="AI86" s="99" t="str">
        <f>VLOOKUP($F$5&amp;"+"&amp;AM86,[1]大運!$H$45:$K$3644,3,FALSE)</f>
        <v>調舒星</v>
      </c>
      <c r="AJ86" s="73"/>
      <c r="AK86" s="99" t="str">
        <f>VLOOKUP($F$5&amp;"+"&amp;AM86,[1]大運!$H$45:$K$3644,4,FALSE)</f>
        <v>天堂星</v>
      </c>
      <c r="AL86" s="73"/>
      <c r="AM86" s="171">
        <f t="shared" si="6"/>
        <v>8</v>
      </c>
      <c r="AN86" s="164" t="str">
        <f>VLOOKUP($F$5&amp;"+"&amp;AM86,[1]大運!$H$45:$K$3644,2,FALSE)</f>
        <v>害</v>
      </c>
      <c r="AO86" s="164" t="str">
        <f>VLOOKUP($G$5&amp;"+"&amp;AM86,[1]大運!$H$45:$K$3644,2,FALSE)</f>
        <v>－</v>
      </c>
      <c r="AP86" s="164" t="str">
        <f>VLOOKUP($H$5&amp;"+"&amp;AM86,[1]大運!$H$45:$K$3644,2,FALSE)</f>
        <v>－</v>
      </c>
      <c r="AQ86" s="100" t="str">
        <f t="shared" si="25"/>
        <v>殺月</v>
      </c>
      <c r="AR86" s="172" t="str">
        <f t="shared" si="36"/>
        <v/>
      </c>
      <c r="AS86" s="172" t="str">
        <f t="shared" si="37"/>
        <v>丙辛干合</v>
      </c>
      <c r="AT86" s="172" t="str">
        <f t="shared" si="38"/>
        <v/>
      </c>
      <c r="AU86" s="49" t="str">
        <f>INDEX('12運シート'!C:C, MATCH(1, INDEX(('12運シート'!A:A=TRIM($T$42)) * ('12運シート'!B:B=TRIM(RIGHT(AE86, 1))), 0), 0))</f>
        <v>停止</v>
      </c>
      <c r="AV86" s="49" t="str">
        <f>INDEX('12運シート'!$E:$E, MATCH(1, INDEX((TRIM('12運シート'!$A:$A)=TRIM($T$42)) * (TRIM('12運シート'!$B:$B)=TRIM(AE86)), 0), 0))</f>
        <v>大曇天</v>
      </c>
      <c r="AW86" s="49" t="str">
        <f t="shared" si="39"/>
        <v>運命の停止（運の真冬時期）。古い価値観を手放す究極の浄化期間。</v>
      </c>
      <c r="AX86" s="49"/>
      <c r="AY86" s="49"/>
      <c r="AZ86" s="166" t="str">
        <f t="shared" ca="1" si="40"/>
        <v>申</v>
      </c>
      <c r="BA86" s="173">
        <f t="shared" ca="1" si="41"/>
        <v>46212</v>
      </c>
      <c r="BB86" s="174">
        <f t="shared" ca="1" si="7"/>
        <v>21</v>
      </c>
      <c r="BC86" s="174" t="str">
        <f ca="1">VLOOKUP(BB86,[1]大運!$B$31:$C$90,2,FALSE)</f>
        <v>甲申</v>
      </c>
      <c r="BD86" s="174" t="str">
        <f ca="1">VLOOKUP($F$5 &amp; "+" &amp; (MOD(BA86 - DATE(2024, 1, 1), 60) + 1), [1]大運!$H$45:$K$3644, 3, FALSE)</f>
        <v>車騎星</v>
      </c>
      <c r="BE86" s="174" t="str">
        <f ca="1">VLOOKUP($F$5 &amp; "+" &amp; (MOD(BA86 - DATE(2024, 1, 1), 60) + 1), [1]大運!$H$45:$K$3644, 4, FALSE)</f>
        <v>天胡星</v>
      </c>
      <c r="BF86" s="174" t="str">
        <f ca="1">VLOOKUP($F$5 &amp; "+" &amp; (MOD(BA86 - DATE(2024, 1, 1), 60) + 1), [1]大運!$H$45:$K$3644, 2, FALSE)</f>
        <v>半会</v>
      </c>
      <c r="BG86" s="174" t="str">
        <f ca="1">VLOOKUP($G$5 &amp; "+" &amp; (MOD(BA86 - DATE(2024, 1, 1), 60) + 1), [1]大運!$H$45:$K$3644, 2, FALSE)</f>
        <v>同</v>
      </c>
      <c r="BH86" s="174" t="str">
        <f ca="1">VLOOKUP($H$5 &amp; "+" &amp; (MOD(BA86 - DATE(2024, 1, 1), 60) + 1), [1]大運!$H$45:$K$3644, 2, FALSE)</f>
        <v>準方位</v>
      </c>
      <c r="BI86" s="172" t="str">
        <f t="shared" ca="1" si="42"/>
        <v/>
      </c>
      <c r="BJ86" s="172" t="str">
        <f t="shared" ca="1" si="43"/>
        <v/>
      </c>
      <c r="BK86" s="172" t="str">
        <f t="shared" ca="1" si="44"/>
        <v/>
      </c>
      <c r="BL86" s="174" t="str">
        <f ca="1">INDEX('12運シート'!C:C, MATCH(1, INDEX(('12運シート'!A:A=TRIM($T$42)) * ('12運シート'!B:B=TRIM(RIGHT(AZ86, 1))), 0), 0))</f>
        <v>減退</v>
      </c>
      <c r="BM86" s="174" t="str">
        <f ca="1">INDEX('12運シート'!$E:$E, MATCH(1, INDEX((TRIM('12運シート'!$A:$A)=TRIM($T$42)) * (TRIM('12運シート'!$B:$B)=TRIM(AZ86)), 0), 0))</f>
        <v>雨天</v>
      </c>
      <c r="BN86" s="49" t="str">
        <f t="shared" ca="1" si="45"/>
        <v>カルマの精算。過去の執着をすべて洗い流し、次の春への準備を整える。</v>
      </c>
      <c r="BO86" s="49"/>
      <c r="BP86" s="49"/>
      <c r="BQ86" s="49"/>
      <c r="BR86" s="49"/>
      <c r="BS86" s="49"/>
      <c r="BT86" s="49"/>
      <c r="BU86" s="49"/>
      <c r="BV86" s="49"/>
      <c r="BW86" s="49"/>
      <c r="BX86" s="49"/>
      <c r="BY86" s="49"/>
      <c r="BZ86" s="49"/>
      <c r="CA86" s="49"/>
      <c r="CB86" s="49"/>
      <c r="CC86" s="49"/>
      <c r="CD86" s="49"/>
      <c r="CE86" s="49"/>
      <c r="CF86" s="49"/>
      <c r="CG86" s="49"/>
      <c r="CH86" s="49"/>
      <c r="CI86" s="49"/>
      <c r="CJ86" s="49"/>
      <c r="CK86" s="49"/>
      <c r="CL86" s="49"/>
      <c r="CM86" s="49"/>
      <c r="CN86" s="49"/>
      <c r="CO86" s="49"/>
      <c r="CP86" s="49"/>
      <c r="CQ86" s="49"/>
      <c r="CR86" s="49"/>
      <c r="CS86" s="49"/>
      <c r="CT86" s="49"/>
      <c r="CU86" s="49"/>
      <c r="CV86" s="49"/>
      <c r="CW86" s="49"/>
      <c r="CX86" s="49"/>
      <c r="CY86" s="49"/>
      <c r="CZ86" s="49"/>
      <c r="DA86" s="49"/>
      <c r="DB86" s="49"/>
      <c r="DC86" s="49"/>
      <c r="DD86" s="49"/>
      <c r="DE86" s="49"/>
      <c r="DF86" s="49"/>
      <c r="DG86" s="49"/>
      <c r="DH86" s="49"/>
      <c r="DI86" s="49"/>
      <c r="DJ86" s="49"/>
      <c r="DK86" s="49"/>
      <c r="DL86" s="49"/>
      <c r="DM86" s="49"/>
      <c r="DN86" s="49"/>
      <c r="DO86" s="49"/>
      <c r="DP86" s="49"/>
      <c r="DQ86" s="49"/>
      <c r="DR86" s="49"/>
      <c r="DS86" s="49"/>
      <c r="DT86" s="49"/>
      <c r="DU86" s="49"/>
      <c r="DV86" s="49"/>
      <c r="DW86" s="49"/>
      <c r="DX86" s="49"/>
    </row>
    <row r="87" spans="1:128" ht="18" customHeight="1">
      <c r="A87" s="49"/>
      <c r="B87" s="49"/>
      <c r="C87" s="49"/>
      <c r="D87" s="49"/>
      <c r="E87" s="49"/>
      <c r="F87" s="49"/>
      <c r="G87" s="49"/>
      <c r="H87" s="49"/>
      <c r="I87" s="49"/>
      <c r="J87" s="49"/>
      <c r="K87" s="49"/>
      <c r="L87" s="49"/>
      <c r="M87" s="49"/>
      <c r="N87" s="49"/>
      <c r="O87" s="49"/>
      <c r="P87" s="49"/>
      <c r="Q87" s="49"/>
      <c r="R87" s="49"/>
      <c r="S87" s="49"/>
      <c r="T87" s="49"/>
      <c r="U87" s="52"/>
      <c r="V87" s="49"/>
      <c r="W87" s="49"/>
      <c r="X87" s="53"/>
      <c r="Y87" s="49"/>
      <c r="Z87" s="49"/>
      <c r="AA87" s="53"/>
      <c r="AB87" s="53"/>
      <c r="AC87" s="49"/>
      <c r="AD87" s="49"/>
      <c r="AE87" s="166" t="str">
        <f t="shared" si="34"/>
        <v>申</v>
      </c>
      <c r="AF87" s="167">
        <f t="shared" si="5"/>
        <v>71</v>
      </c>
      <c r="AG87" s="168">
        <f t="shared" si="35"/>
        <v>2052</v>
      </c>
      <c r="AH87" s="100" t="str">
        <f>VLOOKUP(AM87,[1]大運!$B$31:$C$90,2,FALSE)</f>
        <v>壬申</v>
      </c>
      <c r="AI87" s="99" t="str">
        <f>VLOOKUP($F$5&amp;"+"&amp;AM87,[1]大運!$H$45:$K$3644,3,FALSE)</f>
        <v>禄存星</v>
      </c>
      <c r="AJ87" s="73"/>
      <c r="AK87" s="99" t="str">
        <f>VLOOKUP($F$5&amp;"+"&amp;AM87,[1]大運!$H$45:$K$3644,4,FALSE)</f>
        <v>天胡星</v>
      </c>
      <c r="AL87" s="73"/>
      <c r="AM87" s="171">
        <f t="shared" si="6"/>
        <v>9</v>
      </c>
      <c r="AN87" s="164" t="str">
        <f>VLOOKUP($F$5&amp;"+"&amp;AM87,[1]大運!$H$45:$K$3644,2,FALSE)</f>
        <v>半会</v>
      </c>
      <c r="AO87" s="164" t="str">
        <f>VLOOKUP($G$5&amp;"+"&amp;AM87,[1]大運!$H$45:$K$3644,2,FALSE)</f>
        <v>同</v>
      </c>
      <c r="AP87" s="164" t="str">
        <f>VLOOKUP($H$5&amp;"+"&amp;AM87,[1]大運!$H$45:$K$3644,2,FALSE)</f>
        <v>準方位</v>
      </c>
      <c r="AQ87" s="100" t="str">
        <f t="shared" si="25"/>
        <v/>
      </c>
      <c r="AR87" s="172" t="str">
        <f t="shared" si="36"/>
        <v/>
      </c>
      <c r="AS87" s="172" t="str">
        <f t="shared" si="37"/>
        <v/>
      </c>
      <c r="AT87" s="172" t="str">
        <f t="shared" si="38"/>
        <v/>
      </c>
      <c r="AU87" s="49" t="str">
        <f>INDEX('12運シート'!C:C, MATCH(1, INDEX(('12運シート'!A:A=TRIM($T$42)) * ('12運シート'!B:B=TRIM(RIGHT(AE87, 1))), 0), 0))</f>
        <v>減退</v>
      </c>
      <c r="AV87" s="49" t="str">
        <f>INDEX('12運シート'!$E:$E, MATCH(1, INDEX((TRIM('12運シート'!$A:$A)=TRIM($T$42)) * (TRIM('12運シート'!$B:$B)=TRIM(AE87)), 0), 0))</f>
        <v>雨天</v>
      </c>
      <c r="AW87" s="49" t="str">
        <f t="shared" si="39"/>
        <v>カルマの精算。過去の執着をすべて洗い流し、次の春への準備を整える。</v>
      </c>
      <c r="AX87" s="49"/>
      <c r="AY87" s="49"/>
      <c r="AZ87" s="166" t="str">
        <f t="shared" ca="1" si="40"/>
        <v>酉</v>
      </c>
      <c r="BA87" s="173">
        <f t="shared" ca="1" si="41"/>
        <v>46213</v>
      </c>
      <c r="BB87" s="174">
        <f t="shared" ca="1" si="7"/>
        <v>22</v>
      </c>
      <c r="BC87" s="174" t="str">
        <f ca="1">VLOOKUP(BB87,[1]大運!$B$31:$C$90,2,FALSE)</f>
        <v>乙酉</v>
      </c>
      <c r="BD87" s="174" t="str">
        <f ca="1">VLOOKUP($F$5 &amp; "+" &amp; (MOD(BA87 - DATE(2024, 1, 1), 60) + 1), [1]大運!$H$45:$K$3644, 3, FALSE)</f>
        <v>牽牛星</v>
      </c>
      <c r="BE87" s="174" t="str">
        <f ca="1">VLOOKUP($F$5 &amp; "+" &amp; (MOD(BA87 - DATE(2024, 1, 1), 60) + 1), [1]大運!$H$45:$K$3644, 4, FALSE)</f>
        <v>天極星</v>
      </c>
      <c r="BF87" s="174" t="str">
        <f ca="1">VLOOKUP($F$5 &amp; "+" &amp; (MOD(BA87 - DATE(2024, 1, 1), 60) + 1), [1]大運!$H$45:$K$3644, 2, FALSE)</f>
        <v>破</v>
      </c>
      <c r="BG87" s="174" t="str">
        <f ca="1">VLOOKUP($G$5 &amp; "+" &amp; (MOD(BA87 - DATE(2024, 1, 1), 60) + 1), [1]大運!$H$45:$K$3644, 2, FALSE)</f>
        <v>準方位</v>
      </c>
      <c r="BH87" s="174" t="str">
        <f ca="1">VLOOKUP($H$5 &amp; "+" &amp; (MOD(BA87 - DATE(2024, 1, 1), 60) + 1), [1]大運!$H$45:$K$3644, 2, FALSE)</f>
        <v>自刑</v>
      </c>
      <c r="BI87" s="172" t="str">
        <f t="shared" ca="1" si="42"/>
        <v/>
      </c>
      <c r="BJ87" s="172" t="str">
        <f t="shared" ca="1" si="43"/>
        <v/>
      </c>
      <c r="BK87" s="172" t="str">
        <f t="shared" ca="1" si="44"/>
        <v/>
      </c>
      <c r="BL87" s="174" t="str">
        <f ca="1">INDEX('12運シート'!C:C, MATCH(1, INDEX(('12運シート'!A:A=TRIM($T$42)) * ('12運シート'!B:B=TRIM(RIGHT(AZ87, 1))), 0), 0))</f>
        <v>種子</v>
      </c>
      <c r="BM87" s="174" t="str">
        <f ca="1">INDEX('12運シート'!$E:$E, MATCH(1, INDEX((TRIM('12運シート'!$A:$A)=TRIM($T$42)) * (TRIM('12運シート'!$B:$B)=TRIM(AZ87)), 0), 0))</f>
        <v>起天</v>
      </c>
      <c r="BN87" s="49" t="str">
        <f t="shared" ca="1" si="45"/>
        <v>運命の幕開け。過去を断ち切り新しい種をまく開拓期。</v>
      </c>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row>
    <row r="88" spans="1:128" ht="18" customHeight="1">
      <c r="A88" s="49"/>
      <c r="B88" s="49"/>
      <c r="C88" s="49"/>
      <c r="D88" s="49"/>
      <c r="E88" s="49"/>
      <c r="F88" s="49"/>
      <c r="G88" s="49"/>
      <c r="H88" s="49"/>
      <c r="I88" s="49"/>
      <c r="J88" s="49"/>
      <c r="K88" s="49"/>
      <c r="L88" s="49"/>
      <c r="M88" s="49"/>
      <c r="N88" s="49"/>
      <c r="O88" s="49"/>
      <c r="P88" s="49"/>
      <c r="Q88" s="49"/>
      <c r="R88" s="49"/>
      <c r="S88" s="49"/>
      <c r="T88" s="49"/>
      <c r="U88" s="52"/>
      <c r="V88" s="49"/>
      <c r="W88" s="49"/>
      <c r="X88" s="53"/>
      <c r="Y88" s="49"/>
      <c r="Z88" s="49"/>
      <c r="AA88" s="53"/>
      <c r="AB88" s="53"/>
      <c r="AC88" s="49"/>
      <c r="AD88" s="49"/>
      <c r="AE88" s="166" t="str">
        <f t="shared" si="34"/>
        <v>酉</v>
      </c>
      <c r="AF88" s="167">
        <f t="shared" si="5"/>
        <v>72</v>
      </c>
      <c r="AG88" s="168">
        <f t="shared" si="35"/>
        <v>2053</v>
      </c>
      <c r="AH88" s="100" t="str">
        <f>VLOOKUP(AM88,[1]大運!$B$31:$C$90,2,FALSE)</f>
        <v>癸酉</v>
      </c>
      <c r="AI88" s="99" t="str">
        <f>VLOOKUP($F$5&amp;"+"&amp;AM88,[1]大運!$H$45:$K$3644,3,FALSE)</f>
        <v>司禄星</v>
      </c>
      <c r="AJ88" s="73"/>
      <c r="AK88" s="99" t="str">
        <f>VLOOKUP($F$5&amp;"+"&amp;AM88,[1]大運!$H$45:$K$3644,4,FALSE)</f>
        <v>天極星</v>
      </c>
      <c r="AL88" s="73"/>
      <c r="AM88" s="171">
        <f t="shared" si="6"/>
        <v>10</v>
      </c>
      <c r="AN88" s="164" t="str">
        <f>VLOOKUP($F$5&amp;"+"&amp;AM88,[1]大運!$H$45:$K$3644,2,FALSE)</f>
        <v>破</v>
      </c>
      <c r="AO88" s="164" t="str">
        <f>VLOOKUP($G$5&amp;"+"&amp;AM88,[1]大運!$H$45:$K$3644,2,FALSE)</f>
        <v>準方位</v>
      </c>
      <c r="AP88" s="164" t="str">
        <f>VLOOKUP($H$5&amp;"+"&amp;AM88,[1]大運!$H$45:$K$3644,2,FALSE)</f>
        <v>自刑</v>
      </c>
      <c r="AQ88" s="100" t="str">
        <f t="shared" si="25"/>
        <v>日</v>
      </c>
      <c r="AR88" s="172" t="str">
        <f t="shared" si="36"/>
        <v>戊癸干合</v>
      </c>
      <c r="AS88" s="172" t="str">
        <f t="shared" si="37"/>
        <v/>
      </c>
      <c r="AT88" s="172" t="str">
        <f t="shared" si="38"/>
        <v/>
      </c>
      <c r="AU88" s="49" t="str">
        <f>INDEX('12運シート'!C:C, MATCH(1, INDEX(('12運シート'!A:A=TRIM($T$42)) * ('12運シート'!B:B=TRIM(RIGHT(AE88, 1))), 0), 0))</f>
        <v>種子</v>
      </c>
      <c r="AV88" s="49" t="str">
        <f>INDEX('12運シート'!$E:$E, MATCH(1, INDEX((TRIM('12運シート'!$A:$A)=TRIM($T$42)) * (TRIM('12運シート'!$B:$B)=TRIM(AE88)), 0), 0))</f>
        <v>起天</v>
      </c>
      <c r="AW88" s="49" t="str">
        <f t="shared" si="39"/>
        <v>運命の幕開け。過去を断ち切り新しい種をまく開拓期。</v>
      </c>
      <c r="AX88" s="49"/>
      <c r="AY88" s="49"/>
      <c r="AZ88" s="166" t="str">
        <f t="shared" ca="1" si="40"/>
        <v>戌</v>
      </c>
      <c r="BA88" s="173">
        <f t="shared" ca="1" si="41"/>
        <v>46214</v>
      </c>
      <c r="BB88" s="174">
        <f t="shared" ca="1" si="7"/>
        <v>23</v>
      </c>
      <c r="BC88" s="174" t="str">
        <f ca="1">VLOOKUP(BB88,[1]大運!$B$31:$C$90,2,FALSE)</f>
        <v>丙戌</v>
      </c>
      <c r="BD88" s="174" t="str">
        <f ca="1">VLOOKUP($F$5 &amp; "+" &amp; (MOD(BA88 - DATE(2024, 1, 1), 60) + 1), [1]大運!$H$45:$K$3644, 3, FALSE)</f>
        <v>龍高星</v>
      </c>
      <c r="BE88" s="174" t="str">
        <f ca="1">VLOOKUP($F$5 &amp; "+" &amp; (MOD(BA88 - DATE(2024, 1, 1), 60) + 1), [1]大運!$H$45:$K$3644, 4, FALSE)</f>
        <v>天庫星</v>
      </c>
      <c r="BF88" s="174" t="str">
        <f ca="1">VLOOKUP($F$5 &amp; "+" &amp; (MOD(BA88 - DATE(2024, 1, 1), 60) + 1), [1]大運!$H$45:$K$3644, 2, FALSE)</f>
        <v>－</v>
      </c>
      <c r="BG88" s="174" t="str">
        <f ca="1">VLOOKUP($G$5 &amp; "+" &amp; (MOD(BA88 - DATE(2024, 1, 1), 60) + 1), [1]大運!$H$45:$K$3644, 2, FALSE)</f>
        <v>準方位</v>
      </c>
      <c r="BH88" s="174" t="str">
        <f ca="1">VLOOKUP($H$5 &amp; "+" &amp; (MOD(BA88 - DATE(2024, 1, 1), 60) + 1), [1]大運!$H$45:$K$3644, 2, FALSE)</f>
        <v>害</v>
      </c>
      <c r="BI88" s="172" t="str">
        <f t="shared" ca="1" si="42"/>
        <v/>
      </c>
      <c r="BJ88" s="172" t="str">
        <f t="shared" ca="1" si="43"/>
        <v/>
      </c>
      <c r="BK88" s="172" t="str">
        <f t="shared" ca="1" si="44"/>
        <v>丙辛干合</v>
      </c>
      <c r="BL88" s="174" t="str">
        <f ca="1">INDEX('12運シート'!C:C, MATCH(1, INDEX(('12運シート'!A:A=TRIM($T$42)) * ('12運シート'!B:B=TRIM(RIGHT(AZ88, 1))), 0), 0))</f>
        <v>緑生</v>
      </c>
      <c r="BM88" s="174" t="str">
        <f ca="1">INDEX('12運シート'!$E:$E, MATCH(1, INDEX((TRIM('12運シート'!$A:$A)=TRIM($T$42)) * (TRIM('12運シート'!$B:$B)=TRIM(AZ88)), 0), 0))</f>
        <v>吉祥天</v>
      </c>
      <c r="BN88" s="49" t="str">
        <f t="shared" ca="1" si="45"/>
        <v>まいた種が芽吹き、周囲の支援を受けて着実に育つ時期。</v>
      </c>
      <c r="BO88" s="49"/>
      <c r="BP88" s="49"/>
      <c r="BQ88" s="49"/>
      <c r="BR88" s="49"/>
      <c r="BS88" s="49"/>
      <c r="BT88" s="49"/>
      <c r="BU88" s="49"/>
      <c r="BV88" s="49"/>
      <c r="BW88" s="49"/>
      <c r="BX88" s="49"/>
      <c r="BY88" s="49"/>
      <c r="BZ88" s="49"/>
      <c r="CA88" s="49"/>
      <c r="CB88" s="49"/>
      <c r="CC88" s="49"/>
      <c r="CD88" s="49"/>
      <c r="CE88" s="49"/>
      <c r="CF88" s="49"/>
      <c r="CG88" s="49"/>
      <c r="CH88" s="49"/>
      <c r="CI88" s="49"/>
      <c r="CJ88" s="49"/>
      <c r="CK88" s="49"/>
      <c r="CL88" s="49"/>
      <c r="CM88" s="49"/>
      <c r="CN88" s="49"/>
      <c r="CO88" s="49"/>
      <c r="CP88" s="49"/>
      <c r="CQ88" s="49"/>
      <c r="CR88" s="49"/>
      <c r="CS88" s="49"/>
      <c r="CT88" s="49"/>
      <c r="CU88" s="49"/>
      <c r="CV88" s="49"/>
      <c r="CW88" s="49"/>
      <c r="CX88" s="49"/>
      <c r="CY88" s="49"/>
      <c r="CZ88" s="49"/>
      <c r="DA88" s="49"/>
      <c r="DB88" s="49"/>
      <c r="DC88" s="49"/>
      <c r="DD88" s="49"/>
      <c r="DE88" s="49"/>
      <c r="DF88" s="49"/>
      <c r="DG88" s="49"/>
      <c r="DH88" s="49"/>
      <c r="DI88" s="49"/>
      <c r="DJ88" s="49"/>
      <c r="DK88" s="49"/>
      <c r="DL88" s="49"/>
      <c r="DM88" s="49"/>
      <c r="DN88" s="49"/>
      <c r="DO88" s="49"/>
      <c r="DP88" s="49"/>
      <c r="DQ88" s="49"/>
      <c r="DR88" s="49"/>
      <c r="DS88" s="49"/>
      <c r="DT88" s="49"/>
      <c r="DU88" s="49"/>
      <c r="DV88" s="49"/>
      <c r="DW88" s="49"/>
      <c r="DX88" s="49"/>
    </row>
    <row r="89" spans="1:128" ht="18" customHeight="1">
      <c r="A89" s="49"/>
      <c r="B89" s="49"/>
      <c r="C89" s="49"/>
      <c r="D89" s="49"/>
      <c r="E89" s="49"/>
      <c r="F89" s="49"/>
      <c r="G89" s="49"/>
      <c r="H89" s="49"/>
      <c r="I89" s="49"/>
      <c r="J89" s="49"/>
      <c r="K89" s="49"/>
      <c r="L89" s="49"/>
      <c r="M89" s="49"/>
      <c r="N89" s="49"/>
      <c r="O89" s="49"/>
      <c r="P89" s="49"/>
      <c r="Q89" s="49"/>
      <c r="R89" s="49"/>
      <c r="S89" s="49"/>
      <c r="T89" s="49"/>
      <c r="U89" s="52"/>
      <c r="V89" s="49"/>
      <c r="W89" s="49"/>
      <c r="X89" s="53"/>
      <c r="Y89" s="49"/>
      <c r="Z89" s="49"/>
      <c r="AA89" s="53"/>
      <c r="AB89" s="53"/>
      <c r="AC89" s="49"/>
      <c r="AD89" s="49"/>
      <c r="AE89" s="166" t="str">
        <f t="shared" si="34"/>
        <v>戌</v>
      </c>
      <c r="AF89" s="167">
        <f t="shared" si="5"/>
        <v>73</v>
      </c>
      <c r="AG89" s="168">
        <f t="shared" si="35"/>
        <v>2054</v>
      </c>
      <c r="AH89" s="100" t="str">
        <f>VLOOKUP(AM89,[1]大運!$B$31:$C$90,2,FALSE)</f>
        <v>甲戌</v>
      </c>
      <c r="AI89" s="99" t="str">
        <f>VLOOKUP($F$5&amp;"+"&amp;AM89,[1]大運!$H$45:$K$3644,3,FALSE)</f>
        <v>車騎星</v>
      </c>
      <c r="AJ89" s="73"/>
      <c r="AK89" s="99" t="str">
        <f>VLOOKUP($F$5&amp;"+"&amp;AM89,[1]大運!$H$45:$K$3644,4,FALSE)</f>
        <v>天庫星</v>
      </c>
      <c r="AL89" s="73"/>
      <c r="AM89" s="171">
        <f t="shared" si="6"/>
        <v>11</v>
      </c>
      <c r="AN89" s="164" t="str">
        <f>VLOOKUP($F$5&amp;"+"&amp;AM89,[1]大運!$H$45:$K$3644,2,FALSE)</f>
        <v>－</v>
      </c>
      <c r="AO89" s="164" t="str">
        <f>VLOOKUP($G$5&amp;"+"&amp;AM89,[1]大運!$H$45:$K$3644,2,FALSE)</f>
        <v>準方位</v>
      </c>
      <c r="AP89" s="164" t="str">
        <f>VLOOKUP($H$5&amp;"+"&amp;AM89,[1]大運!$H$45:$K$3644,2,FALSE)</f>
        <v>害</v>
      </c>
      <c r="AQ89" s="100" t="str">
        <f t="shared" si="25"/>
        <v/>
      </c>
      <c r="AR89" s="172" t="str">
        <f t="shared" si="36"/>
        <v/>
      </c>
      <c r="AS89" s="172" t="str">
        <f t="shared" si="37"/>
        <v/>
      </c>
      <c r="AT89" s="172" t="str">
        <f t="shared" si="38"/>
        <v/>
      </c>
      <c r="AU89" s="49" t="str">
        <f>INDEX('12運シート'!C:C, MATCH(1, INDEX(('12運シート'!A:A=TRIM($T$42)) * ('12運シート'!B:B=TRIM(RIGHT(AE89, 1))), 0), 0))</f>
        <v>緑生</v>
      </c>
      <c r="AV89" s="49" t="str">
        <f>INDEX('12運シート'!$E:$E, MATCH(1, INDEX((TRIM('12運シート'!$A:$A)=TRIM($T$42)) * (TRIM('12運シート'!$B:$B)=TRIM(AE89)), 0), 0))</f>
        <v>吉祥天</v>
      </c>
      <c r="AW89" s="49" t="str">
        <f t="shared" si="39"/>
        <v>まいた種が芽吹き、周囲の支援を受けて着実に育つ時期。</v>
      </c>
      <c r="AX89" s="49"/>
      <c r="AY89" s="49"/>
      <c r="AZ89" s="166" t="str">
        <f t="shared" ca="1" si="40"/>
        <v>亥</v>
      </c>
      <c r="BA89" s="173">
        <f t="shared" ca="1" si="41"/>
        <v>46215</v>
      </c>
      <c r="BB89" s="174">
        <f t="shared" ca="1" si="7"/>
        <v>24</v>
      </c>
      <c r="BC89" s="174" t="str">
        <f ca="1">VLOOKUP(BB89,[1]大運!$B$31:$C$90,2,FALSE)</f>
        <v>丁亥</v>
      </c>
      <c r="BD89" s="174" t="str">
        <f ca="1">VLOOKUP($F$5 &amp; "+" &amp; (MOD(BA89 - DATE(2024, 1, 1), 60) + 1), [1]大運!$H$45:$K$3644, 3, FALSE)</f>
        <v>玉堂星</v>
      </c>
      <c r="BE89" s="174" t="str">
        <f ca="1">VLOOKUP($F$5 &amp; "+" &amp; (MOD(BA89 - DATE(2024, 1, 1), 60) + 1), [1]大運!$H$45:$K$3644, 4, FALSE)</f>
        <v>天馳星</v>
      </c>
      <c r="BF89" s="174" t="str">
        <f ca="1">VLOOKUP($F$5 &amp; "+" &amp; (MOD(BA89 - DATE(2024, 1, 1), 60) + 1), [1]大運!$H$45:$K$3644, 2, FALSE)</f>
        <v>準方位</v>
      </c>
      <c r="BG89" s="174" t="str">
        <f ca="1">VLOOKUP($G$5 &amp; "+" &amp; (MOD(BA89 - DATE(2024, 1, 1), 60) + 1), [1]大運!$H$45:$K$3644, 2, FALSE)</f>
        <v>害</v>
      </c>
      <c r="BH89" s="174" t="str">
        <f ca="1">VLOOKUP($H$5 &amp; "+" &amp; (MOD(BA89 - DATE(2024, 1, 1), 60) + 1), [1]大運!$H$45:$K$3644, 2, FALSE)</f>
        <v>－</v>
      </c>
      <c r="BI89" s="172" t="str">
        <f t="shared" ca="1" si="42"/>
        <v/>
      </c>
      <c r="BJ89" s="172" t="str">
        <f t="shared" ca="1" si="43"/>
        <v/>
      </c>
      <c r="BK89" s="172" t="str">
        <f t="shared" ca="1" si="44"/>
        <v/>
      </c>
      <c r="BL89" s="174" t="str">
        <f ca="1">INDEX('12運シート'!C:C, MATCH(1, INDEX(('12運シート'!A:A=TRIM($T$42)) * ('12運シート'!B:B=TRIM(RIGHT(AZ89, 1))), 0), 0))</f>
        <v>立花</v>
      </c>
      <c r="BM89" s="174" t="str">
        <f ca="1">INDEX('12運シート'!$E:$E, MATCH(1, INDEX((TRIM('12運シート'!$A:$A)=TRIM($T$42)) * (TRIM('12運シート'!$B:$B)=TRIM(AZ89)), 0), 0))</f>
        <v>弁財天</v>
      </c>
      <c r="BN89" s="49" t="str">
        <f t="shared" ca="1" si="45"/>
        <v>才能がパッと花開き、今後の人生を左右する重要な決定を下す発展期。</v>
      </c>
      <c r="BO89" s="49"/>
      <c r="BP89" s="49"/>
      <c r="BQ89" s="49"/>
      <c r="BR89" s="49"/>
      <c r="BS89" s="49"/>
      <c r="BT89" s="49"/>
      <c r="BU89" s="49"/>
      <c r="BV89" s="49"/>
      <c r="BW89" s="49"/>
      <c r="BX89" s="49"/>
      <c r="BY89" s="49"/>
      <c r="BZ89" s="49"/>
      <c r="CA89" s="49"/>
      <c r="CB89" s="49"/>
      <c r="CC89" s="49"/>
      <c r="CD89" s="49"/>
      <c r="CE89" s="49"/>
      <c r="CF89" s="49"/>
      <c r="CG89" s="49"/>
      <c r="CH89" s="49"/>
      <c r="CI89" s="49"/>
      <c r="CJ89" s="49"/>
      <c r="CK89" s="49"/>
      <c r="CL89" s="49"/>
      <c r="CM89" s="49"/>
      <c r="CN89" s="49"/>
      <c r="CO89" s="49"/>
      <c r="CP89" s="49"/>
      <c r="CQ89" s="49"/>
      <c r="CR89" s="49"/>
      <c r="CS89" s="49"/>
      <c r="CT89" s="49"/>
      <c r="CU89" s="49"/>
      <c r="CV89" s="49"/>
      <c r="CW89" s="49"/>
      <c r="CX89" s="49"/>
      <c r="CY89" s="49"/>
      <c r="CZ89" s="49"/>
      <c r="DA89" s="49"/>
      <c r="DB89" s="49"/>
      <c r="DC89" s="49"/>
      <c r="DD89" s="49"/>
      <c r="DE89" s="49"/>
      <c r="DF89" s="49"/>
      <c r="DG89" s="49"/>
      <c r="DH89" s="49"/>
      <c r="DI89" s="49"/>
      <c r="DJ89" s="49"/>
      <c r="DK89" s="49"/>
      <c r="DL89" s="49"/>
      <c r="DM89" s="49"/>
      <c r="DN89" s="49"/>
      <c r="DO89" s="49"/>
      <c r="DP89" s="49"/>
      <c r="DQ89" s="49"/>
      <c r="DR89" s="49"/>
      <c r="DS89" s="49"/>
      <c r="DT89" s="49"/>
      <c r="DU89" s="49"/>
      <c r="DV89" s="49"/>
      <c r="DW89" s="49"/>
      <c r="DX89" s="49"/>
    </row>
    <row r="90" spans="1:128" ht="18" customHeight="1">
      <c r="A90" s="49"/>
      <c r="B90" s="49"/>
      <c r="C90" s="49"/>
      <c r="D90" s="49"/>
      <c r="E90" s="49"/>
      <c r="F90" s="49"/>
      <c r="G90" s="49"/>
      <c r="H90" s="49"/>
      <c r="I90" s="49"/>
      <c r="J90" s="49"/>
      <c r="K90" s="49"/>
      <c r="L90" s="49"/>
      <c r="M90" s="49"/>
      <c r="N90" s="49"/>
      <c r="O90" s="49"/>
      <c r="P90" s="49"/>
      <c r="Q90" s="49"/>
      <c r="R90" s="49"/>
      <c r="S90" s="49"/>
      <c r="T90" s="49"/>
      <c r="U90" s="52"/>
      <c r="V90" s="49"/>
      <c r="W90" s="49"/>
      <c r="X90" s="53"/>
      <c r="Y90" s="49"/>
      <c r="Z90" s="49"/>
      <c r="AA90" s="53"/>
      <c r="AB90" s="53"/>
      <c r="AC90" s="49"/>
      <c r="AD90" s="49"/>
      <c r="AE90" s="166" t="str">
        <f t="shared" si="34"/>
        <v>亥</v>
      </c>
      <c r="AF90" s="167">
        <f t="shared" si="5"/>
        <v>74</v>
      </c>
      <c r="AG90" s="168">
        <f t="shared" si="35"/>
        <v>2055</v>
      </c>
      <c r="AH90" s="100" t="str">
        <f>VLOOKUP(AM90,[1]大運!$B$31:$C$90,2,FALSE)</f>
        <v>乙亥</v>
      </c>
      <c r="AI90" s="99" t="str">
        <f>VLOOKUP($F$5&amp;"+"&amp;AM90,[1]大運!$H$45:$K$3644,3,FALSE)</f>
        <v>牽牛星</v>
      </c>
      <c r="AJ90" s="73"/>
      <c r="AK90" s="99" t="str">
        <f>VLOOKUP($F$5&amp;"+"&amp;AM90,[1]大運!$H$45:$K$3644,4,FALSE)</f>
        <v>天馳星</v>
      </c>
      <c r="AL90" s="73"/>
      <c r="AM90" s="171">
        <f t="shared" si="6"/>
        <v>12</v>
      </c>
      <c r="AN90" s="164" t="str">
        <f>VLOOKUP($F$5&amp;"+"&amp;AM90,[1]大運!$H$45:$K$3644,2,FALSE)</f>
        <v>準方位</v>
      </c>
      <c r="AO90" s="164" t="str">
        <f>VLOOKUP($G$5&amp;"+"&amp;AM90,[1]大運!$H$45:$K$3644,2,FALSE)</f>
        <v>害</v>
      </c>
      <c r="AP90" s="164" t="str">
        <f>VLOOKUP($H$5&amp;"+"&amp;AM90,[1]大運!$H$45:$K$3644,2,FALSE)</f>
        <v>－</v>
      </c>
      <c r="AQ90" s="100" t="str">
        <f t="shared" si="25"/>
        <v/>
      </c>
      <c r="AR90" s="172" t="str">
        <f t="shared" si="36"/>
        <v/>
      </c>
      <c r="AS90" s="172" t="str">
        <f t="shared" si="37"/>
        <v/>
      </c>
      <c r="AT90" s="172" t="str">
        <f t="shared" si="38"/>
        <v/>
      </c>
      <c r="AU90" s="49" t="str">
        <f>INDEX('12運シート'!C:C, MATCH(1, INDEX(('12運シート'!A:A=TRIM($T$42)) * ('12運シート'!B:B=TRIM(RIGHT(AE90, 1))), 0), 0))</f>
        <v>立花</v>
      </c>
      <c r="AV90" s="49" t="str">
        <f>INDEX('12運シート'!$E:$E, MATCH(1, INDEX((TRIM('12運シート'!$A:$A)=TRIM($T$42)) * (TRIM('12運シート'!$B:$B)=TRIM(AE90)), 0), 0))</f>
        <v>弁財天</v>
      </c>
      <c r="AW90" s="49" t="str">
        <f t="shared" si="39"/>
        <v>才能がパッと花開き、今後の人生を左右する重要な決定を下す発展期。</v>
      </c>
      <c r="AX90" s="49"/>
      <c r="AY90" s="49"/>
      <c r="AZ90" s="166" t="str">
        <f t="shared" ca="1" si="40"/>
        <v>子</v>
      </c>
      <c r="BA90" s="173">
        <f t="shared" ca="1" si="41"/>
        <v>46216</v>
      </c>
      <c r="BB90" s="174">
        <f t="shared" ca="1" si="7"/>
        <v>25</v>
      </c>
      <c r="BC90" s="174" t="str">
        <f ca="1">VLOOKUP(BB90,[1]大運!$B$31:$C$90,2,FALSE)</f>
        <v>戊子</v>
      </c>
      <c r="BD90" s="174" t="str">
        <f ca="1">VLOOKUP($F$5 &amp; "+" &amp; (MOD(BA90 - DATE(2024, 1, 1), 60) + 1), [1]大運!$H$45:$K$3644, 3, FALSE)</f>
        <v>貫索星</v>
      </c>
      <c r="BE90" s="174" t="str">
        <f ca="1">VLOOKUP($F$5 &amp; "+" &amp; (MOD(BA90 - DATE(2024, 1, 1), 60) + 1), [1]大運!$H$45:$K$3644, 4, FALSE)</f>
        <v>天報星</v>
      </c>
      <c r="BF90" s="174" t="str">
        <f ca="1">VLOOKUP($F$5 &amp; "+" &amp; (MOD(BA90 - DATE(2024, 1, 1), 60) + 1), [1]大運!$H$45:$K$3644, 2, FALSE)</f>
        <v>律音</v>
      </c>
      <c r="BG90" s="174" t="str">
        <f ca="1">VLOOKUP($G$5 &amp; "+" &amp; (MOD(BA90 - DATE(2024, 1, 1), 60) + 1), [1]大運!$H$45:$K$3644, 2, FALSE)</f>
        <v>半会</v>
      </c>
      <c r="BH90" s="174" t="str">
        <f ca="1">VLOOKUP($H$5 &amp; "+" &amp; (MOD(BA90 - DATE(2024, 1, 1), 60) + 1), [1]大運!$H$45:$K$3644, 2, FALSE)</f>
        <v>破</v>
      </c>
      <c r="BI90" s="172" t="str">
        <f t="shared" ca="1" si="42"/>
        <v/>
      </c>
      <c r="BJ90" s="172" t="str">
        <f t="shared" ca="1" si="43"/>
        <v/>
      </c>
      <c r="BK90" s="172" t="str">
        <f t="shared" ca="1" si="44"/>
        <v/>
      </c>
      <c r="BL90" s="174" t="str">
        <f ca="1">INDEX('12運シート'!C:C, MATCH(1, INDEX(('12運シート'!A:A=TRIM($T$42)) * ('12運シート'!B:B=TRIM(RIGHT(AZ90, 1))), 0), 0))</f>
        <v>健弱</v>
      </c>
      <c r="BM90" s="174" t="str">
        <f ca="1">INDEX('12運シート'!$E:$E, MATCH(1, INDEX((TRIM('12運シート'!$A:$A)=TRIM($T$42)) * (TRIM('12運シート'!$B:$B)=TRIM(AZ90)), 0), 0))</f>
        <v>曇天</v>
      </c>
      <c r="BN90" s="49" t="str">
        <f t="shared" ca="1" si="45"/>
        <v>運気の勢いに心身が追いつかない小休止。自己治癒の時期。</v>
      </c>
      <c r="BO90" s="49"/>
      <c r="BP90" s="49"/>
      <c r="BQ90" s="49"/>
      <c r="BR90" s="49"/>
      <c r="BS90" s="49"/>
      <c r="BT90" s="49"/>
      <c r="BU90" s="49"/>
      <c r="BV90" s="49"/>
      <c r="BW90" s="49"/>
      <c r="BX90" s="49"/>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49"/>
      <c r="DQ90" s="49"/>
      <c r="DR90" s="49"/>
      <c r="DS90" s="49"/>
      <c r="DT90" s="49"/>
      <c r="DU90" s="49"/>
      <c r="DV90" s="49"/>
      <c r="DW90" s="49"/>
      <c r="DX90" s="49"/>
    </row>
    <row r="91" spans="1:128" ht="18" customHeight="1">
      <c r="A91" s="49"/>
      <c r="B91" s="49"/>
      <c r="C91" s="49"/>
      <c r="D91" s="49"/>
      <c r="E91" s="49"/>
      <c r="F91" s="49"/>
      <c r="G91" s="49"/>
      <c r="H91" s="49"/>
      <c r="I91" s="49"/>
      <c r="J91" s="49"/>
      <c r="K91" s="49"/>
      <c r="L91" s="49"/>
      <c r="M91" s="49"/>
      <c r="N91" s="49"/>
      <c r="O91" s="49"/>
      <c r="P91" s="49"/>
      <c r="Q91" s="49"/>
      <c r="R91" s="49"/>
      <c r="S91" s="49"/>
      <c r="T91" s="49"/>
      <c r="U91" s="52"/>
      <c r="V91" s="49"/>
      <c r="W91" s="49"/>
      <c r="X91" s="53"/>
      <c r="Y91" s="49"/>
      <c r="Z91" s="49"/>
      <c r="AA91" s="53"/>
      <c r="AB91" s="53"/>
      <c r="AC91" s="49"/>
      <c r="AD91" s="49"/>
      <c r="AE91" s="166" t="str">
        <f t="shared" si="34"/>
        <v>子</v>
      </c>
      <c r="AF91" s="167">
        <f t="shared" si="5"/>
        <v>75</v>
      </c>
      <c r="AG91" s="168">
        <f t="shared" si="35"/>
        <v>2056</v>
      </c>
      <c r="AH91" s="100" t="str">
        <f>VLOOKUP(AM91,[1]大運!$B$31:$C$90,2,FALSE)</f>
        <v>丙子</v>
      </c>
      <c r="AI91" s="99" t="str">
        <f>VLOOKUP($F$5&amp;"+"&amp;AM91,[1]大運!$H$45:$K$3644,3,FALSE)</f>
        <v>龍高星</v>
      </c>
      <c r="AJ91" s="73"/>
      <c r="AK91" s="99" t="str">
        <f>VLOOKUP($F$5&amp;"+"&amp;AM91,[1]大運!$H$45:$K$3644,4,FALSE)</f>
        <v>天報星</v>
      </c>
      <c r="AL91" s="73"/>
      <c r="AM91" s="171">
        <f t="shared" si="6"/>
        <v>13</v>
      </c>
      <c r="AN91" s="164" t="str">
        <f>VLOOKUP($F$5&amp;"+"&amp;AM91,[1]大運!$H$45:$K$3644,2,FALSE)</f>
        <v>同</v>
      </c>
      <c r="AO91" s="164" t="str">
        <f>VLOOKUP($G$5&amp;"+"&amp;AM91,[1]大運!$H$45:$K$3644,2,FALSE)</f>
        <v>大半会</v>
      </c>
      <c r="AP91" s="164" t="str">
        <f>VLOOKUP($H$5&amp;"+"&amp;AM91,[1]大運!$H$45:$K$3644,2,FALSE)</f>
        <v>破</v>
      </c>
      <c r="AQ91" s="100" t="str">
        <f t="shared" si="25"/>
        <v>年</v>
      </c>
      <c r="AR91" s="172" t="str">
        <f t="shared" si="36"/>
        <v/>
      </c>
      <c r="AS91" s="172" t="str">
        <f t="shared" si="37"/>
        <v/>
      </c>
      <c r="AT91" s="172" t="str">
        <f t="shared" si="38"/>
        <v>丙辛干合</v>
      </c>
      <c r="AU91" s="49" t="str">
        <f>INDEX('12運シート'!C:C, MATCH(1, INDEX(('12運シート'!A:A=TRIM($T$42)) * ('12運シート'!B:B=TRIM(RIGHT(AE91, 1))), 0), 0))</f>
        <v>健弱</v>
      </c>
      <c r="AV91" s="49" t="str">
        <f>INDEX('12運シート'!$E:$E, MATCH(1, INDEX((TRIM('12運シート'!$A:$A)=TRIM($T$42)) * (TRIM('12運シート'!$B:$B)=TRIM(AE91)), 0), 0))</f>
        <v>曇天</v>
      </c>
      <c r="AW91" s="49" t="str">
        <f t="shared" si="39"/>
        <v>運気の勢いに心身が追いつかない小休止。自己治癒の時期。</v>
      </c>
      <c r="AX91" s="49"/>
      <c r="AY91" s="49"/>
      <c r="AZ91" s="166" t="str">
        <f t="shared" ca="1" si="40"/>
        <v>丑</v>
      </c>
      <c r="BA91" s="173">
        <f t="shared" ca="1" si="41"/>
        <v>46217</v>
      </c>
      <c r="BB91" s="174">
        <f t="shared" ca="1" si="7"/>
        <v>26</v>
      </c>
      <c r="BC91" s="174" t="str">
        <f ca="1">VLOOKUP(BB91,[1]大運!$B$31:$C$90,2,FALSE)</f>
        <v>己丑</v>
      </c>
      <c r="BD91" s="174" t="str">
        <f ca="1">VLOOKUP($F$5 &amp; "+" &amp; (MOD(BA91 - DATE(2024, 1, 1), 60) + 1), [1]大運!$H$45:$K$3644, 3, FALSE)</f>
        <v>石門星</v>
      </c>
      <c r="BE91" s="174" t="str">
        <f ca="1">VLOOKUP($F$5 &amp; "+" &amp; (MOD(BA91 - DATE(2024, 1, 1), 60) + 1), [1]大運!$H$45:$K$3644, 4, FALSE)</f>
        <v>天印星</v>
      </c>
      <c r="BF91" s="174" t="str">
        <f ca="1">VLOOKUP($F$5 &amp; "+" &amp; (MOD(BA91 - DATE(2024, 1, 1), 60) + 1), [1]大運!$H$45:$K$3644, 2, FALSE)</f>
        <v>支合</v>
      </c>
      <c r="BG91" s="174" t="str">
        <f ca="1">VLOOKUP($G$5 &amp; "+" &amp; (MOD(BA91 - DATE(2024, 1, 1), 60) + 1), [1]大運!$H$45:$K$3644, 2, FALSE)</f>
        <v>－</v>
      </c>
      <c r="BH91" s="174" t="str">
        <f ca="1">VLOOKUP($H$5 &amp; "+" &amp; (MOD(BA91 - DATE(2024, 1, 1), 60) + 1), [1]大運!$H$45:$K$3644, 2, FALSE)</f>
        <v>半会</v>
      </c>
      <c r="BI91" s="172" t="str">
        <f t="shared" ca="1" si="42"/>
        <v/>
      </c>
      <c r="BJ91" s="172" t="str">
        <f t="shared" ca="1" si="43"/>
        <v/>
      </c>
      <c r="BK91" s="172" t="str">
        <f t="shared" ca="1" si="44"/>
        <v/>
      </c>
      <c r="BL91" s="174" t="str">
        <f ca="1">INDEX('12運シート'!C:C, MATCH(1, INDEX(('12運シート'!A:A=TRIM($T$42)) * ('12運シート'!B:B=TRIM(RIGHT(AZ91, 1))), 0), 0))</f>
        <v>達成</v>
      </c>
      <c r="BM91" s="174" t="str">
        <f ca="1">INDEX('12運シート'!$E:$E, MATCH(1, INDEX((TRIM('12運シート'!$A:$A)=TRIM($T$42)) * (TRIM('12運シート'!$B:$B)=TRIM(AZ91)), 0), 0))</f>
        <v>韋駄天</v>
      </c>
      <c r="BN91" s="49" t="str">
        <f t="shared" ca="1" si="45"/>
        <v>運気絶頂。これまでの努力が実を結び、最高のスポットライトを浴びる。</v>
      </c>
      <c r="BO91" s="49"/>
      <c r="BP91" s="49"/>
      <c r="BQ91" s="49"/>
      <c r="BR91" s="49"/>
      <c r="BS91" s="49"/>
      <c r="BT91" s="49"/>
      <c r="BU91" s="49"/>
      <c r="BV91" s="49"/>
      <c r="BW91" s="49"/>
      <c r="BX91" s="49"/>
      <c r="BY91" s="49"/>
      <c r="BZ91" s="49"/>
      <c r="CA91" s="49"/>
      <c r="CB91" s="49"/>
      <c r="CC91" s="49"/>
      <c r="CD91" s="49"/>
      <c r="CE91" s="49"/>
      <c r="CF91" s="49"/>
      <c r="CG91" s="49"/>
      <c r="CH91" s="49"/>
      <c r="CI91" s="49"/>
      <c r="CJ91" s="49"/>
      <c r="CK91" s="49"/>
      <c r="CL91" s="49"/>
      <c r="CM91" s="49"/>
      <c r="CN91" s="49"/>
      <c r="CO91" s="49"/>
      <c r="CP91" s="49"/>
      <c r="CQ91" s="49"/>
      <c r="CR91" s="49"/>
      <c r="CS91" s="49"/>
      <c r="CT91" s="49"/>
      <c r="CU91" s="49"/>
      <c r="CV91" s="49"/>
      <c r="CW91" s="49"/>
      <c r="CX91" s="49"/>
      <c r="CY91" s="49"/>
      <c r="CZ91" s="49"/>
      <c r="DA91" s="49"/>
      <c r="DB91" s="49"/>
      <c r="DC91" s="49"/>
      <c r="DD91" s="49"/>
      <c r="DE91" s="49"/>
      <c r="DF91" s="49"/>
      <c r="DG91" s="49"/>
      <c r="DH91" s="49"/>
      <c r="DI91" s="49"/>
      <c r="DJ91" s="49"/>
      <c r="DK91" s="49"/>
      <c r="DL91" s="49"/>
      <c r="DM91" s="49"/>
      <c r="DN91" s="49"/>
      <c r="DO91" s="49"/>
      <c r="DP91" s="49"/>
      <c r="DQ91" s="49"/>
      <c r="DR91" s="49"/>
      <c r="DS91" s="49"/>
      <c r="DT91" s="49"/>
      <c r="DU91" s="49"/>
      <c r="DV91" s="49"/>
      <c r="DW91" s="49"/>
      <c r="DX91" s="49"/>
    </row>
    <row r="92" spans="1:128" ht="18" customHeight="1">
      <c r="A92" s="49"/>
      <c r="B92" s="49"/>
      <c r="C92" s="49"/>
      <c r="D92" s="49"/>
      <c r="E92" s="49"/>
      <c r="F92" s="49"/>
      <c r="G92" s="49"/>
      <c r="H92" s="49"/>
      <c r="I92" s="49"/>
      <c r="J92" s="49"/>
      <c r="K92" s="49"/>
      <c r="L92" s="49"/>
      <c r="M92" s="49"/>
      <c r="N92" s="49"/>
      <c r="O92" s="49"/>
      <c r="P92" s="49"/>
      <c r="Q92" s="49"/>
      <c r="R92" s="49"/>
      <c r="S92" s="49"/>
      <c r="T92" s="49"/>
      <c r="U92" s="52"/>
      <c r="V92" s="49"/>
      <c r="W92" s="49"/>
      <c r="X92" s="53"/>
      <c r="Y92" s="49"/>
      <c r="Z92" s="49"/>
      <c r="AA92" s="53"/>
      <c r="AB92" s="53"/>
      <c r="AC92" s="49"/>
      <c r="AD92" s="49"/>
      <c r="AE92" s="166" t="str">
        <f t="shared" si="34"/>
        <v>丑</v>
      </c>
      <c r="AF92" s="167">
        <f t="shared" si="5"/>
        <v>76</v>
      </c>
      <c r="AG92" s="168">
        <f t="shared" si="35"/>
        <v>2057</v>
      </c>
      <c r="AH92" s="100" t="str">
        <f>VLOOKUP(AM92,[1]大運!$B$31:$C$90,2,FALSE)</f>
        <v>丁丑</v>
      </c>
      <c r="AI92" s="99" t="str">
        <f>VLOOKUP($F$5&amp;"+"&amp;AM92,[1]大運!$H$45:$K$3644,3,FALSE)</f>
        <v>玉堂星</v>
      </c>
      <c r="AJ92" s="73"/>
      <c r="AK92" s="99" t="str">
        <f>VLOOKUP($F$5&amp;"+"&amp;AM92,[1]大運!$H$45:$K$3644,4,FALSE)</f>
        <v>天印星</v>
      </c>
      <c r="AL92" s="73"/>
      <c r="AM92" s="171">
        <f t="shared" si="6"/>
        <v>14</v>
      </c>
      <c r="AN92" s="164" t="str">
        <f>VLOOKUP($F$5&amp;"+"&amp;AM92,[1]大運!$H$45:$K$3644,2,FALSE)</f>
        <v>支合</v>
      </c>
      <c r="AO92" s="164" t="str">
        <f>VLOOKUP($G$5&amp;"+"&amp;AM92,[1]大運!$H$45:$K$3644,2,FALSE)</f>
        <v>－</v>
      </c>
      <c r="AP92" s="164" t="str">
        <f>VLOOKUP($H$5&amp;"+"&amp;AM92,[1]大運!$H$45:$K$3644,2,FALSE)</f>
        <v>半会</v>
      </c>
      <c r="AQ92" s="100" t="str">
        <f t="shared" si="25"/>
        <v/>
      </c>
      <c r="AR92" s="172" t="str">
        <f t="shared" si="36"/>
        <v/>
      </c>
      <c r="AS92" s="172" t="str">
        <f t="shared" si="37"/>
        <v/>
      </c>
      <c r="AT92" s="172" t="str">
        <f t="shared" si="38"/>
        <v/>
      </c>
      <c r="AU92" s="49" t="str">
        <f>INDEX('12運シート'!C:C, MATCH(1, INDEX(('12運シート'!A:A=TRIM($T$42)) * ('12運シート'!B:B=TRIM(RIGHT(AE92, 1))), 0), 0))</f>
        <v>達成</v>
      </c>
      <c r="AV92" s="49" t="str">
        <f>INDEX('12運シート'!$E:$E, MATCH(1, INDEX((TRIM('12運シート'!$A:$A)=TRIM($T$42)) * (TRIM('12運シート'!$B:$B)=TRIM(AE92)), 0), 0))</f>
        <v>韋駄天</v>
      </c>
      <c r="AW92" s="49" t="str">
        <f t="shared" si="39"/>
        <v>運気絶頂。これまでの努力が実を結び、最高のスポットライトを浴びる。</v>
      </c>
      <c r="AX92" s="49"/>
      <c r="AY92" s="49"/>
      <c r="AZ92" s="166" t="str">
        <f t="shared" ca="1" si="40"/>
        <v>寅</v>
      </c>
      <c r="BA92" s="173">
        <f t="shared" ca="1" si="41"/>
        <v>46218</v>
      </c>
      <c r="BB92" s="174">
        <f t="shared" ca="1" si="7"/>
        <v>27</v>
      </c>
      <c r="BC92" s="174" t="str">
        <f ca="1">VLOOKUP(BB92,[1]大運!$B$31:$C$90,2,FALSE)</f>
        <v>庚寅</v>
      </c>
      <c r="BD92" s="174" t="str">
        <f ca="1">VLOOKUP($F$5 &amp; "+" &amp; (MOD(BA92 - DATE(2024, 1, 1), 60) + 1), [1]大運!$H$45:$K$3644, 3, FALSE)</f>
        <v>鳳閣星</v>
      </c>
      <c r="BE92" s="174" t="str">
        <f ca="1">VLOOKUP($F$5 &amp; "+" &amp; (MOD(BA92 - DATE(2024, 1, 1), 60) + 1), [1]大運!$H$45:$K$3644, 4, FALSE)</f>
        <v>天貴星</v>
      </c>
      <c r="BF92" s="174" t="str">
        <f ca="1">VLOOKUP($F$5 &amp; "+" &amp; (MOD(BA92 - DATE(2024, 1, 1), 60) + 1), [1]大運!$H$45:$K$3644, 2, FALSE)</f>
        <v>－</v>
      </c>
      <c r="BG92" s="174" t="str">
        <f ca="1">VLOOKUP($G$5 &amp; "+" &amp; (MOD(BA92 - DATE(2024, 1, 1), 60) + 1), [1]大運!$H$45:$K$3644, 2, FALSE)</f>
        <v>天剋地冲</v>
      </c>
      <c r="BH92" s="174" t="str">
        <f ca="1">VLOOKUP($H$5 &amp; "+" &amp; (MOD(BA92 - DATE(2024, 1, 1), 60) + 1), [1]大運!$H$45:$K$3644, 2, FALSE)</f>
        <v>－</v>
      </c>
      <c r="BI92" s="172" t="str">
        <f t="shared" ca="1" si="42"/>
        <v/>
      </c>
      <c r="BJ92" s="172" t="str">
        <f t="shared" ca="1" si="43"/>
        <v/>
      </c>
      <c r="BK92" s="172" t="str">
        <f t="shared" ca="1" si="44"/>
        <v/>
      </c>
      <c r="BL92" s="174" t="str">
        <f ca="1">INDEX('12運シート'!C:C, MATCH(1, INDEX(('12運シート'!A:A=TRIM($T$42)) * ('12運シート'!B:B=TRIM(RIGHT(AZ92, 1))), 0), 0))</f>
        <v>乱気</v>
      </c>
      <c r="BM92" s="174" t="str">
        <f ca="1">INDEX('12運シート'!$E:$E, MATCH(1, INDEX((TRIM('12運シート'!$A:$A)=TRIM($T$42)) * (TRIM('12運シート'!$B:$B)=TRIM(AZ92)), 0), 0))</f>
        <v>伏魔天</v>
      </c>
      <c r="BN92" s="49" t="str">
        <f t="shared" ca="1" si="45"/>
        <v>強すぎる運気の反動で迷いや摩擦が生じる。理性と現状維持が必要な嵐。</v>
      </c>
      <c r="BO92" s="49"/>
      <c r="BP92" s="49"/>
      <c r="BQ92" s="49"/>
      <c r="BR92" s="49"/>
      <c r="BS92" s="49"/>
      <c r="BT92" s="49"/>
      <c r="BU92" s="49"/>
      <c r="BV92" s="49"/>
      <c r="BW92" s="49"/>
      <c r="BX92" s="49"/>
      <c r="BY92" s="49"/>
      <c r="BZ92" s="49"/>
      <c r="CA92" s="49"/>
      <c r="CB92" s="49"/>
      <c r="CC92" s="49"/>
      <c r="CD92" s="49"/>
      <c r="CE92" s="49"/>
      <c r="CF92" s="49"/>
      <c r="CG92" s="49"/>
      <c r="CH92" s="49"/>
      <c r="CI92" s="49"/>
      <c r="CJ92" s="49"/>
      <c r="CK92" s="49"/>
      <c r="CL92" s="49"/>
      <c r="CM92" s="49"/>
      <c r="CN92" s="49"/>
      <c r="CO92" s="49"/>
      <c r="CP92" s="49"/>
      <c r="CQ92" s="49"/>
      <c r="CR92" s="49"/>
      <c r="CS92" s="49"/>
      <c r="CT92" s="49"/>
      <c r="CU92" s="49"/>
      <c r="CV92" s="49"/>
      <c r="CW92" s="49"/>
      <c r="CX92" s="49"/>
      <c r="CY92" s="49"/>
      <c r="CZ92" s="49"/>
      <c r="DA92" s="49"/>
      <c r="DB92" s="49"/>
      <c r="DC92" s="49"/>
      <c r="DD92" s="49"/>
      <c r="DE92" s="49"/>
      <c r="DF92" s="49"/>
      <c r="DG92" s="49"/>
      <c r="DH92" s="49"/>
      <c r="DI92" s="49"/>
      <c r="DJ92" s="49"/>
      <c r="DK92" s="49"/>
      <c r="DL92" s="49"/>
      <c r="DM92" s="49"/>
      <c r="DN92" s="49"/>
      <c r="DO92" s="49"/>
      <c r="DP92" s="49"/>
      <c r="DQ92" s="49"/>
      <c r="DR92" s="49"/>
      <c r="DS92" s="49"/>
      <c r="DT92" s="49"/>
      <c r="DU92" s="49"/>
      <c r="DV92" s="49"/>
      <c r="DW92" s="49"/>
      <c r="DX92" s="49"/>
    </row>
    <row r="93" spans="1:128" ht="18" customHeight="1">
      <c r="A93" s="49"/>
      <c r="B93" s="49"/>
      <c r="C93" s="49"/>
      <c r="D93" s="49"/>
      <c r="E93" s="49"/>
      <c r="F93" s="49"/>
      <c r="G93" s="49"/>
      <c r="H93" s="49"/>
      <c r="I93" s="49"/>
      <c r="J93" s="49"/>
      <c r="K93" s="49"/>
      <c r="L93" s="49"/>
      <c r="M93" s="49"/>
      <c r="N93" s="49"/>
      <c r="O93" s="49"/>
      <c r="P93" s="49"/>
      <c r="Q93" s="49"/>
      <c r="R93" s="49"/>
      <c r="S93" s="49"/>
      <c r="T93" s="49"/>
      <c r="U93" s="52"/>
      <c r="V93" s="49"/>
      <c r="W93" s="49"/>
      <c r="X93" s="53"/>
      <c r="Y93" s="49"/>
      <c r="Z93" s="49"/>
      <c r="AA93" s="53"/>
      <c r="AB93" s="53"/>
      <c r="AC93" s="49"/>
      <c r="AD93" s="49"/>
      <c r="AE93" s="166" t="str">
        <f t="shared" si="34"/>
        <v>寅</v>
      </c>
      <c r="AF93" s="167">
        <f t="shared" si="5"/>
        <v>77</v>
      </c>
      <c r="AG93" s="168">
        <f t="shared" si="35"/>
        <v>2058</v>
      </c>
      <c r="AH93" s="100" t="str">
        <f>VLOOKUP(AM93,[1]大運!$B$31:$C$90,2,FALSE)</f>
        <v>戊寅</v>
      </c>
      <c r="AI93" s="99" t="str">
        <f>VLOOKUP($F$5&amp;"+"&amp;AM93,[1]大運!$H$45:$K$3644,3,FALSE)</f>
        <v>貫索星</v>
      </c>
      <c r="AJ93" s="73"/>
      <c r="AK93" s="99" t="str">
        <f>VLOOKUP($F$5&amp;"+"&amp;AM93,[1]大運!$H$45:$K$3644,4,FALSE)</f>
        <v>天貴星</v>
      </c>
      <c r="AL93" s="73"/>
      <c r="AM93" s="171">
        <f t="shared" si="6"/>
        <v>15</v>
      </c>
      <c r="AN93" s="164" t="str">
        <f>VLOOKUP($F$5&amp;"+"&amp;AM93,[1]大運!$H$45:$K$3644,2,FALSE)</f>
        <v>－</v>
      </c>
      <c r="AO93" s="164" t="str">
        <f>VLOOKUP($G$5&amp;"+"&amp;AM93,[1]大運!$H$45:$K$3644,2,FALSE)</f>
        <v>対冲</v>
      </c>
      <c r="AP93" s="164" t="str">
        <f>VLOOKUP($H$5&amp;"+"&amp;AM93,[1]大運!$H$45:$K$3644,2,FALSE)</f>
        <v>－</v>
      </c>
      <c r="AQ93" s="100" t="str">
        <f t="shared" si="25"/>
        <v/>
      </c>
      <c r="AR93" s="172" t="str">
        <f t="shared" si="36"/>
        <v/>
      </c>
      <c r="AS93" s="172" t="str">
        <f t="shared" si="37"/>
        <v/>
      </c>
      <c r="AT93" s="172" t="str">
        <f t="shared" si="38"/>
        <v/>
      </c>
      <c r="AU93" s="49" t="str">
        <f>INDEX('12運シート'!C:C, MATCH(1, INDEX(('12運シート'!A:A=TRIM($T$42)) * ('12運シート'!B:B=TRIM(RIGHT(AE93, 1))), 0), 0))</f>
        <v>乱気</v>
      </c>
      <c r="AV93" s="49" t="str">
        <f>INDEX('12運シート'!$E:$E, MATCH(1, INDEX((TRIM('12運シート'!$A:$A)=TRIM($T$42)) * (TRIM('12運シート'!$B:$B)=TRIM(AE93)), 0), 0))</f>
        <v>伏魔天</v>
      </c>
      <c r="AW93" s="49" t="str">
        <f t="shared" si="39"/>
        <v>強すぎる運気の反動で迷いや摩擦が生じる。理性と現状維持が必要な嵐。</v>
      </c>
      <c r="AX93" s="49"/>
      <c r="AY93" s="49"/>
      <c r="AZ93" s="166" t="str">
        <f t="shared" ca="1" si="40"/>
        <v>卯</v>
      </c>
      <c r="BA93" s="173">
        <f t="shared" ca="1" si="41"/>
        <v>46219</v>
      </c>
      <c r="BB93" s="174">
        <f t="shared" ca="1" si="7"/>
        <v>28</v>
      </c>
      <c r="BC93" s="174" t="str">
        <f ca="1">VLOOKUP(BB93,[1]大運!$B$31:$C$90,2,FALSE)</f>
        <v>辛卯</v>
      </c>
      <c r="BD93" s="174" t="str">
        <f ca="1">VLOOKUP($F$5 &amp; "+" &amp; (MOD(BA93 - DATE(2024, 1, 1), 60) + 1), [1]大運!$H$45:$K$3644, 3, FALSE)</f>
        <v>調舒星</v>
      </c>
      <c r="BE93" s="174" t="str">
        <f ca="1">VLOOKUP($F$5 &amp; "+" &amp; (MOD(BA93 - DATE(2024, 1, 1), 60) + 1), [1]大運!$H$45:$K$3644, 4, FALSE)</f>
        <v>天恍星</v>
      </c>
      <c r="BF93" s="174" t="str">
        <f ca="1">VLOOKUP($F$5 &amp; "+" &amp; (MOD(BA93 - DATE(2024, 1, 1), 60) + 1), [1]大運!$H$45:$K$3644, 2, FALSE)</f>
        <v>刑</v>
      </c>
      <c r="BG93" s="174" t="str">
        <f ca="1">VLOOKUP($G$5 &amp; "+" &amp; (MOD(BA93 - DATE(2024, 1, 1), 60) + 1), [1]大運!$H$45:$K$3644, 2, FALSE)</f>
        <v>－</v>
      </c>
      <c r="BH93" s="174" t="str">
        <f ca="1">VLOOKUP($H$5 &amp; "+" &amp; (MOD(BA93 - DATE(2024, 1, 1), 60) + 1), [1]大運!$H$45:$K$3644, 2, FALSE)</f>
        <v>納音</v>
      </c>
      <c r="BI93" s="172" t="str">
        <f t="shared" ca="1" si="42"/>
        <v/>
      </c>
      <c r="BJ93" s="172" t="str">
        <f t="shared" ca="1" si="43"/>
        <v>丙辛干合</v>
      </c>
      <c r="BK93" s="172" t="str">
        <f t="shared" ca="1" si="44"/>
        <v/>
      </c>
      <c r="BL93" s="174" t="str">
        <f ca="1">INDEX('12運シート'!C:C, MATCH(1, INDEX(('12運シート'!A:A=TRIM($T$42)) * ('12運シート'!B:B=TRIM(RIGHT(AZ93, 1))), 0), 0))</f>
        <v>再会</v>
      </c>
      <c r="BM93" s="174" t="str">
        <f ca="1">INDEX('12運シート'!$E:$E, MATCH(1, INDEX((TRIM('12運シート'!$A:$A)=TRIM($T$42)) * (TRIM('12運シート'!$B:$B)=TRIM(AZ93)), 0), 0))</f>
        <v>有頂天</v>
      </c>
      <c r="BN93" s="49" t="str">
        <f t="shared" ca="1" si="45"/>
        <v>第2の絶頂期。過去の縁が繋がり、周囲を巻き込み大きな成果を出す。</v>
      </c>
      <c r="BO93" s="49"/>
      <c r="BP93" s="49"/>
      <c r="BQ93" s="49"/>
      <c r="BR93" s="49"/>
      <c r="BS93" s="49"/>
      <c r="BT93" s="49"/>
      <c r="BU93" s="49"/>
      <c r="BV93" s="49"/>
      <c r="BW93" s="49"/>
      <c r="BX93" s="49"/>
      <c r="BY93" s="49"/>
      <c r="BZ93" s="49"/>
      <c r="CA93" s="49"/>
      <c r="CB93" s="49"/>
      <c r="CC93" s="49"/>
      <c r="CD93" s="49"/>
      <c r="CE93" s="49"/>
      <c r="CF93" s="49"/>
      <c r="CG93" s="49"/>
      <c r="CH93" s="49"/>
      <c r="CI93" s="49"/>
      <c r="CJ93" s="49"/>
      <c r="CK93" s="49"/>
      <c r="CL93" s="49"/>
      <c r="CM93" s="49"/>
      <c r="CN93" s="49"/>
      <c r="CO93" s="49"/>
      <c r="CP93" s="49"/>
      <c r="CQ93" s="49"/>
      <c r="CR93" s="49"/>
      <c r="CS93" s="49"/>
      <c r="CT93" s="49"/>
      <c r="CU93" s="49"/>
      <c r="CV93" s="49"/>
      <c r="CW93" s="49"/>
      <c r="CX93" s="49"/>
      <c r="CY93" s="49"/>
      <c r="CZ93" s="49"/>
      <c r="DA93" s="49"/>
      <c r="DB93" s="49"/>
      <c r="DC93" s="49"/>
      <c r="DD93" s="49"/>
      <c r="DE93" s="49"/>
      <c r="DF93" s="49"/>
      <c r="DG93" s="49"/>
      <c r="DH93" s="49"/>
      <c r="DI93" s="49"/>
      <c r="DJ93" s="49"/>
      <c r="DK93" s="49"/>
      <c r="DL93" s="49"/>
      <c r="DM93" s="49"/>
      <c r="DN93" s="49"/>
      <c r="DO93" s="49"/>
      <c r="DP93" s="49"/>
      <c r="DQ93" s="49"/>
      <c r="DR93" s="49"/>
      <c r="DS93" s="49"/>
      <c r="DT93" s="49"/>
      <c r="DU93" s="49"/>
      <c r="DV93" s="49"/>
      <c r="DW93" s="49"/>
      <c r="DX93" s="49"/>
    </row>
    <row r="94" spans="1:128" ht="18" customHeight="1">
      <c r="A94" s="49"/>
      <c r="B94" s="49"/>
      <c r="C94" s="49"/>
      <c r="D94" s="49"/>
      <c r="E94" s="49"/>
      <c r="F94" s="49"/>
      <c r="G94" s="49"/>
      <c r="H94" s="49"/>
      <c r="I94" s="49"/>
      <c r="J94" s="49"/>
      <c r="K94" s="49"/>
      <c r="L94" s="49"/>
      <c r="M94" s="49"/>
      <c r="N94" s="49"/>
      <c r="O94" s="49"/>
      <c r="P94" s="49"/>
      <c r="Q94" s="49"/>
      <c r="R94" s="49"/>
      <c r="S94" s="49"/>
      <c r="T94" s="49"/>
      <c r="U94" s="52"/>
      <c r="V94" s="49"/>
      <c r="W94" s="49"/>
      <c r="X94" s="53"/>
      <c r="Y94" s="49"/>
      <c r="Z94" s="49"/>
      <c r="AA94" s="53"/>
      <c r="AB94" s="53"/>
      <c r="AC94" s="49"/>
      <c r="AD94" s="49"/>
      <c r="AE94" s="166" t="str">
        <f t="shared" si="34"/>
        <v>卯</v>
      </c>
      <c r="AF94" s="167">
        <f t="shared" si="5"/>
        <v>78</v>
      </c>
      <c r="AG94" s="168">
        <f t="shared" si="35"/>
        <v>2059</v>
      </c>
      <c r="AH94" s="100" t="str">
        <f>VLOOKUP(AM94,[1]大運!$B$31:$C$90,2,FALSE)</f>
        <v>己卯</v>
      </c>
      <c r="AI94" s="99" t="str">
        <f>VLOOKUP($F$5&amp;"+"&amp;AM94,[1]大運!$H$45:$K$3644,3,FALSE)</f>
        <v>石門星</v>
      </c>
      <c r="AJ94" s="73"/>
      <c r="AK94" s="99" t="str">
        <f>VLOOKUP($F$5&amp;"+"&amp;AM94,[1]大運!$H$45:$K$3644,4,FALSE)</f>
        <v>天恍星</v>
      </c>
      <c r="AL94" s="73"/>
      <c r="AM94" s="171">
        <f t="shared" si="6"/>
        <v>16</v>
      </c>
      <c r="AN94" s="164" t="str">
        <f>VLOOKUP($F$5&amp;"+"&amp;AM94,[1]大運!$H$45:$K$3644,2,FALSE)</f>
        <v>刑</v>
      </c>
      <c r="AO94" s="164" t="str">
        <f>VLOOKUP($G$5&amp;"+"&amp;AM94,[1]大運!$H$45:$K$3644,2,FALSE)</f>
        <v>－</v>
      </c>
      <c r="AP94" s="164" t="str">
        <f>VLOOKUP($H$5&amp;"+"&amp;AM94,[1]大運!$H$45:$K$3644,2,FALSE)</f>
        <v>対冲</v>
      </c>
      <c r="AQ94" s="100" t="str">
        <f t="shared" si="25"/>
        <v/>
      </c>
      <c r="AR94" s="172" t="str">
        <f t="shared" si="36"/>
        <v/>
      </c>
      <c r="AS94" s="172" t="str">
        <f t="shared" si="37"/>
        <v/>
      </c>
      <c r="AT94" s="172" t="str">
        <f t="shared" si="38"/>
        <v/>
      </c>
      <c r="AU94" s="49" t="str">
        <f>INDEX('12運シート'!C:C, MATCH(1, INDEX(('12運シート'!A:A=TRIM($T$42)) * ('12運シート'!B:B=TRIM(RIGHT(AE94, 1))), 0), 0))</f>
        <v>再会</v>
      </c>
      <c r="AV94" s="49" t="str">
        <f>INDEX('12運シート'!$E:$E, MATCH(1, INDEX((TRIM('12運シート'!$A:$A)=TRIM($T$42)) * (TRIM('12運シート'!$B:$B)=TRIM(AE94)), 0), 0))</f>
        <v>有頂天</v>
      </c>
      <c r="AW94" s="49" t="str">
        <f t="shared" si="39"/>
        <v>第2の絶頂期。過去の縁が繋がり、周囲を巻き込み大きな成果を出す。</v>
      </c>
      <c r="AX94" s="49"/>
      <c r="AY94" s="49"/>
      <c r="AZ94" s="166" t="str">
        <f t="shared" ca="1" si="40"/>
        <v>辰</v>
      </c>
      <c r="BA94" s="173">
        <f t="shared" ca="1" si="41"/>
        <v>46220</v>
      </c>
      <c r="BB94" s="174">
        <f t="shared" ca="1" si="7"/>
        <v>29</v>
      </c>
      <c r="BC94" s="174" t="str">
        <f ca="1">VLOOKUP(BB94,[1]大運!$B$31:$C$90,2,FALSE)</f>
        <v>壬辰</v>
      </c>
      <c r="BD94" s="174" t="str">
        <f ca="1">VLOOKUP($F$5 &amp; "+" &amp; (MOD(BA94 - DATE(2024, 1, 1), 60) + 1), [1]大運!$H$45:$K$3644, 3, FALSE)</f>
        <v>禄存星</v>
      </c>
      <c r="BE94" s="174" t="str">
        <f ca="1">VLOOKUP($F$5 &amp; "+" &amp; (MOD(BA94 - DATE(2024, 1, 1), 60) + 1), [1]大運!$H$45:$K$3644, 4, FALSE)</f>
        <v>天南星</v>
      </c>
      <c r="BF94" s="174" t="str">
        <f ca="1">VLOOKUP($F$5 &amp; "+" &amp; (MOD(BA94 - DATE(2024, 1, 1), 60) + 1), [1]大運!$H$45:$K$3644, 2, FALSE)</f>
        <v>半会</v>
      </c>
      <c r="BG94" s="174" t="str">
        <f ca="1">VLOOKUP($G$5 &amp; "+" &amp; (MOD(BA94 - DATE(2024, 1, 1), 60) + 1), [1]大運!$H$45:$K$3644, 2, FALSE)</f>
        <v>半会</v>
      </c>
      <c r="BH94" s="174" t="str">
        <f ca="1">VLOOKUP($H$5 &amp; "+" &amp; (MOD(BA94 - DATE(2024, 1, 1), 60) + 1), [1]大運!$H$45:$K$3644, 2, FALSE)</f>
        <v>支合</v>
      </c>
      <c r="BI94" s="172" t="str">
        <f t="shared" ca="1" si="42"/>
        <v/>
      </c>
      <c r="BJ94" s="172" t="str">
        <f t="shared" ca="1" si="43"/>
        <v/>
      </c>
      <c r="BK94" s="172" t="str">
        <f t="shared" ca="1" si="44"/>
        <v/>
      </c>
      <c r="BL94" s="174" t="str">
        <f ca="1">INDEX('12運シート'!C:C, MATCH(1, INDEX(('12運シート'!A:A=TRIM($T$42)) * ('12運シート'!B:B=TRIM(RIGHT(AZ94, 1))), 0), 0))</f>
        <v>財成</v>
      </c>
      <c r="BM94" s="174" t="str">
        <f ca="1">INDEX('12運シート'!$E:$E, MATCH(1, INDEX((TRIM('12運シート'!$A:$A)=TRIM($T$42)) * (TRIM('12運シート'!$B:$B)=TRIM(AZ94)), 0), 0))</f>
        <v>満天</v>
      </c>
      <c r="BN94" s="49" t="str">
        <f t="shared" ca="1" si="45"/>
        <v>収穫の喜び。物質や人脈などあらゆる財を蓄積し、強固な基盤を作る。</v>
      </c>
      <c r="BO94" s="49"/>
      <c r="BP94" s="49"/>
      <c r="BQ94" s="49"/>
      <c r="BR94" s="49"/>
      <c r="BS94" s="49"/>
      <c r="BT94" s="49"/>
      <c r="BU94" s="49"/>
      <c r="BV94" s="49"/>
      <c r="BW94" s="49"/>
      <c r="BX94" s="49"/>
      <c r="BY94" s="49"/>
      <c r="BZ94" s="49"/>
      <c r="CA94" s="49"/>
      <c r="CB94" s="49"/>
      <c r="CC94" s="49"/>
      <c r="CD94" s="49"/>
      <c r="CE94" s="49"/>
      <c r="CF94" s="49"/>
      <c r="CG94" s="49"/>
      <c r="CH94" s="49"/>
      <c r="CI94" s="49"/>
      <c r="CJ94" s="49"/>
      <c r="CK94" s="49"/>
      <c r="CL94" s="49"/>
      <c r="CM94" s="49"/>
      <c r="CN94" s="49"/>
      <c r="CO94" s="49"/>
      <c r="CP94" s="49"/>
      <c r="CQ94" s="49"/>
      <c r="CR94" s="49"/>
      <c r="CS94" s="49"/>
      <c r="CT94" s="49"/>
      <c r="CU94" s="49"/>
      <c r="CV94" s="49"/>
      <c r="CW94" s="49"/>
      <c r="CX94" s="49"/>
      <c r="CY94" s="49"/>
      <c r="CZ94" s="49"/>
      <c r="DA94" s="49"/>
      <c r="DB94" s="49"/>
      <c r="DC94" s="49"/>
      <c r="DD94" s="49"/>
      <c r="DE94" s="49"/>
      <c r="DF94" s="49"/>
      <c r="DG94" s="49"/>
      <c r="DH94" s="49"/>
      <c r="DI94" s="49"/>
      <c r="DJ94" s="49"/>
      <c r="DK94" s="49"/>
      <c r="DL94" s="49"/>
      <c r="DM94" s="49"/>
      <c r="DN94" s="49"/>
      <c r="DO94" s="49"/>
      <c r="DP94" s="49"/>
      <c r="DQ94" s="49"/>
      <c r="DR94" s="49"/>
      <c r="DS94" s="49"/>
      <c r="DT94" s="49"/>
      <c r="DU94" s="49"/>
      <c r="DV94" s="49"/>
      <c r="DW94" s="49"/>
      <c r="DX94" s="49"/>
    </row>
    <row r="95" spans="1:128" ht="18" customHeight="1">
      <c r="A95" s="49"/>
      <c r="B95" s="49"/>
      <c r="C95" s="49"/>
      <c r="D95" s="49"/>
      <c r="E95" s="49"/>
      <c r="F95" s="49"/>
      <c r="G95" s="49"/>
      <c r="H95" s="49"/>
      <c r="I95" s="49"/>
      <c r="J95" s="49"/>
      <c r="K95" s="49"/>
      <c r="L95" s="49"/>
      <c r="M95" s="49"/>
      <c r="N95" s="49"/>
      <c r="O95" s="49"/>
      <c r="P95" s="49"/>
      <c r="Q95" s="49"/>
      <c r="R95" s="49"/>
      <c r="S95" s="49"/>
      <c r="T95" s="49"/>
      <c r="U95" s="52"/>
      <c r="V95" s="49"/>
      <c r="W95" s="49"/>
      <c r="X95" s="53"/>
      <c r="Y95" s="49"/>
      <c r="Z95" s="49"/>
      <c r="AA95" s="53"/>
      <c r="AB95" s="53"/>
      <c r="AC95" s="49"/>
      <c r="AD95" s="49"/>
      <c r="AE95" s="166" t="str">
        <f t="shared" si="34"/>
        <v>辰</v>
      </c>
      <c r="AF95" s="167">
        <f t="shared" si="5"/>
        <v>79</v>
      </c>
      <c r="AG95" s="168">
        <f t="shared" si="35"/>
        <v>2060</v>
      </c>
      <c r="AH95" s="100" t="str">
        <f>VLOOKUP(AM95,[1]大運!$B$31:$C$90,2,FALSE)</f>
        <v>庚辰</v>
      </c>
      <c r="AI95" s="99" t="str">
        <f>VLOOKUP($F$5&amp;"+"&amp;AM95,[1]大運!$H$45:$K$3644,3,FALSE)</f>
        <v>鳳閣星</v>
      </c>
      <c r="AJ95" s="73"/>
      <c r="AK95" s="99" t="str">
        <f>VLOOKUP($F$5&amp;"+"&amp;AM95,[1]大運!$H$45:$K$3644,4,FALSE)</f>
        <v>天南星</v>
      </c>
      <c r="AL95" s="73"/>
      <c r="AM95" s="171">
        <f t="shared" si="6"/>
        <v>17</v>
      </c>
      <c r="AN95" s="164" t="str">
        <f>VLOOKUP($F$5&amp;"+"&amp;AM95,[1]大運!$H$45:$K$3644,2,FALSE)</f>
        <v>半会</v>
      </c>
      <c r="AO95" s="164" t="str">
        <f>VLOOKUP($G$5&amp;"+"&amp;AM95,[1]大運!$H$45:$K$3644,2,FALSE)</f>
        <v>半会</v>
      </c>
      <c r="AP95" s="164" t="str">
        <f>VLOOKUP($H$5&amp;"+"&amp;AM95,[1]大運!$H$45:$K$3644,2,FALSE)</f>
        <v>支合</v>
      </c>
      <c r="AQ95" s="100" t="str">
        <f t="shared" si="25"/>
        <v/>
      </c>
      <c r="AR95" s="172" t="str">
        <f t="shared" si="36"/>
        <v/>
      </c>
      <c r="AS95" s="172" t="str">
        <f t="shared" si="37"/>
        <v/>
      </c>
      <c r="AT95" s="172" t="str">
        <f t="shared" si="38"/>
        <v/>
      </c>
      <c r="AU95" s="49" t="str">
        <f>INDEX('12運シート'!C:C, MATCH(1, INDEX(('12運シート'!A:A=TRIM($T$42)) * ('12運シート'!B:B=TRIM(RIGHT(AE95, 1))), 0), 0))</f>
        <v>財成</v>
      </c>
      <c r="AV95" s="49" t="str">
        <f>INDEX('12運シート'!$E:$E, MATCH(1, INDEX((TRIM('12運シート'!$A:$A)=TRIM($T$42)) * (TRIM('12運シート'!$B:$B)=TRIM(AE95)), 0), 0))</f>
        <v>満天</v>
      </c>
      <c r="AW95" s="49" t="str">
        <f t="shared" si="39"/>
        <v>収穫の喜び。物質や人脈などあらゆる財を蓄積し、強固な基盤を作る。</v>
      </c>
      <c r="AX95" s="49"/>
      <c r="AY95" s="49"/>
      <c r="AZ95" s="166" t="str">
        <f t="shared" ca="1" si="40"/>
        <v>巳</v>
      </c>
      <c r="BA95" s="173">
        <f t="shared" ca="1" si="41"/>
        <v>46221</v>
      </c>
      <c r="BB95" s="174">
        <f t="shared" ca="1" si="7"/>
        <v>30</v>
      </c>
      <c r="BC95" s="174" t="str">
        <f ca="1">VLOOKUP(BB95,[1]大運!$B$31:$C$90,2,FALSE)</f>
        <v>癸巳</v>
      </c>
      <c r="BD95" s="174" t="str">
        <f ca="1">VLOOKUP($F$5 &amp; "+" &amp; (MOD(BA95 - DATE(2024, 1, 1), 60) + 1), [1]大運!$H$45:$K$3644, 3, FALSE)</f>
        <v>司禄星</v>
      </c>
      <c r="BE95" s="174" t="str">
        <f ca="1">VLOOKUP($F$5 &amp; "+" &amp; (MOD(BA95 - DATE(2024, 1, 1), 60) + 1), [1]大運!$H$45:$K$3644, 4, FALSE)</f>
        <v>天禄星</v>
      </c>
      <c r="BF95" s="174" t="str">
        <f ca="1">VLOOKUP($F$5 &amp; "+" &amp; (MOD(BA95 - DATE(2024, 1, 1), 60) + 1), [1]大運!$H$45:$K$3644, 2, FALSE)</f>
        <v>－</v>
      </c>
      <c r="BG95" s="174" t="str">
        <f ca="1">VLOOKUP($G$5 &amp; "+" &amp; (MOD(BA95 - DATE(2024, 1, 1), 60) + 1), [1]大運!$H$45:$K$3644, 2, FALSE)</f>
        <v>支合</v>
      </c>
      <c r="BH95" s="174" t="str">
        <f ca="1">VLOOKUP($H$5 &amp; "+" &amp; (MOD(BA95 - DATE(2024, 1, 1), 60) + 1), [1]大運!$H$45:$K$3644, 2, FALSE)</f>
        <v>半会</v>
      </c>
      <c r="BI95" s="172" t="str">
        <f t="shared" ca="1" si="42"/>
        <v>戊癸干合</v>
      </c>
      <c r="BJ95" s="172" t="str">
        <f t="shared" ca="1" si="43"/>
        <v/>
      </c>
      <c r="BK95" s="172" t="str">
        <f t="shared" ca="1" si="44"/>
        <v/>
      </c>
      <c r="BL95" s="174" t="str">
        <f ca="1">INDEX('12運シート'!C:C, MATCH(1, INDEX(('12運シート'!A:A=TRIM($T$42)) * ('12運シート'!B:B=TRIM(RIGHT(AZ95, 1))), 0), 0))</f>
        <v>充実</v>
      </c>
      <c r="BM95" s="174" t="str">
        <f ca="1">INDEX('12運シート'!$E:$E, MATCH(1, INDEX((TRIM('12運シート'!$A:$A)=TRIM($T$42)) * (TRIM('12運シート'!$B:$B)=TRIM(AZ95)), 0), 0))</f>
        <v>静天</v>
      </c>
      <c r="BN95" s="49" t="str">
        <f t="shared" ca="1" si="45"/>
        <v>成果が出揃う。精神的な安定と充実の中で平和に人生を俯瞰する時期。</v>
      </c>
      <c r="BO95" s="49"/>
      <c r="BP95" s="49"/>
      <c r="BQ95" s="49"/>
      <c r="BR95" s="49"/>
      <c r="BS95" s="49"/>
      <c r="BT95" s="49"/>
      <c r="BU95" s="49"/>
      <c r="BV95" s="49"/>
      <c r="BW95" s="49"/>
      <c r="BX95" s="49"/>
      <c r="BY95" s="49"/>
      <c r="BZ95" s="49"/>
      <c r="CA95" s="49"/>
      <c r="CB95" s="49"/>
      <c r="CC95" s="49"/>
      <c r="CD95" s="49"/>
      <c r="CE95" s="49"/>
      <c r="CF95" s="49"/>
      <c r="CG95" s="49"/>
      <c r="CH95" s="49"/>
      <c r="CI95" s="49"/>
      <c r="CJ95" s="49"/>
      <c r="CK95" s="49"/>
      <c r="CL95" s="49"/>
      <c r="CM95" s="49"/>
      <c r="CN95" s="49"/>
      <c r="CO95" s="49"/>
      <c r="CP95" s="49"/>
      <c r="CQ95" s="49"/>
      <c r="CR95" s="49"/>
      <c r="CS95" s="49"/>
      <c r="CT95" s="49"/>
      <c r="CU95" s="49"/>
      <c r="CV95" s="49"/>
      <c r="CW95" s="49"/>
      <c r="CX95" s="49"/>
      <c r="CY95" s="49"/>
      <c r="CZ95" s="49"/>
      <c r="DA95" s="49"/>
      <c r="DB95" s="49"/>
      <c r="DC95" s="49"/>
      <c r="DD95" s="49"/>
      <c r="DE95" s="49"/>
      <c r="DF95" s="49"/>
      <c r="DG95" s="49"/>
      <c r="DH95" s="49"/>
      <c r="DI95" s="49"/>
      <c r="DJ95" s="49"/>
      <c r="DK95" s="49"/>
      <c r="DL95" s="49"/>
      <c r="DM95" s="49"/>
      <c r="DN95" s="49"/>
      <c r="DO95" s="49"/>
      <c r="DP95" s="49"/>
      <c r="DQ95" s="49"/>
      <c r="DR95" s="49"/>
      <c r="DS95" s="49"/>
      <c r="DT95" s="49"/>
      <c r="DU95" s="49"/>
      <c r="DV95" s="49"/>
      <c r="DW95" s="49"/>
      <c r="DX95" s="49"/>
    </row>
    <row r="96" spans="1:128" ht="18" customHeight="1">
      <c r="A96" s="49"/>
      <c r="B96" s="49"/>
      <c r="C96" s="49"/>
      <c r="D96" s="49"/>
      <c r="E96" s="49"/>
      <c r="F96" s="49"/>
      <c r="G96" s="49"/>
      <c r="H96" s="49"/>
      <c r="I96" s="49"/>
      <c r="J96" s="49"/>
      <c r="K96" s="49"/>
      <c r="L96" s="49"/>
      <c r="M96" s="49"/>
      <c r="N96" s="49"/>
      <c r="O96" s="49"/>
      <c r="P96" s="49"/>
      <c r="Q96" s="49"/>
      <c r="R96" s="49"/>
      <c r="S96" s="49"/>
      <c r="T96" s="49"/>
      <c r="U96" s="52"/>
      <c r="V96" s="49"/>
      <c r="W96" s="49"/>
      <c r="X96" s="53"/>
      <c r="Y96" s="49"/>
      <c r="Z96" s="49"/>
      <c r="AA96" s="53"/>
      <c r="AB96" s="53"/>
      <c r="AC96" s="49"/>
      <c r="AD96" s="49"/>
      <c r="AE96" s="166" t="str">
        <f t="shared" si="34"/>
        <v>巳</v>
      </c>
      <c r="AF96" s="167">
        <f t="shared" si="5"/>
        <v>80</v>
      </c>
      <c r="AG96" s="168">
        <f t="shared" si="35"/>
        <v>2061</v>
      </c>
      <c r="AH96" s="100" t="str">
        <f>VLOOKUP(AM96,[1]大運!$B$31:$C$90,2,FALSE)</f>
        <v>辛巳</v>
      </c>
      <c r="AI96" s="99" t="str">
        <f>VLOOKUP($F$5&amp;"+"&amp;AM96,[1]大運!$H$45:$K$3644,3,FALSE)</f>
        <v>調舒星</v>
      </c>
      <c r="AJ96" s="73"/>
      <c r="AK96" s="99" t="str">
        <f>VLOOKUP($F$5&amp;"+"&amp;AM96,[1]大運!$H$45:$K$3644,4,FALSE)</f>
        <v>天禄星</v>
      </c>
      <c r="AL96" s="73"/>
      <c r="AM96" s="171">
        <f t="shared" si="6"/>
        <v>18</v>
      </c>
      <c r="AN96" s="164" t="str">
        <f>VLOOKUP($F$5&amp;"+"&amp;AM96,[1]大運!$H$45:$K$3644,2,FALSE)</f>
        <v>－</v>
      </c>
      <c r="AO96" s="164" t="str">
        <f>VLOOKUP($G$5&amp;"+"&amp;AM96,[1]大運!$H$45:$K$3644,2,FALSE)</f>
        <v>支合</v>
      </c>
      <c r="AP96" s="164" t="str">
        <f>VLOOKUP($H$5&amp;"+"&amp;AM96,[1]大運!$H$45:$K$3644,2,FALSE)</f>
        <v>大半会</v>
      </c>
      <c r="AQ96" s="100" t="str">
        <f t="shared" si="25"/>
        <v>月</v>
      </c>
      <c r="AR96" s="172" t="str">
        <f t="shared" si="36"/>
        <v/>
      </c>
      <c r="AS96" s="172" t="str">
        <f t="shared" si="37"/>
        <v>丙辛干合</v>
      </c>
      <c r="AT96" s="172" t="str">
        <f t="shared" si="38"/>
        <v/>
      </c>
      <c r="AU96" s="49" t="str">
        <f>INDEX('12運シート'!C:C, MATCH(1, INDEX(('12運シート'!A:A=TRIM($T$42)) * ('12運シート'!B:B=TRIM(RIGHT(AE96, 1))), 0), 0))</f>
        <v>充実</v>
      </c>
      <c r="AV96" s="49" t="str">
        <f>INDEX('12運シート'!$E:$E, MATCH(1, INDEX((TRIM('12運シート'!$A:$A)=TRIM($T$42)) * (TRIM('12運シート'!$B:$B)=TRIM(AE96)), 0), 0))</f>
        <v>静天</v>
      </c>
      <c r="AW96" s="49" t="str">
        <f t="shared" si="39"/>
        <v>成果が出揃う。精神的な安定と充実の中で平和に人生を俯瞰する時期。</v>
      </c>
      <c r="AX96" s="49"/>
      <c r="AY96" s="49"/>
      <c r="AZ96" s="166" t="str">
        <f t="shared" ca="1" si="40"/>
        <v>午</v>
      </c>
      <c r="BA96" s="173">
        <f t="shared" ca="1" si="41"/>
        <v>46222</v>
      </c>
      <c r="BB96" s="174">
        <f t="shared" ca="1" si="7"/>
        <v>31</v>
      </c>
      <c r="BC96" s="174" t="str">
        <f ca="1">VLOOKUP(BB96,[1]大運!$B$31:$C$90,2,FALSE)</f>
        <v>甲午</v>
      </c>
      <c r="BD96" s="174" t="str">
        <f ca="1">VLOOKUP($F$5 &amp; "+" &amp; (MOD(BA96 - DATE(2024, 1, 1), 60) + 1), [1]大運!$H$45:$K$3644, 3, FALSE)</f>
        <v>車騎星</v>
      </c>
      <c r="BE96" s="174" t="str">
        <f ca="1">VLOOKUP($F$5 &amp; "+" &amp; (MOD(BA96 - DATE(2024, 1, 1), 60) + 1), [1]大運!$H$45:$K$3644, 4, FALSE)</f>
        <v>天将星</v>
      </c>
      <c r="BF96" s="174" t="str">
        <f ca="1">VLOOKUP($F$5 &amp; "+" &amp; (MOD(BA96 - DATE(2024, 1, 1), 60) + 1), [1]大運!$H$45:$K$3644, 2, FALSE)</f>
        <v>天剋地冲</v>
      </c>
      <c r="BG96" s="174" t="str">
        <f ca="1">VLOOKUP($G$5 &amp; "+" &amp; (MOD(BA96 - DATE(2024, 1, 1), 60) + 1), [1]大運!$H$45:$K$3644, 2, FALSE)</f>
        <v>－</v>
      </c>
      <c r="BH96" s="174" t="str">
        <f ca="1">VLOOKUP($H$5 &amp; "+" &amp; (MOD(BA96 - DATE(2024, 1, 1), 60) + 1), [1]大運!$H$45:$K$3644, 2, FALSE)</f>
        <v>－</v>
      </c>
      <c r="BI96" s="172" t="str">
        <f t="shared" ca="1" si="42"/>
        <v/>
      </c>
      <c r="BJ96" s="172" t="str">
        <f t="shared" ca="1" si="43"/>
        <v/>
      </c>
      <c r="BK96" s="172" t="str">
        <f t="shared" ca="1" si="44"/>
        <v/>
      </c>
      <c r="BL96" s="174" t="str">
        <f ca="1">INDEX('12運シート'!C:C, MATCH(1, INDEX(('12運シート'!A:A=TRIM($T$42)) * ('12運シート'!B:B=TRIM(RIGHT(AZ96, 1))), 0), 0))</f>
        <v>陰影</v>
      </c>
      <c r="BM96" s="174" t="str">
        <f ca="1">INDEX('12運シート'!$E:$E, MATCH(1, INDEX((TRIM('12運シート'!$A:$A)=TRIM($T$42)) * (TRIM('12運シート'!$B:$B)=TRIM(AZ96)), 0), 0))</f>
        <v>暗天</v>
      </c>
      <c r="BN96" s="49" t="str">
        <f t="shared" ca="1" si="45"/>
        <v>運気下降（運の冬入り）。孤独を感じやすいが水面下の自己鍛錬が必要。</v>
      </c>
      <c r="BO96" s="49"/>
      <c r="BP96" s="49"/>
      <c r="BQ96" s="49"/>
      <c r="BR96" s="49"/>
      <c r="BS96" s="49"/>
      <c r="BT96" s="49"/>
      <c r="BU96" s="49"/>
      <c r="BV96" s="49"/>
      <c r="BW96" s="49"/>
      <c r="BX96" s="49"/>
      <c r="BY96" s="49"/>
      <c r="BZ96" s="49"/>
      <c r="CA96" s="49"/>
      <c r="CB96" s="49"/>
      <c r="CC96" s="49"/>
      <c r="CD96" s="49"/>
      <c r="CE96" s="49"/>
      <c r="CF96" s="49"/>
      <c r="CG96" s="49"/>
      <c r="CH96" s="49"/>
      <c r="CI96" s="49"/>
      <c r="CJ96" s="49"/>
      <c r="CK96" s="49"/>
      <c r="CL96" s="49"/>
      <c r="CM96" s="49"/>
      <c r="CN96" s="49"/>
      <c r="CO96" s="49"/>
      <c r="CP96" s="49"/>
      <c r="CQ96" s="49"/>
      <c r="CR96" s="49"/>
      <c r="CS96" s="49"/>
      <c r="CT96" s="49"/>
      <c r="CU96" s="49"/>
      <c r="CV96" s="49"/>
      <c r="CW96" s="49"/>
      <c r="CX96" s="49"/>
      <c r="CY96" s="49"/>
      <c r="CZ96" s="49"/>
      <c r="DA96" s="49"/>
      <c r="DB96" s="49"/>
      <c r="DC96" s="49"/>
      <c r="DD96" s="49"/>
      <c r="DE96" s="49"/>
      <c r="DF96" s="49"/>
      <c r="DG96" s="49"/>
      <c r="DH96" s="49"/>
      <c r="DI96" s="49"/>
      <c r="DJ96" s="49"/>
      <c r="DK96" s="49"/>
      <c r="DL96" s="49"/>
      <c r="DM96" s="49"/>
      <c r="DN96" s="49"/>
      <c r="DO96" s="49"/>
      <c r="DP96" s="49"/>
      <c r="DQ96" s="49"/>
      <c r="DR96" s="49"/>
      <c r="DS96" s="49"/>
      <c r="DT96" s="49"/>
      <c r="DU96" s="49"/>
      <c r="DV96" s="49"/>
      <c r="DW96" s="49"/>
      <c r="DX96" s="49"/>
    </row>
    <row r="97" spans="1:128" ht="18" customHeight="1">
      <c r="A97" s="49"/>
      <c r="B97" s="49"/>
      <c r="C97" s="49"/>
      <c r="D97" s="49"/>
      <c r="E97" s="49"/>
      <c r="F97" s="49"/>
      <c r="G97" s="49"/>
      <c r="H97" s="49"/>
      <c r="I97" s="49"/>
      <c r="J97" s="49"/>
      <c r="K97" s="49"/>
      <c r="L97" s="49"/>
      <c r="M97" s="49"/>
      <c r="N97" s="49"/>
      <c r="O97" s="49"/>
      <c r="P97" s="49"/>
      <c r="Q97" s="49"/>
      <c r="R97" s="49"/>
      <c r="S97" s="49"/>
      <c r="T97" s="49"/>
      <c r="U97" s="52"/>
      <c r="V97" s="49"/>
      <c r="W97" s="49"/>
      <c r="X97" s="53"/>
      <c r="Y97" s="49"/>
      <c r="Z97" s="49"/>
      <c r="AA97" s="53"/>
      <c r="AB97" s="53"/>
      <c r="AC97" s="49"/>
      <c r="AD97" s="49"/>
      <c r="AE97" s="166" t="str">
        <f t="shared" si="34"/>
        <v>午</v>
      </c>
      <c r="AF97" s="167">
        <f t="shared" si="5"/>
        <v>81</v>
      </c>
      <c r="AG97" s="168">
        <f t="shared" si="35"/>
        <v>2062</v>
      </c>
      <c r="AH97" s="100" t="str">
        <f>VLOOKUP(AM97,[1]大運!$B$31:$C$90,2,FALSE)</f>
        <v>壬午</v>
      </c>
      <c r="AI97" s="99" t="str">
        <f>VLOOKUP($F$5&amp;"+"&amp;AM97,[1]大運!$H$45:$K$3644,3,FALSE)</f>
        <v>禄存星</v>
      </c>
      <c r="AJ97" s="73"/>
      <c r="AK97" s="99" t="str">
        <f>VLOOKUP($F$5&amp;"+"&amp;AM97,[1]大運!$H$45:$K$3644,4,FALSE)</f>
        <v>天将星</v>
      </c>
      <c r="AL97" s="73"/>
      <c r="AM97" s="171">
        <f t="shared" si="6"/>
        <v>19</v>
      </c>
      <c r="AN97" s="164" t="str">
        <f>VLOOKUP($F$5&amp;"+"&amp;AM97,[1]大運!$H$45:$K$3644,2,FALSE)</f>
        <v>天剋地冲</v>
      </c>
      <c r="AO97" s="164" t="str">
        <f>VLOOKUP($G$5&amp;"+"&amp;AM97,[1]大運!$H$45:$K$3644,2,FALSE)</f>
        <v>－</v>
      </c>
      <c r="AP97" s="164" t="str">
        <f>VLOOKUP($H$5&amp;"+"&amp;AM97,[1]大運!$H$45:$K$3644,2,FALSE)</f>
        <v>－</v>
      </c>
      <c r="AQ97" s="100" t="str">
        <f t="shared" si="25"/>
        <v>殺</v>
      </c>
      <c r="AR97" s="172" t="str">
        <f t="shared" si="36"/>
        <v/>
      </c>
      <c r="AS97" s="172" t="str">
        <f t="shared" si="37"/>
        <v/>
      </c>
      <c r="AT97" s="172" t="str">
        <f t="shared" si="38"/>
        <v/>
      </c>
      <c r="AU97" s="49" t="str">
        <f>INDEX('12運シート'!C:C, MATCH(1, INDEX(('12運シート'!A:A=TRIM($T$42)) * ('12運シート'!B:B=TRIM(RIGHT(AE97, 1))), 0), 0))</f>
        <v>陰影</v>
      </c>
      <c r="AV97" s="49" t="str">
        <f>INDEX('12運シート'!$E:$E, MATCH(1, INDEX((TRIM('12運シート'!$A:$A)=TRIM($T$42)) * (TRIM('12運シート'!$B:$B)=TRIM(AE97)), 0), 0))</f>
        <v>暗天</v>
      </c>
      <c r="AW97" s="49" t="str">
        <f t="shared" si="39"/>
        <v>運気下降（運の冬入り）。孤独を感じやすいが水面下の自己鍛錬が必要。</v>
      </c>
      <c r="AX97" s="49"/>
      <c r="AY97" s="49"/>
      <c r="AZ97" s="166" t="str">
        <f t="shared" ca="1" si="40"/>
        <v>未</v>
      </c>
      <c r="BA97" s="173">
        <f t="shared" ca="1" si="41"/>
        <v>46223</v>
      </c>
      <c r="BB97" s="174">
        <f t="shared" ca="1" si="7"/>
        <v>32</v>
      </c>
      <c r="BC97" s="174" t="str">
        <f ca="1">VLOOKUP(BB97,[1]大運!$B$31:$C$90,2,FALSE)</f>
        <v>乙未</v>
      </c>
      <c r="BD97" s="174" t="str">
        <f ca="1">VLOOKUP($F$5 &amp; "+" &amp; (MOD(BA97 - DATE(2024, 1, 1), 60) + 1), [1]大運!$H$45:$K$3644, 3, FALSE)</f>
        <v>牽牛星</v>
      </c>
      <c r="BE97" s="174" t="str">
        <f ca="1">VLOOKUP($F$5 &amp; "+" &amp; (MOD(BA97 - DATE(2024, 1, 1), 60) + 1), [1]大運!$H$45:$K$3644, 4, FALSE)</f>
        <v>天堂星</v>
      </c>
      <c r="BF97" s="174" t="str">
        <f ca="1">VLOOKUP($F$5 &amp; "+" &amp; (MOD(BA97 - DATE(2024, 1, 1), 60) + 1), [1]大運!$H$45:$K$3644, 2, FALSE)</f>
        <v>害</v>
      </c>
      <c r="BG97" s="174" t="str">
        <f ca="1">VLOOKUP($G$5 &amp; "+" &amp; (MOD(BA97 - DATE(2024, 1, 1), 60) + 1), [1]大運!$H$45:$K$3644, 2, FALSE)</f>
        <v>－</v>
      </c>
      <c r="BH97" s="174" t="str">
        <f ca="1">VLOOKUP($H$5 &amp; "+" &amp; (MOD(BA97 - DATE(2024, 1, 1), 60) + 1), [1]大運!$H$45:$K$3644, 2, FALSE)</f>
        <v>－</v>
      </c>
      <c r="BI97" s="172" t="str">
        <f t="shared" ca="1" si="42"/>
        <v/>
      </c>
      <c r="BJ97" s="172" t="str">
        <f t="shared" ca="1" si="43"/>
        <v/>
      </c>
      <c r="BK97" s="172" t="str">
        <f t="shared" ca="1" si="44"/>
        <v/>
      </c>
      <c r="BL97" s="174" t="str">
        <f ca="1">INDEX('12運シート'!C:C, MATCH(1, INDEX(('12運シート'!A:A=TRIM($T$42)) * ('12運シート'!B:B=TRIM(RIGHT(AZ97, 1))), 0), 0))</f>
        <v>停止</v>
      </c>
      <c r="BM97" s="174" t="str">
        <f ca="1">INDEX('12運シート'!$E:$E, MATCH(1, INDEX((TRIM('12運シート'!$A:$A)=TRIM($T$42)) * (TRIM('12運シート'!$B:$B)=TRIM(AZ97)), 0), 0))</f>
        <v>大曇天</v>
      </c>
      <c r="BN97" s="49" t="str">
        <f t="shared" ca="1" si="45"/>
        <v>運命の停止（運の真冬時期）。古い価値観を手放す究極の浄化期間。</v>
      </c>
      <c r="BO97" s="49"/>
      <c r="BP97" s="49"/>
      <c r="BQ97" s="49"/>
      <c r="BR97" s="49"/>
      <c r="BS97" s="49"/>
      <c r="BT97" s="49"/>
      <c r="BU97" s="49"/>
      <c r="BV97" s="49"/>
      <c r="BW97" s="49"/>
      <c r="BX97" s="49"/>
      <c r="BY97" s="49"/>
      <c r="BZ97" s="49"/>
      <c r="CA97" s="49"/>
      <c r="CB97" s="49"/>
      <c r="CC97" s="49"/>
      <c r="CD97" s="49"/>
      <c r="CE97" s="49"/>
      <c r="CF97" s="49"/>
      <c r="CG97" s="49"/>
      <c r="CH97" s="49"/>
      <c r="CI97" s="49"/>
      <c r="CJ97" s="49"/>
      <c r="CK97" s="49"/>
      <c r="CL97" s="49"/>
      <c r="CM97" s="49"/>
      <c r="CN97" s="49"/>
      <c r="CO97" s="49"/>
      <c r="CP97" s="49"/>
      <c r="CQ97" s="49"/>
      <c r="CR97" s="49"/>
      <c r="CS97" s="49"/>
      <c r="CT97" s="49"/>
      <c r="CU97" s="49"/>
      <c r="CV97" s="49"/>
      <c r="CW97" s="49"/>
      <c r="CX97" s="49"/>
      <c r="CY97" s="49"/>
      <c r="CZ97" s="49"/>
      <c r="DA97" s="49"/>
      <c r="DB97" s="49"/>
      <c r="DC97" s="49"/>
      <c r="DD97" s="49"/>
      <c r="DE97" s="49"/>
      <c r="DF97" s="49"/>
      <c r="DG97" s="49"/>
      <c r="DH97" s="49"/>
      <c r="DI97" s="49"/>
      <c r="DJ97" s="49"/>
      <c r="DK97" s="49"/>
      <c r="DL97" s="49"/>
      <c r="DM97" s="49"/>
      <c r="DN97" s="49"/>
      <c r="DO97" s="49"/>
      <c r="DP97" s="49"/>
      <c r="DQ97" s="49"/>
      <c r="DR97" s="49"/>
      <c r="DS97" s="49"/>
      <c r="DT97" s="49"/>
      <c r="DU97" s="49"/>
      <c r="DV97" s="49"/>
      <c r="DW97" s="49"/>
      <c r="DX97" s="49"/>
    </row>
    <row r="98" spans="1:128" ht="18" customHeight="1">
      <c r="A98" s="49"/>
      <c r="B98" s="49"/>
      <c r="C98" s="49"/>
      <c r="D98" s="49"/>
      <c r="E98" s="49"/>
      <c r="F98" s="49"/>
      <c r="G98" s="49"/>
      <c r="H98" s="49"/>
      <c r="I98" s="49"/>
      <c r="J98" s="49"/>
      <c r="K98" s="49"/>
      <c r="L98" s="49"/>
      <c r="M98" s="49"/>
      <c r="N98" s="49"/>
      <c r="O98" s="49"/>
      <c r="P98" s="49"/>
      <c r="Q98" s="49"/>
      <c r="R98" s="49"/>
      <c r="S98" s="49"/>
      <c r="T98" s="49"/>
      <c r="U98" s="52"/>
      <c r="V98" s="49"/>
      <c r="W98" s="49"/>
      <c r="X98" s="53"/>
      <c r="Y98" s="49"/>
      <c r="Z98" s="49"/>
      <c r="AA98" s="53"/>
      <c r="AB98" s="53"/>
      <c r="AC98" s="49"/>
      <c r="AD98" s="49"/>
      <c r="AE98" s="166" t="str">
        <f t="shared" si="34"/>
        <v>未</v>
      </c>
      <c r="AF98" s="167">
        <f t="shared" si="5"/>
        <v>82</v>
      </c>
      <c r="AG98" s="168">
        <f t="shared" si="35"/>
        <v>2063</v>
      </c>
      <c r="AH98" s="100" t="str">
        <f>VLOOKUP(AM98,[1]大運!$B$31:$C$90,2,FALSE)</f>
        <v>癸未</v>
      </c>
      <c r="AI98" s="99" t="str">
        <f>VLOOKUP($F$5&amp;"+"&amp;AM98,[1]大運!$H$45:$K$3644,3,FALSE)</f>
        <v>司禄星</v>
      </c>
      <c r="AJ98" s="73"/>
      <c r="AK98" s="99" t="str">
        <f>VLOOKUP($F$5&amp;"+"&amp;AM98,[1]大運!$H$45:$K$3644,4,FALSE)</f>
        <v>天堂星</v>
      </c>
      <c r="AL98" s="73"/>
      <c r="AM98" s="171">
        <f t="shared" si="6"/>
        <v>20</v>
      </c>
      <c r="AN98" s="164" t="str">
        <f>VLOOKUP($F$5&amp;"+"&amp;AM98,[1]大運!$H$45:$K$3644,2,FALSE)</f>
        <v>害</v>
      </c>
      <c r="AO98" s="164" t="str">
        <f>VLOOKUP($G$5&amp;"+"&amp;AM98,[1]大運!$H$45:$K$3644,2,FALSE)</f>
        <v>－</v>
      </c>
      <c r="AP98" s="164" t="str">
        <f>VLOOKUP($H$5&amp;"+"&amp;AM98,[1]大運!$H$45:$K$3644,2,FALSE)</f>
        <v>－</v>
      </c>
      <c r="AQ98" s="100" t="str">
        <f t="shared" si="25"/>
        <v>殺日</v>
      </c>
      <c r="AR98" s="172" t="str">
        <f t="shared" si="36"/>
        <v>戊癸干合</v>
      </c>
      <c r="AS98" s="172" t="str">
        <f t="shared" si="37"/>
        <v/>
      </c>
      <c r="AT98" s="172" t="str">
        <f t="shared" si="38"/>
        <v/>
      </c>
      <c r="AU98" s="49" t="str">
        <f>INDEX('12運シート'!C:C, MATCH(1, INDEX(('12運シート'!A:A=TRIM($T$42)) * ('12運シート'!B:B=TRIM(RIGHT(AE98, 1))), 0), 0))</f>
        <v>停止</v>
      </c>
      <c r="AV98" s="49" t="str">
        <f>INDEX('12運シート'!$E:$E, MATCH(1, INDEX((TRIM('12運シート'!$A:$A)=TRIM($T$42)) * (TRIM('12運シート'!$B:$B)=TRIM(AE98)), 0), 0))</f>
        <v>大曇天</v>
      </c>
      <c r="AW98" s="49" t="str">
        <f t="shared" si="39"/>
        <v>運命の停止（運の真冬時期）。古い価値観を手放す究極の浄化期間。</v>
      </c>
      <c r="AX98" s="49"/>
      <c r="AY98" s="49"/>
      <c r="AZ98" s="166" t="str">
        <f t="shared" ca="1" si="40"/>
        <v>申</v>
      </c>
      <c r="BA98" s="173">
        <f t="shared" ca="1" si="41"/>
        <v>46224</v>
      </c>
      <c r="BB98" s="174">
        <f t="shared" ca="1" si="7"/>
        <v>33</v>
      </c>
      <c r="BC98" s="174" t="str">
        <f ca="1">VLOOKUP(BB98,[1]大運!$B$31:$C$90,2,FALSE)</f>
        <v>丙申</v>
      </c>
      <c r="BD98" s="174" t="str">
        <f ca="1">VLOOKUP($F$5 &amp; "+" &amp; (MOD(BA98 - DATE(2024, 1, 1), 60) + 1), [1]大運!$H$45:$K$3644, 3, FALSE)</f>
        <v>龍高星</v>
      </c>
      <c r="BE98" s="174" t="str">
        <f ca="1">VLOOKUP($F$5 &amp; "+" &amp; (MOD(BA98 - DATE(2024, 1, 1), 60) + 1), [1]大運!$H$45:$K$3644, 4, FALSE)</f>
        <v>天胡星</v>
      </c>
      <c r="BF98" s="174" t="str">
        <f ca="1">VLOOKUP($F$5 &amp; "+" &amp; (MOD(BA98 - DATE(2024, 1, 1), 60) + 1), [1]大運!$H$45:$K$3644, 2, FALSE)</f>
        <v>半会</v>
      </c>
      <c r="BG98" s="174" t="str">
        <f ca="1">VLOOKUP($G$5 &amp; "+" &amp; (MOD(BA98 - DATE(2024, 1, 1), 60) + 1), [1]大運!$H$45:$K$3644, 2, FALSE)</f>
        <v>律音</v>
      </c>
      <c r="BH98" s="174" t="str">
        <f ca="1">VLOOKUP($H$5 &amp; "+" &amp; (MOD(BA98 - DATE(2024, 1, 1), 60) + 1), [1]大運!$H$45:$K$3644, 2, FALSE)</f>
        <v>準方位</v>
      </c>
      <c r="BI98" s="172" t="str">
        <f t="shared" ca="1" si="42"/>
        <v/>
      </c>
      <c r="BJ98" s="172" t="str">
        <f t="shared" ca="1" si="43"/>
        <v/>
      </c>
      <c r="BK98" s="172" t="str">
        <f t="shared" ca="1" si="44"/>
        <v>丙辛干合</v>
      </c>
      <c r="BL98" s="174" t="str">
        <f ca="1">INDEX('12運シート'!C:C, MATCH(1, INDEX(('12運シート'!A:A=TRIM($T$42)) * ('12運シート'!B:B=TRIM(RIGHT(AZ98, 1))), 0), 0))</f>
        <v>減退</v>
      </c>
      <c r="BM98" s="174" t="str">
        <f ca="1">INDEX('12運シート'!$E:$E, MATCH(1, INDEX((TRIM('12運シート'!$A:$A)=TRIM($T$42)) * (TRIM('12運シート'!$B:$B)=TRIM(AZ98)), 0), 0))</f>
        <v>雨天</v>
      </c>
      <c r="BN98" s="49" t="str">
        <f t="shared" ca="1" si="45"/>
        <v>カルマの精算。過去の執着をすべて洗い流し、次の春への準備を整える。</v>
      </c>
      <c r="BO98" s="49"/>
      <c r="BP98" s="49"/>
      <c r="BQ98" s="49"/>
      <c r="BR98" s="49"/>
      <c r="BS98" s="49"/>
      <c r="BT98" s="49"/>
      <c r="BU98" s="49"/>
      <c r="BV98" s="49"/>
      <c r="BW98" s="49"/>
      <c r="BX98" s="49"/>
      <c r="BY98" s="49"/>
      <c r="BZ98" s="49"/>
      <c r="CA98" s="49"/>
      <c r="CB98" s="49"/>
      <c r="CC98" s="49"/>
      <c r="CD98" s="49"/>
      <c r="CE98" s="49"/>
      <c r="CF98" s="49"/>
      <c r="CG98" s="49"/>
      <c r="CH98" s="49"/>
      <c r="CI98" s="49"/>
      <c r="CJ98" s="49"/>
      <c r="CK98" s="49"/>
      <c r="CL98" s="49"/>
      <c r="CM98" s="49"/>
      <c r="CN98" s="49"/>
      <c r="CO98" s="49"/>
      <c r="CP98" s="49"/>
      <c r="CQ98" s="49"/>
      <c r="CR98" s="49"/>
      <c r="CS98" s="49"/>
      <c r="CT98" s="49"/>
      <c r="CU98" s="49"/>
      <c r="CV98" s="49"/>
      <c r="CW98" s="49"/>
      <c r="CX98" s="49"/>
      <c r="CY98" s="49"/>
      <c r="CZ98" s="49"/>
      <c r="DA98" s="49"/>
      <c r="DB98" s="49"/>
      <c r="DC98" s="49"/>
      <c r="DD98" s="49"/>
      <c r="DE98" s="49"/>
      <c r="DF98" s="49"/>
      <c r="DG98" s="49"/>
      <c r="DH98" s="49"/>
      <c r="DI98" s="49"/>
      <c r="DJ98" s="49"/>
      <c r="DK98" s="49"/>
      <c r="DL98" s="49"/>
      <c r="DM98" s="49"/>
      <c r="DN98" s="49"/>
      <c r="DO98" s="49"/>
      <c r="DP98" s="49"/>
      <c r="DQ98" s="49"/>
      <c r="DR98" s="49"/>
      <c r="DS98" s="49"/>
      <c r="DT98" s="49"/>
      <c r="DU98" s="49"/>
      <c r="DV98" s="49"/>
      <c r="DW98" s="49"/>
      <c r="DX98" s="49"/>
    </row>
    <row r="99" spans="1:128" ht="18" customHeight="1">
      <c r="A99" s="49"/>
      <c r="B99" s="49"/>
      <c r="C99" s="49"/>
      <c r="D99" s="49"/>
      <c r="E99" s="49"/>
      <c r="F99" s="49"/>
      <c r="G99" s="49"/>
      <c r="H99" s="49"/>
      <c r="I99" s="49"/>
      <c r="J99" s="49"/>
      <c r="K99" s="49"/>
      <c r="L99" s="49"/>
      <c r="M99" s="49"/>
      <c r="N99" s="49"/>
      <c r="O99" s="49"/>
      <c r="P99" s="49"/>
      <c r="Q99" s="49"/>
      <c r="R99" s="49"/>
      <c r="S99" s="49"/>
      <c r="T99" s="49"/>
      <c r="U99" s="52"/>
      <c r="V99" s="49"/>
      <c r="W99" s="49"/>
      <c r="X99" s="53"/>
      <c r="Y99" s="49"/>
      <c r="Z99" s="49"/>
      <c r="AA99" s="53"/>
      <c r="AB99" s="53"/>
      <c r="AC99" s="49"/>
      <c r="AD99" s="49"/>
      <c r="AE99" s="166" t="str">
        <f t="shared" si="34"/>
        <v>申</v>
      </c>
      <c r="AF99" s="167">
        <f t="shared" si="5"/>
        <v>83</v>
      </c>
      <c r="AG99" s="168">
        <f t="shared" si="35"/>
        <v>2064</v>
      </c>
      <c r="AH99" s="100" t="str">
        <f>VLOOKUP(AM99,[1]大運!$B$31:$C$90,2,FALSE)</f>
        <v>甲申</v>
      </c>
      <c r="AI99" s="99" t="str">
        <f>VLOOKUP($F$5&amp;"+"&amp;AM99,[1]大運!$H$45:$K$3644,3,FALSE)</f>
        <v>車騎星</v>
      </c>
      <c r="AJ99" s="73"/>
      <c r="AK99" s="99" t="str">
        <f>VLOOKUP($F$5&amp;"+"&amp;AM99,[1]大運!$H$45:$K$3644,4,FALSE)</f>
        <v>天胡星</v>
      </c>
      <c r="AL99" s="73"/>
      <c r="AM99" s="171">
        <f t="shared" si="6"/>
        <v>21</v>
      </c>
      <c r="AN99" s="164" t="str">
        <f>VLOOKUP($F$5&amp;"+"&amp;AM99,[1]大運!$H$45:$K$3644,2,FALSE)</f>
        <v>半会</v>
      </c>
      <c r="AO99" s="164" t="str">
        <f>VLOOKUP($G$5&amp;"+"&amp;AM99,[1]大運!$H$45:$K$3644,2,FALSE)</f>
        <v>同</v>
      </c>
      <c r="AP99" s="164" t="str">
        <f>VLOOKUP($H$5&amp;"+"&amp;AM99,[1]大運!$H$45:$K$3644,2,FALSE)</f>
        <v>準方位</v>
      </c>
      <c r="AQ99" s="100" t="str">
        <f t="shared" si="25"/>
        <v/>
      </c>
      <c r="AR99" s="172" t="str">
        <f t="shared" si="36"/>
        <v/>
      </c>
      <c r="AS99" s="172" t="str">
        <f t="shared" si="37"/>
        <v/>
      </c>
      <c r="AT99" s="172" t="str">
        <f t="shared" si="38"/>
        <v/>
      </c>
      <c r="AU99" s="49" t="str">
        <f>INDEX('12運シート'!C:C, MATCH(1, INDEX(('12運シート'!A:A=TRIM($T$42)) * ('12運シート'!B:B=TRIM(RIGHT(AE99, 1))), 0), 0))</f>
        <v>減退</v>
      </c>
      <c r="AV99" s="49" t="str">
        <f>INDEX('12運シート'!$E:$E, MATCH(1, INDEX((TRIM('12運シート'!$A:$A)=TRIM($T$42)) * (TRIM('12運シート'!$B:$B)=TRIM(AE99)), 0), 0))</f>
        <v>雨天</v>
      </c>
      <c r="AW99" s="49" t="str">
        <f t="shared" si="39"/>
        <v>カルマの精算。過去の執着をすべて洗い流し、次の春への準備を整える。</v>
      </c>
      <c r="AX99" s="49"/>
      <c r="AY99" s="49"/>
      <c r="AZ99" s="166" t="str">
        <f t="shared" ca="1" si="40"/>
        <v>酉</v>
      </c>
      <c r="BA99" s="173">
        <f t="shared" ca="1" si="41"/>
        <v>46225</v>
      </c>
      <c r="BB99" s="174">
        <f t="shared" ca="1" si="7"/>
        <v>34</v>
      </c>
      <c r="BC99" s="174" t="str">
        <f ca="1">VLOOKUP(BB99,[1]大運!$B$31:$C$90,2,FALSE)</f>
        <v>丁酉</v>
      </c>
      <c r="BD99" s="174" t="str">
        <f ca="1">VLOOKUP($F$5 &amp; "+" &amp; (MOD(BA99 - DATE(2024, 1, 1), 60) + 1), [1]大運!$H$45:$K$3644, 3, FALSE)</f>
        <v>玉堂星</v>
      </c>
      <c r="BE99" s="174" t="str">
        <f ca="1">VLOOKUP($F$5 &amp; "+" &amp; (MOD(BA99 - DATE(2024, 1, 1), 60) + 1), [1]大運!$H$45:$K$3644, 4, FALSE)</f>
        <v>天極星</v>
      </c>
      <c r="BF99" s="174" t="str">
        <f ca="1">VLOOKUP($F$5 &amp; "+" &amp; (MOD(BA99 - DATE(2024, 1, 1), 60) + 1), [1]大運!$H$45:$K$3644, 2, FALSE)</f>
        <v>破</v>
      </c>
      <c r="BG99" s="174" t="str">
        <f ca="1">VLOOKUP($G$5 &amp; "+" &amp; (MOD(BA99 - DATE(2024, 1, 1), 60) + 1), [1]大運!$H$45:$K$3644, 2, FALSE)</f>
        <v>準方位</v>
      </c>
      <c r="BH99" s="174" t="str">
        <f ca="1">VLOOKUP($H$5 &amp; "+" &amp; (MOD(BA99 - DATE(2024, 1, 1), 60) + 1), [1]大運!$H$45:$K$3644, 2, FALSE)</f>
        <v>自刑</v>
      </c>
      <c r="BI99" s="172" t="str">
        <f t="shared" ca="1" si="42"/>
        <v/>
      </c>
      <c r="BJ99" s="172" t="str">
        <f t="shared" ca="1" si="43"/>
        <v/>
      </c>
      <c r="BK99" s="172" t="str">
        <f t="shared" ca="1" si="44"/>
        <v/>
      </c>
      <c r="BL99" s="174" t="str">
        <f ca="1">INDEX('12運シート'!C:C, MATCH(1, INDEX(('12運シート'!A:A=TRIM($T$42)) * ('12運シート'!B:B=TRIM(RIGHT(AZ99, 1))), 0), 0))</f>
        <v>種子</v>
      </c>
      <c r="BM99" s="174" t="str">
        <f ca="1">INDEX('12運シート'!$E:$E, MATCH(1, INDEX((TRIM('12運シート'!$A:$A)=TRIM($T$42)) * (TRIM('12運シート'!$B:$B)=TRIM(AZ99)), 0), 0))</f>
        <v>起天</v>
      </c>
      <c r="BN99" s="49" t="str">
        <f t="shared" ca="1" si="45"/>
        <v>運命の幕開け。過去を断ち切り新しい種をまく開拓期。</v>
      </c>
      <c r="BO99" s="49"/>
      <c r="BP99" s="49"/>
      <c r="BQ99" s="49"/>
      <c r="BR99" s="49"/>
      <c r="BS99" s="49"/>
      <c r="BT99" s="49"/>
      <c r="BU99" s="49"/>
      <c r="BV99" s="49"/>
      <c r="BW99" s="49"/>
      <c r="BX99" s="49"/>
      <c r="BY99" s="49"/>
      <c r="BZ99" s="49"/>
      <c r="CA99" s="49"/>
      <c r="CB99" s="49"/>
      <c r="CC99" s="49"/>
      <c r="CD99" s="49"/>
      <c r="CE99" s="49"/>
      <c r="CF99" s="49"/>
      <c r="CG99" s="49"/>
      <c r="CH99" s="49"/>
      <c r="CI99" s="49"/>
      <c r="CJ99" s="49"/>
      <c r="CK99" s="49"/>
      <c r="CL99" s="49"/>
      <c r="CM99" s="49"/>
      <c r="CN99" s="49"/>
      <c r="CO99" s="49"/>
      <c r="CP99" s="49"/>
      <c r="CQ99" s="49"/>
      <c r="CR99" s="49"/>
      <c r="CS99" s="49"/>
      <c r="CT99" s="49"/>
      <c r="CU99" s="49"/>
      <c r="CV99" s="49"/>
      <c r="CW99" s="49"/>
      <c r="CX99" s="49"/>
      <c r="CY99" s="49"/>
      <c r="CZ99" s="49"/>
      <c r="DA99" s="49"/>
      <c r="DB99" s="49"/>
      <c r="DC99" s="49"/>
      <c r="DD99" s="49"/>
      <c r="DE99" s="49"/>
      <c r="DF99" s="49"/>
      <c r="DG99" s="49"/>
      <c r="DH99" s="49"/>
      <c r="DI99" s="49"/>
      <c r="DJ99" s="49"/>
      <c r="DK99" s="49"/>
      <c r="DL99" s="49"/>
      <c r="DM99" s="49"/>
      <c r="DN99" s="49"/>
      <c r="DO99" s="49"/>
      <c r="DP99" s="49"/>
      <c r="DQ99" s="49"/>
      <c r="DR99" s="49"/>
      <c r="DS99" s="49"/>
      <c r="DT99" s="49"/>
      <c r="DU99" s="49"/>
      <c r="DV99" s="49"/>
      <c r="DW99" s="49"/>
      <c r="DX99" s="49"/>
    </row>
    <row r="100" spans="1:128" ht="18" customHeight="1">
      <c r="A100" s="49"/>
      <c r="B100" s="49"/>
      <c r="C100" s="49"/>
      <c r="D100" s="49"/>
      <c r="E100" s="49"/>
      <c r="F100" s="49"/>
      <c r="G100" s="49"/>
      <c r="H100" s="49"/>
      <c r="I100" s="49"/>
      <c r="J100" s="49"/>
      <c r="K100" s="49"/>
      <c r="L100" s="49"/>
      <c r="M100" s="49"/>
      <c r="N100" s="49"/>
      <c r="O100" s="49"/>
      <c r="P100" s="49"/>
      <c r="Q100" s="49"/>
      <c r="R100" s="49"/>
      <c r="S100" s="49"/>
      <c r="T100" s="49"/>
      <c r="U100" s="52"/>
      <c r="V100" s="49"/>
      <c r="W100" s="49"/>
      <c r="X100" s="53"/>
      <c r="Y100" s="49"/>
      <c r="Z100" s="49"/>
      <c r="AA100" s="53"/>
      <c r="AB100" s="53"/>
      <c r="AC100" s="49"/>
      <c r="AD100" s="49"/>
      <c r="AE100" s="166" t="str">
        <f t="shared" si="34"/>
        <v>酉</v>
      </c>
      <c r="AF100" s="167">
        <f t="shared" si="5"/>
        <v>84</v>
      </c>
      <c r="AG100" s="168">
        <f t="shared" si="35"/>
        <v>2065</v>
      </c>
      <c r="AH100" s="100" t="str">
        <f>VLOOKUP(AM100,[1]大運!$B$31:$C$90,2,FALSE)</f>
        <v>乙酉</v>
      </c>
      <c r="AI100" s="99" t="str">
        <f>VLOOKUP($F$5&amp;"+"&amp;AM100,[1]大運!$H$45:$K$3644,3,FALSE)</f>
        <v>牽牛星</v>
      </c>
      <c r="AJ100" s="73"/>
      <c r="AK100" s="99" t="str">
        <f>VLOOKUP($F$5&amp;"+"&amp;AM100,[1]大運!$H$45:$K$3644,4,FALSE)</f>
        <v>天極星</v>
      </c>
      <c r="AL100" s="73"/>
      <c r="AM100" s="171">
        <f t="shared" si="6"/>
        <v>22</v>
      </c>
      <c r="AN100" s="164" t="str">
        <f>VLOOKUP($F$5&amp;"+"&amp;AM100,[1]大運!$H$45:$K$3644,2,FALSE)</f>
        <v>破</v>
      </c>
      <c r="AO100" s="164" t="str">
        <f>VLOOKUP($G$5&amp;"+"&amp;AM100,[1]大運!$H$45:$K$3644,2,FALSE)</f>
        <v>準方位</v>
      </c>
      <c r="AP100" s="164" t="str">
        <f>VLOOKUP($H$5&amp;"+"&amp;AM100,[1]大運!$H$45:$K$3644,2,FALSE)</f>
        <v>自刑</v>
      </c>
      <c r="AQ100" s="100" t="str">
        <f t="shared" si="25"/>
        <v/>
      </c>
      <c r="AR100" s="172" t="str">
        <f t="shared" si="36"/>
        <v/>
      </c>
      <c r="AS100" s="172" t="str">
        <f t="shared" si="37"/>
        <v/>
      </c>
      <c r="AT100" s="172" t="str">
        <f t="shared" si="38"/>
        <v/>
      </c>
      <c r="AU100" s="49" t="str">
        <f>INDEX('12運シート'!C:C, MATCH(1, INDEX(('12運シート'!A:A=TRIM($T$42)) * ('12運シート'!B:B=TRIM(RIGHT(AE100, 1))), 0), 0))</f>
        <v>種子</v>
      </c>
      <c r="AV100" s="49" t="str">
        <f>INDEX('12運シート'!$E:$E, MATCH(1, INDEX((TRIM('12運シート'!$A:$A)=TRIM($T$42)) * (TRIM('12運シート'!$B:$B)=TRIM(AE100)), 0), 0))</f>
        <v>起天</v>
      </c>
      <c r="AW100" s="49" t="str">
        <f t="shared" si="39"/>
        <v>運命の幕開け。過去を断ち切り新しい種をまく開拓期。</v>
      </c>
      <c r="AX100" s="49"/>
      <c r="AY100" s="49"/>
      <c r="AZ100" s="166" t="str">
        <f t="shared" ca="1" si="40"/>
        <v>戌</v>
      </c>
      <c r="BA100" s="173">
        <f t="shared" ca="1" si="41"/>
        <v>46226</v>
      </c>
      <c r="BB100" s="174">
        <f t="shared" ca="1" si="7"/>
        <v>35</v>
      </c>
      <c r="BC100" s="174" t="str">
        <f ca="1">VLOOKUP(BB100,[1]大運!$B$31:$C$90,2,FALSE)</f>
        <v>戊戌</v>
      </c>
      <c r="BD100" s="174" t="str">
        <f ca="1">VLOOKUP($F$5 &amp; "+" &amp; (MOD(BA100 - DATE(2024, 1, 1), 60) + 1), [1]大運!$H$45:$K$3644, 3, FALSE)</f>
        <v>貫索星</v>
      </c>
      <c r="BE100" s="174" t="str">
        <f ca="1">VLOOKUP($F$5 &amp; "+" &amp; (MOD(BA100 - DATE(2024, 1, 1), 60) + 1), [1]大運!$H$45:$K$3644, 4, FALSE)</f>
        <v>天庫星</v>
      </c>
      <c r="BF100" s="174" t="str">
        <f ca="1">VLOOKUP($F$5 &amp; "+" &amp; (MOD(BA100 - DATE(2024, 1, 1), 60) + 1), [1]大運!$H$45:$K$3644, 2, FALSE)</f>
        <v>－</v>
      </c>
      <c r="BG100" s="174" t="str">
        <f ca="1">VLOOKUP($G$5 &amp; "+" &amp; (MOD(BA100 - DATE(2024, 1, 1), 60) + 1), [1]大運!$H$45:$K$3644, 2, FALSE)</f>
        <v>準方位</v>
      </c>
      <c r="BH100" s="174" t="str">
        <f ca="1">VLOOKUP($H$5 &amp; "+" &amp; (MOD(BA100 - DATE(2024, 1, 1), 60) + 1), [1]大運!$H$45:$K$3644, 2, FALSE)</f>
        <v>害</v>
      </c>
      <c r="BI100" s="172" t="str">
        <f t="shared" ca="1" si="42"/>
        <v/>
      </c>
      <c r="BJ100" s="172" t="str">
        <f t="shared" ca="1" si="43"/>
        <v/>
      </c>
      <c r="BK100" s="172" t="str">
        <f t="shared" ca="1" si="44"/>
        <v/>
      </c>
      <c r="BL100" s="174" t="str">
        <f ca="1">INDEX('12運シート'!C:C, MATCH(1, INDEX(('12運シート'!A:A=TRIM($T$42)) * ('12運シート'!B:B=TRIM(RIGHT(AZ100, 1))), 0), 0))</f>
        <v>緑生</v>
      </c>
      <c r="BM100" s="174" t="str">
        <f ca="1">INDEX('12運シート'!$E:$E, MATCH(1, INDEX((TRIM('12運シート'!$A:$A)=TRIM($T$42)) * (TRIM('12運シート'!$B:$B)=TRIM(AZ100)), 0), 0))</f>
        <v>吉祥天</v>
      </c>
      <c r="BN100" s="49" t="str">
        <f t="shared" ca="1" si="45"/>
        <v>まいた種が芽吹き、周囲の支援を受けて着実に育つ時期。</v>
      </c>
      <c r="BO100" s="49"/>
      <c r="BP100" s="49"/>
      <c r="BQ100" s="49"/>
      <c r="BR100" s="49"/>
      <c r="BS100" s="49"/>
      <c r="BT100" s="49"/>
      <c r="BU100" s="49"/>
      <c r="BV100" s="49"/>
      <c r="BW100" s="49"/>
      <c r="BX100" s="49"/>
      <c r="BY100" s="49"/>
      <c r="BZ100" s="49"/>
      <c r="CA100" s="49"/>
      <c r="CB100" s="49"/>
      <c r="CC100" s="49"/>
      <c r="CD100" s="49"/>
      <c r="CE100" s="49"/>
      <c r="CF100" s="49"/>
      <c r="CG100" s="49"/>
      <c r="CH100" s="49"/>
      <c r="CI100" s="49"/>
      <c r="CJ100" s="49"/>
      <c r="CK100" s="49"/>
      <c r="CL100" s="49"/>
      <c r="CM100" s="49"/>
      <c r="CN100" s="49"/>
      <c r="CO100" s="49"/>
      <c r="CP100" s="49"/>
      <c r="CQ100" s="49"/>
      <c r="CR100" s="49"/>
      <c r="CS100" s="49"/>
      <c r="CT100" s="49"/>
      <c r="CU100" s="49"/>
      <c r="CV100" s="49"/>
      <c r="CW100" s="49"/>
      <c r="CX100" s="49"/>
      <c r="CY100" s="49"/>
      <c r="CZ100" s="49"/>
      <c r="DA100" s="49"/>
      <c r="DB100" s="49"/>
      <c r="DC100" s="49"/>
      <c r="DD100" s="49"/>
      <c r="DE100" s="49"/>
      <c r="DF100" s="49"/>
      <c r="DG100" s="49"/>
      <c r="DH100" s="49"/>
      <c r="DI100" s="49"/>
      <c r="DJ100" s="49"/>
      <c r="DK100" s="49"/>
      <c r="DL100" s="49"/>
      <c r="DM100" s="49"/>
      <c r="DN100" s="49"/>
      <c r="DO100" s="49"/>
      <c r="DP100" s="49"/>
      <c r="DQ100" s="49"/>
      <c r="DR100" s="49"/>
      <c r="DS100" s="49"/>
      <c r="DT100" s="49"/>
      <c r="DU100" s="49"/>
      <c r="DV100" s="49"/>
      <c r="DW100" s="49"/>
      <c r="DX100" s="49"/>
    </row>
    <row r="101" spans="1:128" ht="18" customHeight="1">
      <c r="A101" s="49"/>
      <c r="B101" s="49"/>
      <c r="C101" s="49"/>
      <c r="D101" s="49"/>
      <c r="E101" s="49"/>
      <c r="F101" s="49"/>
      <c r="G101" s="49"/>
      <c r="H101" s="49"/>
      <c r="I101" s="49"/>
      <c r="J101" s="49"/>
      <c r="K101" s="49"/>
      <c r="L101" s="49"/>
      <c r="M101" s="49"/>
      <c r="N101" s="49"/>
      <c r="O101" s="49"/>
      <c r="P101" s="49"/>
      <c r="Q101" s="49"/>
      <c r="R101" s="49"/>
      <c r="S101" s="49"/>
      <c r="T101" s="49"/>
      <c r="U101" s="52"/>
      <c r="V101" s="49"/>
      <c r="W101" s="49"/>
      <c r="X101" s="53"/>
      <c r="Y101" s="49"/>
      <c r="Z101" s="49"/>
      <c r="AA101" s="53"/>
      <c r="AB101" s="53"/>
      <c r="AC101" s="49"/>
      <c r="AD101" s="49"/>
      <c r="AE101" s="166" t="str">
        <f t="shared" si="34"/>
        <v>戌</v>
      </c>
      <c r="AF101" s="167">
        <f t="shared" si="5"/>
        <v>85</v>
      </c>
      <c r="AG101" s="168">
        <f t="shared" si="35"/>
        <v>2066</v>
      </c>
      <c r="AH101" s="100" t="str">
        <f>VLOOKUP(AM101,[1]大運!$B$31:$C$90,2,FALSE)</f>
        <v>丙戌</v>
      </c>
      <c r="AI101" s="99" t="str">
        <f>VLOOKUP($F$5&amp;"+"&amp;AM101,[1]大運!$H$45:$K$3644,3,FALSE)</f>
        <v>龍高星</v>
      </c>
      <c r="AJ101" s="73"/>
      <c r="AK101" s="99" t="str">
        <f>VLOOKUP($F$5&amp;"+"&amp;AM101,[1]大運!$H$45:$K$3644,4,FALSE)</f>
        <v>天庫星</v>
      </c>
      <c r="AL101" s="73"/>
      <c r="AM101" s="171">
        <f t="shared" si="6"/>
        <v>23</v>
      </c>
      <c r="AN101" s="164" t="str">
        <f>VLOOKUP($F$5&amp;"+"&amp;AM101,[1]大運!$H$45:$K$3644,2,FALSE)</f>
        <v>－</v>
      </c>
      <c r="AO101" s="164" t="str">
        <f>VLOOKUP($G$5&amp;"+"&amp;AM101,[1]大運!$H$45:$K$3644,2,FALSE)</f>
        <v>準方位</v>
      </c>
      <c r="AP101" s="164" t="str">
        <f>VLOOKUP($H$5&amp;"+"&amp;AM101,[1]大運!$H$45:$K$3644,2,FALSE)</f>
        <v>害</v>
      </c>
      <c r="AQ101" s="100" t="str">
        <f t="shared" si="25"/>
        <v>年</v>
      </c>
      <c r="AR101" s="172" t="str">
        <f t="shared" si="36"/>
        <v/>
      </c>
      <c r="AS101" s="172" t="str">
        <f t="shared" si="37"/>
        <v/>
      </c>
      <c r="AT101" s="172" t="str">
        <f t="shared" si="38"/>
        <v>丙辛干合</v>
      </c>
      <c r="AU101" s="49" t="str">
        <f>INDEX('12運シート'!C:C, MATCH(1, INDEX(('12運シート'!A:A=TRIM($T$42)) * ('12運シート'!B:B=TRIM(RIGHT(AE101, 1))), 0), 0))</f>
        <v>緑生</v>
      </c>
      <c r="AV101" s="49" t="str">
        <f>INDEX('12運シート'!$E:$E, MATCH(1, INDEX((TRIM('12運シート'!$A:$A)=TRIM($T$42)) * (TRIM('12運シート'!$B:$B)=TRIM(AE101)), 0), 0))</f>
        <v>吉祥天</v>
      </c>
      <c r="AW101" s="49" t="str">
        <f t="shared" si="39"/>
        <v>まいた種が芽吹き、周囲の支援を受けて着実に育つ時期。</v>
      </c>
      <c r="AX101" s="49"/>
      <c r="AY101" s="49"/>
      <c r="AZ101" s="166" t="str">
        <f t="shared" ca="1" si="40"/>
        <v>亥</v>
      </c>
      <c r="BA101" s="173">
        <f t="shared" ca="1" si="41"/>
        <v>46227</v>
      </c>
      <c r="BB101" s="174">
        <f t="shared" ca="1" si="7"/>
        <v>36</v>
      </c>
      <c r="BC101" s="174" t="str">
        <f ca="1">VLOOKUP(BB101,[1]大運!$B$31:$C$90,2,FALSE)</f>
        <v>己亥</v>
      </c>
      <c r="BD101" s="174" t="str">
        <f ca="1">VLOOKUP($F$5 &amp; "+" &amp; (MOD(BA101 - DATE(2024, 1, 1), 60) + 1), [1]大運!$H$45:$K$3644, 3, FALSE)</f>
        <v>石門星</v>
      </c>
      <c r="BE101" s="174" t="str">
        <f ca="1">VLOOKUP($F$5 &amp; "+" &amp; (MOD(BA101 - DATE(2024, 1, 1), 60) + 1), [1]大運!$H$45:$K$3644, 4, FALSE)</f>
        <v>天馳星</v>
      </c>
      <c r="BF101" s="174" t="str">
        <f ca="1">VLOOKUP($F$5 &amp; "+" &amp; (MOD(BA101 - DATE(2024, 1, 1), 60) + 1), [1]大運!$H$45:$K$3644, 2, FALSE)</f>
        <v>準方位</v>
      </c>
      <c r="BG101" s="174" t="str">
        <f ca="1">VLOOKUP($G$5 &amp; "+" &amp; (MOD(BA101 - DATE(2024, 1, 1), 60) + 1), [1]大運!$H$45:$K$3644, 2, FALSE)</f>
        <v>害</v>
      </c>
      <c r="BH101" s="174" t="str">
        <f ca="1">VLOOKUP($H$5 &amp; "+" &amp; (MOD(BA101 - DATE(2024, 1, 1), 60) + 1), [1]大運!$H$45:$K$3644, 2, FALSE)</f>
        <v>－</v>
      </c>
      <c r="BI101" s="172" t="str">
        <f t="shared" ca="1" si="42"/>
        <v/>
      </c>
      <c r="BJ101" s="172" t="str">
        <f t="shared" ca="1" si="43"/>
        <v/>
      </c>
      <c r="BK101" s="172" t="str">
        <f t="shared" ca="1" si="44"/>
        <v/>
      </c>
      <c r="BL101" s="174" t="str">
        <f ca="1">INDEX('12運シート'!C:C, MATCH(1, INDEX(('12運シート'!A:A=TRIM($T$42)) * ('12運シート'!B:B=TRIM(RIGHT(AZ101, 1))), 0), 0))</f>
        <v>立花</v>
      </c>
      <c r="BM101" s="174" t="str">
        <f ca="1">INDEX('12運シート'!$E:$E, MATCH(1, INDEX((TRIM('12運シート'!$A:$A)=TRIM($T$42)) * (TRIM('12運シート'!$B:$B)=TRIM(AZ101)), 0), 0))</f>
        <v>弁財天</v>
      </c>
      <c r="BN101" s="49" t="str">
        <f t="shared" ca="1" si="45"/>
        <v>才能がパッと花開き、今後の人生を左右する重要な決定を下す発展期。</v>
      </c>
      <c r="BO101" s="49"/>
      <c r="BP101" s="49"/>
      <c r="BQ101" s="49"/>
      <c r="BR101" s="49"/>
      <c r="BS101" s="49"/>
      <c r="BT101" s="49"/>
      <c r="BU101" s="49"/>
      <c r="BV101" s="49"/>
      <c r="BW101" s="49"/>
      <c r="BX101" s="49"/>
      <c r="BY101" s="49"/>
      <c r="BZ101" s="49"/>
      <c r="CA101" s="49"/>
      <c r="CB101" s="49"/>
      <c r="CC101" s="49"/>
      <c r="CD101" s="49"/>
      <c r="CE101" s="49"/>
      <c r="CF101" s="49"/>
      <c r="CG101" s="49"/>
      <c r="CH101" s="49"/>
      <c r="CI101" s="49"/>
      <c r="CJ101" s="49"/>
      <c r="CK101" s="49"/>
      <c r="CL101" s="49"/>
      <c r="CM101" s="49"/>
      <c r="CN101" s="49"/>
      <c r="CO101" s="49"/>
      <c r="CP101" s="49"/>
      <c r="CQ101" s="49"/>
      <c r="CR101" s="49"/>
      <c r="CS101" s="49"/>
      <c r="CT101" s="49"/>
      <c r="CU101" s="49"/>
      <c r="CV101" s="49"/>
      <c r="CW101" s="49"/>
      <c r="CX101" s="49"/>
      <c r="CY101" s="49"/>
      <c r="CZ101" s="49"/>
      <c r="DA101" s="49"/>
      <c r="DB101" s="49"/>
      <c r="DC101" s="49"/>
      <c r="DD101" s="49"/>
      <c r="DE101" s="49"/>
      <c r="DF101" s="49"/>
      <c r="DG101" s="49"/>
      <c r="DH101" s="49"/>
      <c r="DI101" s="49"/>
      <c r="DJ101" s="49"/>
      <c r="DK101" s="49"/>
      <c r="DL101" s="49"/>
      <c r="DM101" s="49"/>
      <c r="DN101" s="49"/>
      <c r="DO101" s="49"/>
      <c r="DP101" s="49"/>
      <c r="DQ101" s="49"/>
      <c r="DR101" s="49"/>
      <c r="DS101" s="49"/>
      <c r="DT101" s="49"/>
      <c r="DU101" s="49"/>
      <c r="DV101" s="49"/>
      <c r="DW101" s="49"/>
      <c r="DX101" s="49"/>
    </row>
    <row r="102" spans="1:128" ht="18" customHeight="1">
      <c r="A102" s="49"/>
      <c r="B102" s="49"/>
      <c r="C102" s="49"/>
      <c r="D102" s="49"/>
      <c r="E102" s="49"/>
      <c r="F102" s="49"/>
      <c r="G102" s="49"/>
      <c r="H102" s="49"/>
      <c r="I102" s="49"/>
      <c r="J102" s="49"/>
      <c r="K102" s="49"/>
      <c r="L102" s="49"/>
      <c r="M102" s="49"/>
      <c r="N102" s="49"/>
      <c r="O102" s="49"/>
      <c r="P102" s="49"/>
      <c r="Q102" s="49"/>
      <c r="R102" s="49"/>
      <c r="S102" s="49"/>
      <c r="T102" s="49"/>
      <c r="U102" s="52"/>
      <c r="V102" s="49"/>
      <c r="W102" s="49"/>
      <c r="X102" s="53"/>
      <c r="Y102" s="49"/>
      <c r="Z102" s="49"/>
      <c r="AA102" s="53"/>
      <c r="AB102" s="53"/>
      <c r="AC102" s="49"/>
      <c r="AD102" s="49"/>
      <c r="AE102" s="166" t="str">
        <f t="shared" si="34"/>
        <v>亥</v>
      </c>
      <c r="AF102" s="167">
        <f t="shared" si="5"/>
        <v>86</v>
      </c>
      <c r="AG102" s="168">
        <f t="shared" si="35"/>
        <v>2067</v>
      </c>
      <c r="AH102" s="100" t="str">
        <f>VLOOKUP(AM102,[1]大運!$B$31:$C$90,2,FALSE)</f>
        <v>丁亥</v>
      </c>
      <c r="AI102" s="99" t="str">
        <f>VLOOKUP($F$5&amp;"+"&amp;AM102,[1]大運!$H$45:$K$3644,3,FALSE)</f>
        <v>玉堂星</v>
      </c>
      <c r="AJ102" s="73"/>
      <c r="AK102" s="99" t="str">
        <f>VLOOKUP($F$5&amp;"+"&amp;AM102,[1]大運!$H$45:$K$3644,4,FALSE)</f>
        <v>天馳星</v>
      </c>
      <c r="AL102" s="73"/>
      <c r="AM102" s="171">
        <f t="shared" si="6"/>
        <v>24</v>
      </c>
      <c r="AN102" s="164" t="str">
        <f>VLOOKUP($F$5&amp;"+"&amp;AM102,[1]大運!$H$45:$K$3644,2,FALSE)</f>
        <v>準方位</v>
      </c>
      <c r="AO102" s="164" t="str">
        <f>VLOOKUP($G$5&amp;"+"&amp;AM102,[1]大運!$H$45:$K$3644,2,FALSE)</f>
        <v>害</v>
      </c>
      <c r="AP102" s="164" t="str">
        <f>VLOOKUP($H$5&amp;"+"&amp;AM102,[1]大運!$H$45:$K$3644,2,FALSE)</f>
        <v>－</v>
      </c>
      <c r="AQ102" s="100" t="str">
        <f t="shared" si="25"/>
        <v/>
      </c>
      <c r="AR102" s="172" t="str">
        <f t="shared" si="36"/>
        <v/>
      </c>
      <c r="AS102" s="172" t="str">
        <f t="shared" si="37"/>
        <v/>
      </c>
      <c r="AT102" s="172" t="str">
        <f t="shared" si="38"/>
        <v/>
      </c>
      <c r="AU102" s="49" t="str">
        <f>INDEX('12運シート'!C:C, MATCH(1, INDEX(('12運シート'!A:A=TRIM($T$42)) * ('12運シート'!B:B=TRIM(RIGHT(AE102, 1))), 0), 0))</f>
        <v>立花</v>
      </c>
      <c r="AV102" s="49" t="str">
        <f>INDEX('12運シート'!$E:$E, MATCH(1, INDEX((TRIM('12運シート'!$A:$A)=TRIM($T$42)) * (TRIM('12運シート'!$B:$B)=TRIM(AE102)), 0), 0))</f>
        <v>弁財天</v>
      </c>
      <c r="AW102" s="49" t="str">
        <f t="shared" si="39"/>
        <v>才能がパッと花開き、今後の人生を左右する重要な決定を下す発展期。</v>
      </c>
      <c r="AX102" s="49"/>
      <c r="AY102" s="49"/>
      <c r="AZ102" s="166" t="str">
        <f t="shared" ca="1" si="40"/>
        <v>子</v>
      </c>
      <c r="BA102" s="173">
        <f t="shared" ca="1" si="41"/>
        <v>46228</v>
      </c>
      <c r="BB102" s="174">
        <f t="shared" ca="1" si="7"/>
        <v>37</v>
      </c>
      <c r="BC102" s="174" t="str">
        <f ca="1">VLOOKUP(BB102,[1]大運!$B$31:$C$90,2,FALSE)</f>
        <v>庚子</v>
      </c>
      <c r="BD102" s="174" t="str">
        <f ca="1">VLOOKUP($F$5 &amp; "+" &amp; (MOD(BA102 - DATE(2024, 1, 1), 60) + 1), [1]大運!$H$45:$K$3644, 3, FALSE)</f>
        <v>鳳閣星</v>
      </c>
      <c r="BE102" s="174" t="str">
        <f ca="1">VLOOKUP($F$5 &amp; "+" &amp; (MOD(BA102 - DATE(2024, 1, 1), 60) + 1), [1]大運!$H$45:$K$3644, 4, FALSE)</f>
        <v>天報星</v>
      </c>
      <c r="BF102" s="174" t="str">
        <f ca="1">VLOOKUP($F$5 &amp; "+" &amp; (MOD(BA102 - DATE(2024, 1, 1), 60) + 1), [1]大運!$H$45:$K$3644, 2, FALSE)</f>
        <v>同</v>
      </c>
      <c r="BG102" s="174" t="str">
        <f ca="1">VLOOKUP($G$5 &amp; "+" &amp; (MOD(BA102 - DATE(2024, 1, 1), 60) + 1), [1]大運!$H$45:$K$3644, 2, FALSE)</f>
        <v>半会</v>
      </c>
      <c r="BH102" s="174" t="str">
        <f ca="1">VLOOKUP($H$5 &amp; "+" &amp; (MOD(BA102 - DATE(2024, 1, 1), 60) + 1), [1]大運!$H$45:$K$3644, 2, FALSE)</f>
        <v>破</v>
      </c>
      <c r="BI102" s="172" t="str">
        <f t="shared" ca="1" si="42"/>
        <v/>
      </c>
      <c r="BJ102" s="172" t="str">
        <f t="shared" ca="1" si="43"/>
        <v/>
      </c>
      <c r="BK102" s="172" t="str">
        <f t="shared" ca="1" si="44"/>
        <v/>
      </c>
      <c r="BL102" s="174" t="str">
        <f ca="1">INDEX('12運シート'!C:C, MATCH(1, INDEX(('12運シート'!A:A=TRIM($T$42)) * ('12運シート'!B:B=TRIM(RIGHT(AZ102, 1))), 0), 0))</f>
        <v>健弱</v>
      </c>
      <c r="BM102" s="174" t="str">
        <f ca="1">INDEX('12運シート'!$E:$E, MATCH(1, INDEX((TRIM('12運シート'!$A:$A)=TRIM($T$42)) * (TRIM('12運シート'!$B:$B)=TRIM(AZ102)), 0), 0))</f>
        <v>曇天</v>
      </c>
      <c r="BN102" s="49" t="str">
        <f t="shared" ca="1" si="45"/>
        <v>運気の勢いに心身が追いつかない小休止。自己治癒の時期。</v>
      </c>
      <c r="BO102" s="49"/>
      <c r="BP102" s="49"/>
      <c r="BQ102" s="49"/>
      <c r="BR102" s="49"/>
      <c r="BS102" s="49"/>
      <c r="BT102" s="49"/>
      <c r="BU102" s="49"/>
      <c r="BV102" s="49"/>
      <c r="BW102" s="49"/>
      <c r="BX102" s="49"/>
      <c r="BY102" s="49"/>
      <c r="BZ102" s="49"/>
      <c r="CA102" s="49"/>
      <c r="CB102" s="49"/>
      <c r="CC102" s="49"/>
      <c r="CD102" s="49"/>
      <c r="CE102" s="49"/>
      <c r="CF102" s="49"/>
      <c r="CG102" s="49"/>
      <c r="CH102" s="49"/>
      <c r="CI102" s="49"/>
      <c r="CJ102" s="49"/>
      <c r="CK102" s="49"/>
      <c r="CL102" s="49"/>
      <c r="CM102" s="49"/>
      <c r="CN102" s="49"/>
      <c r="CO102" s="49"/>
      <c r="CP102" s="49"/>
      <c r="CQ102" s="49"/>
      <c r="CR102" s="49"/>
      <c r="CS102" s="49"/>
      <c r="CT102" s="49"/>
      <c r="CU102" s="49"/>
      <c r="CV102" s="49"/>
      <c r="CW102" s="49"/>
      <c r="CX102" s="49"/>
      <c r="CY102" s="49"/>
      <c r="CZ102" s="49"/>
      <c r="DA102" s="49"/>
      <c r="DB102" s="49"/>
      <c r="DC102" s="49"/>
      <c r="DD102" s="49"/>
      <c r="DE102" s="49"/>
      <c r="DF102" s="49"/>
      <c r="DG102" s="49"/>
      <c r="DH102" s="49"/>
      <c r="DI102" s="49"/>
      <c r="DJ102" s="49"/>
      <c r="DK102" s="49"/>
      <c r="DL102" s="49"/>
      <c r="DM102" s="49"/>
      <c r="DN102" s="49"/>
      <c r="DO102" s="49"/>
      <c r="DP102" s="49"/>
      <c r="DQ102" s="49"/>
      <c r="DR102" s="49"/>
      <c r="DS102" s="49"/>
      <c r="DT102" s="49"/>
      <c r="DU102" s="49"/>
      <c r="DV102" s="49"/>
      <c r="DW102" s="49"/>
      <c r="DX102" s="49"/>
    </row>
    <row r="103" spans="1:128" ht="18" customHeight="1">
      <c r="A103" s="49"/>
      <c r="B103" s="49"/>
      <c r="C103" s="49"/>
      <c r="D103" s="49"/>
      <c r="E103" s="49"/>
      <c r="F103" s="49"/>
      <c r="G103" s="49"/>
      <c r="H103" s="49"/>
      <c r="I103" s="49"/>
      <c r="J103" s="49"/>
      <c r="K103" s="49"/>
      <c r="L103" s="49"/>
      <c r="M103" s="49"/>
      <c r="N103" s="49"/>
      <c r="O103" s="49"/>
      <c r="P103" s="49"/>
      <c r="Q103" s="49"/>
      <c r="R103" s="49"/>
      <c r="S103" s="49"/>
      <c r="T103" s="49"/>
      <c r="U103" s="52"/>
      <c r="V103" s="49"/>
      <c r="W103" s="49"/>
      <c r="X103" s="53"/>
      <c r="Y103" s="49"/>
      <c r="Z103" s="49"/>
      <c r="AA103" s="53"/>
      <c r="AB103" s="53"/>
      <c r="AC103" s="49"/>
      <c r="AD103" s="49"/>
      <c r="AE103" s="166" t="str">
        <f t="shared" si="34"/>
        <v>子</v>
      </c>
      <c r="AF103" s="167">
        <f t="shared" si="5"/>
        <v>87</v>
      </c>
      <c r="AG103" s="168">
        <f t="shared" si="35"/>
        <v>2068</v>
      </c>
      <c r="AH103" s="100" t="str">
        <f>VLOOKUP(AM103,[1]大運!$B$31:$C$90,2,FALSE)</f>
        <v>戊子</v>
      </c>
      <c r="AI103" s="99" t="str">
        <f>VLOOKUP($F$5&amp;"+"&amp;AM103,[1]大運!$H$45:$K$3644,3,FALSE)</f>
        <v>貫索星</v>
      </c>
      <c r="AJ103" s="73"/>
      <c r="AK103" s="99" t="str">
        <f>VLOOKUP($F$5&amp;"+"&amp;AM103,[1]大運!$H$45:$K$3644,4,FALSE)</f>
        <v>天報星</v>
      </c>
      <c r="AL103" s="73"/>
      <c r="AM103" s="171">
        <f t="shared" si="6"/>
        <v>25</v>
      </c>
      <c r="AN103" s="164" t="str">
        <f>VLOOKUP($F$5&amp;"+"&amp;AM103,[1]大運!$H$45:$K$3644,2,FALSE)</f>
        <v>律音</v>
      </c>
      <c r="AO103" s="164" t="str">
        <f>VLOOKUP($G$5&amp;"+"&amp;AM103,[1]大運!$H$45:$K$3644,2,FALSE)</f>
        <v>半会</v>
      </c>
      <c r="AP103" s="164" t="str">
        <f>VLOOKUP($H$5&amp;"+"&amp;AM103,[1]大運!$H$45:$K$3644,2,FALSE)</f>
        <v>破</v>
      </c>
      <c r="AQ103" s="100" t="str">
        <f t="shared" si="25"/>
        <v/>
      </c>
      <c r="AR103" s="172" t="str">
        <f t="shared" si="36"/>
        <v/>
      </c>
      <c r="AS103" s="172" t="str">
        <f t="shared" si="37"/>
        <v/>
      </c>
      <c r="AT103" s="172" t="str">
        <f t="shared" si="38"/>
        <v/>
      </c>
      <c r="AU103" s="49" t="str">
        <f>INDEX('12運シート'!C:C, MATCH(1, INDEX(('12運シート'!A:A=TRIM($T$42)) * ('12運シート'!B:B=TRIM(RIGHT(AE103, 1))), 0), 0))</f>
        <v>健弱</v>
      </c>
      <c r="AV103" s="49" t="str">
        <f>INDEX('12運シート'!$E:$E, MATCH(1, INDEX((TRIM('12運シート'!$A:$A)=TRIM($T$42)) * (TRIM('12運シート'!$B:$B)=TRIM(AE103)), 0), 0))</f>
        <v>曇天</v>
      </c>
      <c r="AW103" s="49" t="str">
        <f t="shared" si="39"/>
        <v>運気の勢いに心身が追いつかない小休止。自己治癒の時期。</v>
      </c>
      <c r="AX103" s="49"/>
      <c r="AY103" s="49"/>
      <c r="AZ103" s="166" t="str">
        <f t="shared" ca="1" si="40"/>
        <v>丑</v>
      </c>
      <c r="BA103" s="173">
        <f t="shared" ca="1" si="41"/>
        <v>46229</v>
      </c>
      <c r="BB103" s="174">
        <f t="shared" ca="1" si="7"/>
        <v>38</v>
      </c>
      <c r="BC103" s="174" t="str">
        <f ca="1">VLOOKUP(BB103,[1]大運!$B$31:$C$90,2,FALSE)</f>
        <v>辛丑</v>
      </c>
      <c r="BD103" s="174" t="str">
        <f ca="1">VLOOKUP($F$5 &amp; "+" &amp; (MOD(BA103 - DATE(2024, 1, 1), 60) + 1), [1]大運!$H$45:$K$3644, 3, FALSE)</f>
        <v>調舒星</v>
      </c>
      <c r="BE103" s="174" t="str">
        <f ca="1">VLOOKUP($F$5 &amp; "+" &amp; (MOD(BA103 - DATE(2024, 1, 1), 60) + 1), [1]大運!$H$45:$K$3644, 4, FALSE)</f>
        <v>天印星</v>
      </c>
      <c r="BF103" s="174" t="str">
        <f ca="1">VLOOKUP($F$5 &amp; "+" &amp; (MOD(BA103 - DATE(2024, 1, 1), 60) + 1), [1]大運!$H$45:$K$3644, 2, FALSE)</f>
        <v>支合</v>
      </c>
      <c r="BG103" s="174" t="str">
        <f ca="1">VLOOKUP($G$5 &amp; "+" &amp; (MOD(BA103 - DATE(2024, 1, 1), 60) + 1), [1]大運!$H$45:$K$3644, 2, FALSE)</f>
        <v>－</v>
      </c>
      <c r="BH103" s="174" t="str">
        <f ca="1">VLOOKUP($H$5 &amp; "+" &amp; (MOD(BA103 - DATE(2024, 1, 1), 60) + 1), [1]大運!$H$45:$K$3644, 2, FALSE)</f>
        <v>大半会</v>
      </c>
      <c r="BI103" s="172" t="str">
        <f t="shared" ca="1" si="42"/>
        <v/>
      </c>
      <c r="BJ103" s="172" t="str">
        <f t="shared" ca="1" si="43"/>
        <v>丙辛干合</v>
      </c>
      <c r="BK103" s="172" t="str">
        <f t="shared" ca="1" si="44"/>
        <v/>
      </c>
      <c r="BL103" s="174" t="str">
        <f ca="1">INDEX('12運シート'!C:C, MATCH(1, INDEX(('12運シート'!A:A=TRIM($T$42)) * ('12運シート'!B:B=TRIM(RIGHT(AZ103, 1))), 0), 0))</f>
        <v>達成</v>
      </c>
      <c r="BM103" s="174" t="str">
        <f ca="1">INDEX('12運シート'!$E:$E, MATCH(1, INDEX((TRIM('12運シート'!$A:$A)=TRIM($T$42)) * (TRIM('12運シート'!$B:$B)=TRIM(AZ103)), 0), 0))</f>
        <v>韋駄天</v>
      </c>
      <c r="BN103" s="49" t="str">
        <f t="shared" ca="1" si="45"/>
        <v>運気絶頂。これまでの努力が実を結び、最高のスポットライトを浴びる。</v>
      </c>
      <c r="BO103" s="49"/>
      <c r="BP103" s="49"/>
      <c r="BQ103" s="49"/>
      <c r="BR103" s="49"/>
      <c r="BS103" s="49"/>
      <c r="BT103" s="49"/>
      <c r="BU103" s="49"/>
      <c r="BV103" s="49"/>
      <c r="BW103" s="49"/>
      <c r="BX103" s="49"/>
      <c r="BY103" s="49"/>
      <c r="BZ103" s="49"/>
      <c r="CA103" s="49"/>
      <c r="CB103" s="49"/>
      <c r="CC103" s="49"/>
      <c r="CD103" s="49"/>
      <c r="CE103" s="49"/>
      <c r="CF103" s="49"/>
      <c r="CG103" s="49"/>
      <c r="CH103" s="49"/>
      <c r="CI103" s="49"/>
      <c r="CJ103" s="49"/>
      <c r="CK103" s="49"/>
      <c r="CL103" s="49"/>
      <c r="CM103" s="49"/>
      <c r="CN103" s="49"/>
      <c r="CO103" s="49"/>
      <c r="CP103" s="49"/>
      <c r="CQ103" s="49"/>
      <c r="CR103" s="49"/>
      <c r="CS103" s="49"/>
      <c r="CT103" s="49"/>
      <c r="CU103" s="49"/>
      <c r="CV103" s="49"/>
      <c r="CW103" s="49"/>
      <c r="CX103" s="49"/>
      <c r="CY103" s="49"/>
      <c r="CZ103" s="49"/>
      <c r="DA103" s="49"/>
      <c r="DB103" s="49"/>
      <c r="DC103" s="49"/>
      <c r="DD103" s="49"/>
      <c r="DE103" s="49"/>
      <c r="DF103" s="49"/>
      <c r="DG103" s="49"/>
      <c r="DH103" s="49"/>
      <c r="DI103" s="49"/>
      <c r="DJ103" s="49"/>
      <c r="DK103" s="49"/>
      <c r="DL103" s="49"/>
      <c r="DM103" s="49"/>
      <c r="DN103" s="49"/>
      <c r="DO103" s="49"/>
      <c r="DP103" s="49"/>
      <c r="DQ103" s="49"/>
      <c r="DR103" s="49"/>
      <c r="DS103" s="49"/>
      <c r="DT103" s="49"/>
      <c r="DU103" s="49"/>
      <c r="DV103" s="49"/>
      <c r="DW103" s="49"/>
      <c r="DX103" s="49"/>
    </row>
    <row r="104" spans="1:128" ht="18" customHeight="1">
      <c r="A104" s="49"/>
      <c r="B104" s="49"/>
      <c r="C104" s="49"/>
      <c r="D104" s="49"/>
      <c r="E104" s="49"/>
      <c r="F104" s="49"/>
      <c r="G104" s="49"/>
      <c r="H104" s="49"/>
      <c r="I104" s="49"/>
      <c r="J104" s="49"/>
      <c r="K104" s="49"/>
      <c r="L104" s="49"/>
      <c r="M104" s="49"/>
      <c r="N104" s="49"/>
      <c r="O104" s="49"/>
      <c r="P104" s="49"/>
      <c r="Q104" s="49"/>
      <c r="R104" s="49"/>
      <c r="S104" s="49"/>
      <c r="T104" s="49"/>
      <c r="U104" s="52"/>
      <c r="V104" s="49"/>
      <c r="W104" s="49"/>
      <c r="X104" s="53"/>
      <c r="Y104" s="49"/>
      <c r="Z104" s="49"/>
      <c r="AA104" s="53"/>
      <c r="AB104" s="53"/>
      <c r="AC104" s="49"/>
      <c r="AD104" s="49"/>
      <c r="AE104" s="166" t="str">
        <f t="shared" si="34"/>
        <v>丑</v>
      </c>
      <c r="AF104" s="167">
        <f t="shared" si="5"/>
        <v>88</v>
      </c>
      <c r="AG104" s="168">
        <f t="shared" si="35"/>
        <v>2069</v>
      </c>
      <c r="AH104" s="100" t="str">
        <f>VLOOKUP(AM104,[1]大運!$B$31:$C$90,2,FALSE)</f>
        <v>己丑</v>
      </c>
      <c r="AI104" s="99" t="str">
        <f>VLOOKUP($F$5&amp;"+"&amp;AM104,[1]大運!$H$45:$K$3644,3,FALSE)</f>
        <v>石門星</v>
      </c>
      <c r="AJ104" s="73"/>
      <c r="AK104" s="99" t="str">
        <f>VLOOKUP($F$5&amp;"+"&amp;AM104,[1]大運!$H$45:$K$3644,4,FALSE)</f>
        <v>天印星</v>
      </c>
      <c r="AL104" s="73"/>
      <c r="AM104" s="171">
        <f t="shared" si="6"/>
        <v>26</v>
      </c>
      <c r="AN104" s="164" t="str">
        <f>VLOOKUP($F$5&amp;"+"&amp;AM104,[1]大運!$H$45:$K$3644,2,FALSE)</f>
        <v>支合</v>
      </c>
      <c r="AO104" s="164" t="str">
        <f>VLOOKUP($G$5&amp;"+"&amp;AM104,[1]大運!$H$45:$K$3644,2,FALSE)</f>
        <v>－</v>
      </c>
      <c r="AP104" s="164" t="str">
        <f>VLOOKUP($H$5&amp;"+"&amp;AM104,[1]大運!$H$45:$K$3644,2,FALSE)</f>
        <v>半会</v>
      </c>
      <c r="AQ104" s="100" t="str">
        <f t="shared" si="25"/>
        <v/>
      </c>
      <c r="AR104" s="172" t="str">
        <f t="shared" si="36"/>
        <v/>
      </c>
      <c r="AS104" s="172" t="str">
        <f t="shared" si="37"/>
        <v/>
      </c>
      <c r="AT104" s="172" t="str">
        <f t="shared" si="38"/>
        <v/>
      </c>
      <c r="AU104" s="49" t="str">
        <f>INDEX('12運シート'!C:C, MATCH(1, INDEX(('12運シート'!A:A=TRIM($T$42)) * ('12運シート'!B:B=TRIM(RIGHT(AE104, 1))), 0), 0))</f>
        <v>達成</v>
      </c>
      <c r="AV104" s="49" t="str">
        <f>INDEX('12運シート'!$E:$E, MATCH(1, INDEX((TRIM('12運シート'!$A:$A)=TRIM($T$42)) * (TRIM('12運シート'!$B:$B)=TRIM(AE104)), 0), 0))</f>
        <v>韋駄天</v>
      </c>
      <c r="AW104" s="49" t="str">
        <f t="shared" si="39"/>
        <v>運気絶頂。これまでの努力が実を結び、最高のスポットライトを浴びる。</v>
      </c>
      <c r="AX104" s="49"/>
      <c r="AY104" s="49"/>
      <c r="AZ104" s="166" t="str">
        <f t="shared" ca="1" si="40"/>
        <v>寅</v>
      </c>
      <c r="BA104" s="173">
        <f t="shared" ca="1" si="41"/>
        <v>46230</v>
      </c>
      <c r="BB104" s="174">
        <f t="shared" ca="1" si="7"/>
        <v>39</v>
      </c>
      <c r="BC104" s="174" t="str">
        <f ca="1">VLOOKUP(BB104,[1]大運!$B$31:$C$90,2,FALSE)</f>
        <v>壬寅</v>
      </c>
      <c r="BD104" s="174" t="str">
        <f ca="1">VLOOKUP($F$5 &amp; "+" &amp; (MOD(BA104 - DATE(2024, 1, 1), 60) + 1), [1]大運!$H$45:$K$3644, 3, FALSE)</f>
        <v>禄存星</v>
      </c>
      <c r="BE104" s="174" t="str">
        <f ca="1">VLOOKUP($F$5 &amp; "+" &amp; (MOD(BA104 - DATE(2024, 1, 1), 60) + 1), [1]大運!$H$45:$K$3644, 4, FALSE)</f>
        <v>天貴星</v>
      </c>
      <c r="BF104" s="174" t="str">
        <f ca="1">VLOOKUP($F$5 &amp; "+" &amp; (MOD(BA104 - DATE(2024, 1, 1), 60) + 1), [1]大運!$H$45:$K$3644, 2, FALSE)</f>
        <v>－</v>
      </c>
      <c r="BG104" s="174" t="str">
        <f ca="1">VLOOKUP($G$5 &amp; "+" &amp; (MOD(BA104 - DATE(2024, 1, 1), 60) + 1), [1]大運!$H$45:$K$3644, 2, FALSE)</f>
        <v>天剋地冲</v>
      </c>
      <c r="BH104" s="174" t="str">
        <f ca="1">VLOOKUP($H$5 &amp; "+" &amp; (MOD(BA104 - DATE(2024, 1, 1), 60) + 1), [1]大運!$H$45:$K$3644, 2, FALSE)</f>
        <v>－</v>
      </c>
      <c r="BI104" s="172" t="str">
        <f t="shared" ca="1" si="42"/>
        <v/>
      </c>
      <c r="BJ104" s="172" t="str">
        <f t="shared" ca="1" si="43"/>
        <v/>
      </c>
      <c r="BK104" s="172" t="str">
        <f t="shared" ca="1" si="44"/>
        <v/>
      </c>
      <c r="BL104" s="174" t="str">
        <f ca="1">INDEX('12運シート'!C:C, MATCH(1, INDEX(('12運シート'!A:A=TRIM($T$42)) * ('12運シート'!B:B=TRIM(RIGHT(AZ104, 1))), 0), 0))</f>
        <v>乱気</v>
      </c>
      <c r="BM104" s="174" t="str">
        <f ca="1">INDEX('12運シート'!$E:$E, MATCH(1, INDEX((TRIM('12運シート'!$A:$A)=TRIM($T$42)) * (TRIM('12運シート'!$B:$B)=TRIM(AZ104)), 0), 0))</f>
        <v>伏魔天</v>
      </c>
      <c r="BN104" s="49" t="str">
        <f t="shared" ca="1" si="45"/>
        <v>強すぎる運気の反動で迷いや摩擦が生じる。理性と現状維持が必要な嵐。</v>
      </c>
      <c r="BO104" s="49"/>
      <c r="BP104" s="49"/>
      <c r="BQ104" s="49"/>
      <c r="BR104" s="49"/>
      <c r="BS104" s="49"/>
      <c r="BT104" s="49"/>
      <c r="BU104" s="49"/>
      <c r="BV104" s="49"/>
      <c r="BW104" s="49"/>
      <c r="BX104" s="49"/>
      <c r="BY104" s="49"/>
      <c r="BZ104" s="49"/>
      <c r="CA104" s="49"/>
      <c r="CB104" s="49"/>
      <c r="CC104" s="49"/>
      <c r="CD104" s="49"/>
      <c r="CE104" s="49"/>
      <c r="CF104" s="49"/>
      <c r="CG104" s="49"/>
      <c r="CH104" s="49"/>
      <c r="CI104" s="49"/>
      <c r="CJ104" s="49"/>
      <c r="CK104" s="49"/>
      <c r="CL104" s="49"/>
      <c r="CM104" s="49"/>
      <c r="CN104" s="49"/>
      <c r="CO104" s="49"/>
      <c r="CP104" s="49"/>
      <c r="CQ104" s="49"/>
      <c r="CR104" s="49"/>
      <c r="CS104" s="49"/>
      <c r="CT104" s="49"/>
      <c r="CU104" s="49"/>
      <c r="CV104" s="49"/>
      <c r="CW104" s="49"/>
      <c r="CX104" s="49"/>
      <c r="CY104" s="49"/>
      <c r="CZ104" s="49"/>
      <c r="DA104" s="49"/>
      <c r="DB104" s="49"/>
      <c r="DC104" s="49"/>
      <c r="DD104" s="49"/>
      <c r="DE104" s="49"/>
      <c r="DF104" s="49"/>
      <c r="DG104" s="49"/>
      <c r="DH104" s="49"/>
      <c r="DI104" s="49"/>
      <c r="DJ104" s="49"/>
      <c r="DK104" s="49"/>
      <c r="DL104" s="49"/>
      <c r="DM104" s="49"/>
      <c r="DN104" s="49"/>
      <c r="DO104" s="49"/>
      <c r="DP104" s="49"/>
      <c r="DQ104" s="49"/>
      <c r="DR104" s="49"/>
      <c r="DS104" s="49"/>
      <c r="DT104" s="49"/>
      <c r="DU104" s="49"/>
      <c r="DV104" s="49"/>
      <c r="DW104" s="49"/>
      <c r="DX104" s="49"/>
    </row>
    <row r="105" spans="1:128" ht="18" customHeight="1">
      <c r="A105" s="49"/>
      <c r="B105" s="49"/>
      <c r="C105" s="49"/>
      <c r="D105" s="49"/>
      <c r="E105" s="49"/>
      <c r="F105" s="49"/>
      <c r="G105" s="49"/>
      <c r="H105" s="49"/>
      <c r="I105" s="49"/>
      <c r="J105" s="49"/>
      <c r="K105" s="49"/>
      <c r="L105" s="49"/>
      <c r="M105" s="49"/>
      <c r="N105" s="49"/>
      <c r="O105" s="49"/>
      <c r="P105" s="49"/>
      <c r="Q105" s="49"/>
      <c r="R105" s="49"/>
      <c r="S105" s="49"/>
      <c r="T105" s="49"/>
      <c r="U105" s="52"/>
      <c r="V105" s="49"/>
      <c r="W105" s="49"/>
      <c r="X105" s="53"/>
      <c r="Y105" s="49"/>
      <c r="Z105" s="49"/>
      <c r="AA105" s="53"/>
      <c r="AB105" s="53"/>
      <c r="AC105" s="49"/>
      <c r="AD105" s="49"/>
      <c r="AE105" s="166" t="str">
        <f t="shared" si="34"/>
        <v>寅</v>
      </c>
      <c r="AF105" s="167">
        <f t="shared" si="5"/>
        <v>89</v>
      </c>
      <c r="AG105" s="168">
        <f t="shared" si="35"/>
        <v>2070</v>
      </c>
      <c r="AH105" s="100" t="str">
        <f>VLOOKUP(AM105,[1]大運!$B$31:$C$90,2,FALSE)</f>
        <v>庚寅</v>
      </c>
      <c r="AI105" s="99" t="str">
        <f>VLOOKUP($F$5&amp;"+"&amp;AM105,[1]大運!$H$45:$K$3644,3,FALSE)</f>
        <v>鳳閣星</v>
      </c>
      <c r="AJ105" s="73"/>
      <c r="AK105" s="99" t="str">
        <f>VLOOKUP($F$5&amp;"+"&amp;AM105,[1]大運!$H$45:$K$3644,4,FALSE)</f>
        <v>天貴星</v>
      </c>
      <c r="AL105" s="73"/>
      <c r="AM105" s="171">
        <f t="shared" si="6"/>
        <v>27</v>
      </c>
      <c r="AN105" s="164" t="str">
        <f>VLOOKUP($F$5&amp;"+"&amp;AM105,[1]大運!$H$45:$K$3644,2,FALSE)</f>
        <v>－</v>
      </c>
      <c r="AO105" s="164" t="str">
        <f>VLOOKUP($G$5&amp;"+"&amp;AM105,[1]大運!$H$45:$K$3644,2,FALSE)</f>
        <v>天剋地冲</v>
      </c>
      <c r="AP105" s="164" t="str">
        <f>VLOOKUP($H$5&amp;"+"&amp;AM105,[1]大運!$H$45:$K$3644,2,FALSE)</f>
        <v>－</v>
      </c>
      <c r="AQ105" s="100" t="str">
        <f t="shared" si="25"/>
        <v/>
      </c>
      <c r="AR105" s="172" t="str">
        <f t="shared" si="36"/>
        <v/>
      </c>
      <c r="AS105" s="172" t="str">
        <f t="shared" si="37"/>
        <v/>
      </c>
      <c r="AT105" s="172" t="str">
        <f t="shared" si="38"/>
        <v/>
      </c>
      <c r="AU105" s="49" t="str">
        <f>INDEX('12運シート'!C:C, MATCH(1, INDEX(('12運シート'!A:A=TRIM($T$42)) * ('12運シート'!B:B=TRIM(RIGHT(AE105, 1))), 0), 0))</f>
        <v>乱気</v>
      </c>
      <c r="AV105" s="49" t="str">
        <f>INDEX('12運シート'!$E:$E, MATCH(1, INDEX((TRIM('12運シート'!$A:$A)=TRIM($T$42)) * (TRIM('12運シート'!$B:$B)=TRIM(AE105)), 0), 0))</f>
        <v>伏魔天</v>
      </c>
      <c r="AW105" s="49" t="str">
        <f t="shared" si="39"/>
        <v>強すぎる運気の反動で迷いや摩擦が生じる。理性と現状維持が必要な嵐。</v>
      </c>
      <c r="AX105" s="49"/>
      <c r="AY105" s="49"/>
      <c r="AZ105" s="166" t="str">
        <f t="shared" ca="1" si="40"/>
        <v>卯</v>
      </c>
      <c r="BA105" s="173">
        <f t="shared" ca="1" si="41"/>
        <v>46231</v>
      </c>
      <c r="BB105" s="174">
        <f t="shared" ca="1" si="7"/>
        <v>40</v>
      </c>
      <c r="BC105" s="174" t="str">
        <f ca="1">VLOOKUP(BB105,[1]大運!$B$31:$C$90,2,FALSE)</f>
        <v>癸卯</v>
      </c>
      <c r="BD105" s="174" t="str">
        <f ca="1">VLOOKUP($F$5 &amp; "+" &amp; (MOD(BA105 - DATE(2024, 1, 1), 60) + 1), [1]大運!$H$45:$K$3644, 3, FALSE)</f>
        <v>司禄星</v>
      </c>
      <c r="BE105" s="174" t="str">
        <f ca="1">VLOOKUP($F$5 &amp; "+" &amp; (MOD(BA105 - DATE(2024, 1, 1), 60) + 1), [1]大運!$H$45:$K$3644, 4, FALSE)</f>
        <v>天恍星</v>
      </c>
      <c r="BF105" s="174" t="str">
        <f ca="1">VLOOKUP($F$5 &amp; "+" &amp; (MOD(BA105 - DATE(2024, 1, 1), 60) + 1), [1]大運!$H$45:$K$3644, 2, FALSE)</f>
        <v>刑</v>
      </c>
      <c r="BG105" s="174" t="str">
        <f ca="1">VLOOKUP($G$5 &amp; "+" &amp; (MOD(BA105 - DATE(2024, 1, 1), 60) + 1), [1]大運!$H$45:$K$3644, 2, FALSE)</f>
        <v>－</v>
      </c>
      <c r="BH105" s="174" t="str">
        <f ca="1">VLOOKUP($H$5 &amp; "+" &amp; (MOD(BA105 - DATE(2024, 1, 1), 60) + 1), [1]大運!$H$45:$K$3644, 2, FALSE)</f>
        <v>対冲</v>
      </c>
      <c r="BI105" s="172" t="str">
        <f t="shared" ca="1" si="42"/>
        <v>戊癸干合</v>
      </c>
      <c r="BJ105" s="172" t="str">
        <f t="shared" ca="1" si="43"/>
        <v/>
      </c>
      <c r="BK105" s="172" t="str">
        <f t="shared" ca="1" si="44"/>
        <v/>
      </c>
      <c r="BL105" s="174" t="str">
        <f ca="1">INDEX('12運シート'!C:C, MATCH(1, INDEX(('12運シート'!A:A=TRIM($T$42)) * ('12運シート'!B:B=TRIM(RIGHT(AZ105, 1))), 0), 0))</f>
        <v>再会</v>
      </c>
      <c r="BM105" s="174" t="str">
        <f ca="1">INDEX('12運シート'!$E:$E, MATCH(1, INDEX((TRIM('12運シート'!$A:$A)=TRIM($T$42)) * (TRIM('12運シート'!$B:$B)=TRIM(AZ105)), 0), 0))</f>
        <v>有頂天</v>
      </c>
      <c r="BN105" s="49" t="str">
        <f t="shared" ca="1" si="45"/>
        <v>第2の絶頂期。過去の縁が繋がり、周囲を巻き込み大きな成果を出す。</v>
      </c>
      <c r="BO105" s="49"/>
      <c r="BP105" s="49"/>
      <c r="BQ105" s="49"/>
      <c r="BR105" s="49"/>
      <c r="BS105" s="49"/>
      <c r="BT105" s="49"/>
      <c r="BU105" s="49"/>
      <c r="BV105" s="49"/>
      <c r="BW105" s="49"/>
      <c r="BX105" s="49"/>
      <c r="BY105" s="49"/>
      <c r="BZ105" s="49"/>
      <c r="CA105" s="49"/>
      <c r="CB105" s="49"/>
      <c r="CC105" s="49"/>
      <c r="CD105" s="49"/>
      <c r="CE105" s="49"/>
      <c r="CF105" s="49"/>
      <c r="CG105" s="49"/>
      <c r="CH105" s="49"/>
      <c r="CI105" s="49"/>
      <c r="CJ105" s="49"/>
      <c r="CK105" s="49"/>
      <c r="CL105" s="49"/>
      <c r="CM105" s="49"/>
      <c r="CN105" s="49"/>
      <c r="CO105" s="49"/>
      <c r="CP105" s="49"/>
      <c r="CQ105" s="49"/>
      <c r="CR105" s="49"/>
      <c r="CS105" s="49"/>
      <c r="CT105" s="49"/>
      <c r="CU105" s="49"/>
      <c r="CV105" s="49"/>
      <c r="CW105" s="49"/>
      <c r="CX105" s="49"/>
      <c r="CY105" s="49"/>
      <c r="CZ105" s="49"/>
      <c r="DA105" s="49"/>
      <c r="DB105" s="49"/>
      <c r="DC105" s="49"/>
      <c r="DD105" s="49"/>
      <c r="DE105" s="49"/>
      <c r="DF105" s="49"/>
      <c r="DG105" s="49"/>
      <c r="DH105" s="49"/>
      <c r="DI105" s="49"/>
      <c r="DJ105" s="49"/>
      <c r="DK105" s="49"/>
      <c r="DL105" s="49"/>
      <c r="DM105" s="49"/>
      <c r="DN105" s="49"/>
      <c r="DO105" s="49"/>
      <c r="DP105" s="49"/>
      <c r="DQ105" s="49"/>
      <c r="DR105" s="49"/>
      <c r="DS105" s="49"/>
      <c r="DT105" s="49"/>
      <c r="DU105" s="49"/>
      <c r="DV105" s="49"/>
      <c r="DW105" s="49"/>
      <c r="DX105" s="49"/>
    </row>
    <row r="106" spans="1:128" ht="18" customHeight="1">
      <c r="A106" s="49"/>
      <c r="B106" s="49"/>
      <c r="C106" s="49"/>
      <c r="D106" s="49"/>
      <c r="E106" s="49"/>
      <c r="F106" s="49"/>
      <c r="G106" s="49"/>
      <c r="H106" s="49"/>
      <c r="I106" s="49"/>
      <c r="J106" s="49"/>
      <c r="K106" s="49"/>
      <c r="L106" s="49"/>
      <c r="M106" s="49"/>
      <c r="N106" s="49"/>
      <c r="O106" s="49"/>
      <c r="P106" s="49"/>
      <c r="Q106" s="49"/>
      <c r="R106" s="49"/>
      <c r="S106" s="49"/>
      <c r="T106" s="49"/>
      <c r="U106" s="52"/>
      <c r="V106" s="49"/>
      <c r="W106" s="49"/>
      <c r="X106" s="53"/>
      <c r="Y106" s="49"/>
      <c r="Z106" s="49"/>
      <c r="AA106" s="53"/>
      <c r="AB106" s="53"/>
      <c r="AC106" s="49"/>
      <c r="AD106" s="49"/>
      <c r="AE106" s="166" t="str">
        <f t="shared" si="34"/>
        <v>卯</v>
      </c>
      <c r="AF106" s="167">
        <f t="shared" si="5"/>
        <v>90</v>
      </c>
      <c r="AG106" s="168">
        <f t="shared" si="35"/>
        <v>2071</v>
      </c>
      <c r="AH106" s="100" t="str">
        <f>VLOOKUP(AM106,[1]大運!$B$31:$C$90,2,FALSE)</f>
        <v>辛卯</v>
      </c>
      <c r="AI106" s="99" t="str">
        <f>VLOOKUP($F$5&amp;"+"&amp;AM106,[1]大運!$H$45:$K$3644,3,FALSE)</f>
        <v>調舒星</v>
      </c>
      <c r="AJ106" s="73"/>
      <c r="AK106" s="99" t="str">
        <f>VLOOKUP($F$5&amp;"+"&amp;AM106,[1]大運!$H$45:$K$3644,4,FALSE)</f>
        <v>天恍星</v>
      </c>
      <c r="AL106" s="73"/>
      <c r="AM106" s="171">
        <f t="shared" si="6"/>
        <v>28</v>
      </c>
      <c r="AN106" s="164" t="str">
        <f>VLOOKUP($F$5&amp;"+"&amp;AM106,[1]大運!$H$45:$K$3644,2,FALSE)</f>
        <v>刑</v>
      </c>
      <c r="AO106" s="164" t="str">
        <f>VLOOKUP($G$5&amp;"+"&amp;AM106,[1]大運!$H$45:$K$3644,2,FALSE)</f>
        <v>－</v>
      </c>
      <c r="AP106" s="164" t="str">
        <f>VLOOKUP($H$5&amp;"+"&amp;AM106,[1]大運!$H$45:$K$3644,2,FALSE)</f>
        <v>納音</v>
      </c>
      <c r="AQ106" s="100" t="str">
        <f t="shared" si="25"/>
        <v>月</v>
      </c>
      <c r="AR106" s="172" t="str">
        <f t="shared" si="36"/>
        <v/>
      </c>
      <c r="AS106" s="172" t="str">
        <f t="shared" si="37"/>
        <v>丙辛干合</v>
      </c>
      <c r="AT106" s="172" t="str">
        <f t="shared" si="38"/>
        <v/>
      </c>
      <c r="AU106" s="49" t="str">
        <f>INDEX('12運シート'!C:C, MATCH(1, INDEX(('12運シート'!A:A=TRIM($T$42)) * ('12運シート'!B:B=TRIM(RIGHT(AE106, 1))), 0), 0))</f>
        <v>再会</v>
      </c>
      <c r="AV106" s="49" t="str">
        <f>INDEX('12運シート'!$E:$E, MATCH(1, INDEX((TRIM('12運シート'!$A:$A)=TRIM($T$42)) * (TRIM('12運シート'!$B:$B)=TRIM(AE106)), 0), 0))</f>
        <v>有頂天</v>
      </c>
      <c r="AW106" s="49" t="str">
        <f t="shared" si="39"/>
        <v>第2の絶頂期。過去の縁が繋がり、周囲を巻き込み大きな成果を出す。</v>
      </c>
      <c r="AX106" s="49"/>
      <c r="AY106" s="49"/>
      <c r="AZ106" s="166" t="str">
        <f t="shared" ca="1" si="40"/>
        <v>辰</v>
      </c>
      <c r="BA106" s="173">
        <f t="shared" ca="1" si="41"/>
        <v>46232</v>
      </c>
      <c r="BB106" s="174">
        <f t="shared" ca="1" si="7"/>
        <v>41</v>
      </c>
      <c r="BC106" s="174" t="str">
        <f ca="1">VLOOKUP(BB106,[1]大運!$B$31:$C$90,2,FALSE)</f>
        <v>甲辰</v>
      </c>
      <c r="BD106" s="174" t="str">
        <f ca="1">VLOOKUP($F$5 &amp; "+" &amp; (MOD(BA106 - DATE(2024, 1, 1), 60) + 1), [1]大運!$H$45:$K$3644, 3, FALSE)</f>
        <v>車騎星</v>
      </c>
      <c r="BE106" s="174" t="str">
        <f ca="1">VLOOKUP($F$5 &amp; "+" &amp; (MOD(BA106 - DATE(2024, 1, 1), 60) + 1), [1]大運!$H$45:$K$3644, 4, FALSE)</f>
        <v>天南星</v>
      </c>
      <c r="BF106" s="174" t="str">
        <f ca="1">VLOOKUP($F$5 &amp; "+" &amp; (MOD(BA106 - DATE(2024, 1, 1), 60) + 1), [1]大運!$H$45:$K$3644, 2, FALSE)</f>
        <v>半会</v>
      </c>
      <c r="BG106" s="174" t="str">
        <f ca="1">VLOOKUP($G$5 &amp; "+" &amp; (MOD(BA106 - DATE(2024, 1, 1), 60) + 1), [1]大運!$H$45:$K$3644, 2, FALSE)</f>
        <v>半会</v>
      </c>
      <c r="BH106" s="174" t="str">
        <f ca="1">VLOOKUP($H$5 &amp; "+" &amp; (MOD(BA106 - DATE(2024, 1, 1), 60) + 1), [1]大運!$H$45:$K$3644, 2, FALSE)</f>
        <v>支合</v>
      </c>
      <c r="BI106" s="172" t="str">
        <f t="shared" ca="1" si="42"/>
        <v/>
      </c>
      <c r="BJ106" s="172" t="str">
        <f t="shared" ca="1" si="43"/>
        <v/>
      </c>
      <c r="BK106" s="172" t="str">
        <f t="shared" ca="1" si="44"/>
        <v/>
      </c>
      <c r="BL106" s="174" t="str">
        <f ca="1">INDEX('12運シート'!C:C, MATCH(1, INDEX(('12運シート'!A:A=TRIM($T$42)) * ('12運シート'!B:B=TRIM(RIGHT(AZ106, 1))), 0), 0))</f>
        <v>財成</v>
      </c>
      <c r="BM106" s="174" t="str">
        <f ca="1">INDEX('12運シート'!$E:$E, MATCH(1, INDEX((TRIM('12運シート'!$A:$A)=TRIM($T$42)) * (TRIM('12運シート'!$B:$B)=TRIM(AZ106)), 0), 0))</f>
        <v>満天</v>
      </c>
      <c r="BN106" s="49" t="str">
        <f t="shared" ca="1" si="45"/>
        <v>収穫の喜び。物質や人脈などあらゆる財を蓄積し、強固な基盤を作る。</v>
      </c>
      <c r="BO106" s="49"/>
      <c r="BP106" s="49"/>
      <c r="BQ106" s="49"/>
      <c r="BR106" s="49"/>
      <c r="BS106" s="49"/>
      <c r="BT106" s="49"/>
      <c r="BU106" s="49"/>
      <c r="BV106" s="49"/>
      <c r="BW106" s="49"/>
      <c r="BX106" s="49"/>
      <c r="BY106" s="49"/>
      <c r="BZ106" s="49"/>
      <c r="CA106" s="49"/>
      <c r="CB106" s="49"/>
      <c r="CC106" s="49"/>
      <c r="CD106" s="49"/>
      <c r="CE106" s="49"/>
      <c r="CF106" s="49"/>
      <c r="CG106" s="49"/>
      <c r="CH106" s="49"/>
      <c r="CI106" s="49"/>
      <c r="CJ106" s="49"/>
      <c r="CK106" s="49"/>
      <c r="CL106" s="49"/>
      <c r="CM106" s="49"/>
      <c r="CN106" s="49"/>
      <c r="CO106" s="49"/>
      <c r="CP106" s="49"/>
      <c r="CQ106" s="49"/>
      <c r="CR106" s="49"/>
      <c r="CS106" s="49"/>
      <c r="CT106" s="49"/>
      <c r="CU106" s="49"/>
      <c r="CV106" s="49"/>
      <c r="CW106" s="49"/>
      <c r="CX106" s="49"/>
      <c r="CY106" s="49"/>
      <c r="CZ106" s="49"/>
      <c r="DA106" s="49"/>
      <c r="DB106" s="49"/>
      <c r="DC106" s="49"/>
      <c r="DD106" s="49"/>
      <c r="DE106" s="49"/>
      <c r="DF106" s="49"/>
      <c r="DG106" s="49"/>
      <c r="DH106" s="49"/>
      <c r="DI106" s="49"/>
      <c r="DJ106" s="49"/>
      <c r="DK106" s="49"/>
      <c r="DL106" s="49"/>
      <c r="DM106" s="49"/>
      <c r="DN106" s="49"/>
      <c r="DO106" s="49"/>
      <c r="DP106" s="49"/>
      <c r="DQ106" s="49"/>
      <c r="DR106" s="49"/>
      <c r="DS106" s="49"/>
      <c r="DT106" s="49"/>
      <c r="DU106" s="49"/>
      <c r="DV106" s="49"/>
      <c r="DW106" s="49"/>
      <c r="DX106" s="49"/>
    </row>
    <row r="107" spans="1:128" ht="18" customHeight="1">
      <c r="A107" s="49"/>
      <c r="B107" s="49"/>
      <c r="C107" s="49"/>
      <c r="D107" s="49"/>
      <c r="E107" s="49"/>
      <c r="F107" s="49"/>
      <c r="G107" s="49"/>
      <c r="H107" s="49"/>
      <c r="I107" s="49"/>
      <c r="J107" s="49"/>
      <c r="K107" s="49"/>
      <c r="L107" s="49"/>
      <c r="M107" s="49"/>
      <c r="N107" s="49"/>
      <c r="O107" s="49"/>
      <c r="P107" s="49"/>
      <c r="Q107" s="49"/>
      <c r="R107" s="49"/>
      <c r="S107" s="49"/>
      <c r="T107" s="49"/>
      <c r="U107" s="52"/>
      <c r="V107" s="49"/>
      <c r="W107" s="49"/>
      <c r="X107" s="53"/>
      <c r="Y107" s="49"/>
      <c r="Z107" s="49"/>
      <c r="AA107" s="53"/>
      <c r="AB107" s="53"/>
      <c r="AC107" s="49"/>
      <c r="AD107" s="49"/>
      <c r="AE107" s="166" t="str">
        <f t="shared" si="34"/>
        <v>辰</v>
      </c>
      <c r="AF107" s="167">
        <f t="shared" si="5"/>
        <v>91</v>
      </c>
      <c r="AG107" s="168">
        <f t="shared" si="35"/>
        <v>2072</v>
      </c>
      <c r="AH107" s="100" t="str">
        <f>VLOOKUP(AM107,[1]大運!$B$31:$C$90,2,FALSE)</f>
        <v>壬辰</v>
      </c>
      <c r="AI107" s="99" t="str">
        <f>VLOOKUP($F$5&amp;"+"&amp;AM107,[1]大運!$H$45:$K$3644,3,FALSE)</f>
        <v>禄存星</v>
      </c>
      <c r="AJ107" s="73"/>
      <c r="AK107" s="99" t="str">
        <f>VLOOKUP($F$5&amp;"+"&amp;AM107,[1]大運!$H$45:$K$3644,4,FALSE)</f>
        <v>天南星</v>
      </c>
      <c r="AL107" s="73"/>
      <c r="AM107" s="171">
        <f t="shared" si="6"/>
        <v>29</v>
      </c>
      <c r="AN107" s="164" t="str">
        <f>VLOOKUP($F$5&amp;"+"&amp;AM107,[1]大運!$H$45:$K$3644,2,FALSE)</f>
        <v>半会</v>
      </c>
      <c r="AO107" s="164" t="str">
        <f>VLOOKUP($G$5&amp;"+"&amp;AM107,[1]大運!$H$45:$K$3644,2,FALSE)</f>
        <v>半会</v>
      </c>
      <c r="AP107" s="164" t="str">
        <f>VLOOKUP($H$5&amp;"+"&amp;AM107,[1]大運!$H$45:$K$3644,2,FALSE)</f>
        <v>支合</v>
      </c>
      <c r="AQ107" s="100" t="str">
        <f t="shared" si="25"/>
        <v/>
      </c>
      <c r="AR107" s="172" t="str">
        <f t="shared" si="36"/>
        <v/>
      </c>
      <c r="AS107" s="172" t="str">
        <f t="shared" si="37"/>
        <v/>
      </c>
      <c r="AT107" s="172" t="str">
        <f t="shared" si="38"/>
        <v/>
      </c>
      <c r="AU107" s="49" t="str">
        <f>INDEX('12運シート'!C:C, MATCH(1, INDEX(('12運シート'!A:A=TRIM($T$42)) * ('12運シート'!B:B=TRIM(RIGHT(AE107, 1))), 0), 0))</f>
        <v>財成</v>
      </c>
      <c r="AV107" s="49" t="str">
        <f>INDEX('12運シート'!$E:$E, MATCH(1, INDEX((TRIM('12運シート'!$A:$A)=TRIM($T$42)) * (TRIM('12運シート'!$B:$B)=TRIM(AE107)), 0), 0))</f>
        <v>満天</v>
      </c>
      <c r="AW107" s="49" t="str">
        <f t="shared" si="39"/>
        <v>収穫の喜び。物質や人脈などあらゆる財を蓄積し、強固な基盤を作る。</v>
      </c>
      <c r="AX107" s="49"/>
      <c r="AY107" s="49"/>
      <c r="AZ107" s="166" t="str">
        <f t="shared" ca="1" si="40"/>
        <v>巳</v>
      </c>
      <c r="BA107" s="173">
        <f t="shared" ca="1" si="41"/>
        <v>46233</v>
      </c>
      <c r="BB107" s="174">
        <f t="shared" ca="1" si="7"/>
        <v>42</v>
      </c>
      <c r="BC107" s="174" t="str">
        <f ca="1">VLOOKUP(BB107,[1]大運!$B$31:$C$90,2,FALSE)</f>
        <v>乙巳</v>
      </c>
      <c r="BD107" s="174" t="str">
        <f ca="1">VLOOKUP($F$5 &amp; "+" &amp; (MOD(BA107 - DATE(2024, 1, 1), 60) + 1), [1]大運!$H$45:$K$3644, 3, FALSE)</f>
        <v>牽牛星</v>
      </c>
      <c r="BE107" s="174" t="str">
        <f ca="1">VLOOKUP($F$5 &amp; "+" &amp; (MOD(BA107 - DATE(2024, 1, 1), 60) + 1), [1]大運!$H$45:$K$3644, 4, FALSE)</f>
        <v>天禄星</v>
      </c>
      <c r="BF107" s="174" t="str">
        <f ca="1">VLOOKUP($F$5 &amp; "+" &amp; (MOD(BA107 - DATE(2024, 1, 1), 60) + 1), [1]大運!$H$45:$K$3644, 2, FALSE)</f>
        <v>－</v>
      </c>
      <c r="BG107" s="174" t="str">
        <f ca="1">VLOOKUP($G$5 &amp; "+" &amp; (MOD(BA107 - DATE(2024, 1, 1), 60) + 1), [1]大運!$H$45:$K$3644, 2, FALSE)</f>
        <v>支合</v>
      </c>
      <c r="BH107" s="174" t="str">
        <f ca="1">VLOOKUP($H$5 &amp; "+" &amp; (MOD(BA107 - DATE(2024, 1, 1), 60) + 1), [1]大運!$H$45:$K$3644, 2, FALSE)</f>
        <v>半会</v>
      </c>
      <c r="BI107" s="172" t="str">
        <f t="shared" ca="1" si="42"/>
        <v/>
      </c>
      <c r="BJ107" s="172" t="str">
        <f t="shared" ca="1" si="43"/>
        <v/>
      </c>
      <c r="BK107" s="172" t="str">
        <f t="shared" ca="1" si="44"/>
        <v/>
      </c>
      <c r="BL107" s="174" t="str">
        <f ca="1">INDEX('12運シート'!C:C, MATCH(1, INDEX(('12運シート'!A:A=TRIM($T$42)) * ('12運シート'!B:B=TRIM(RIGHT(AZ107, 1))), 0), 0))</f>
        <v>充実</v>
      </c>
      <c r="BM107" s="174" t="str">
        <f ca="1">INDEX('12運シート'!$E:$E, MATCH(1, INDEX((TRIM('12運シート'!$A:$A)=TRIM($T$42)) * (TRIM('12運シート'!$B:$B)=TRIM(AZ107)), 0), 0))</f>
        <v>静天</v>
      </c>
      <c r="BN107" s="49" t="str">
        <f t="shared" ca="1" si="45"/>
        <v>成果が出揃う。精神的な安定と充実の中で平和に人生を俯瞰する時期。</v>
      </c>
      <c r="BO107" s="49"/>
      <c r="BP107" s="49"/>
      <c r="BQ107" s="49"/>
      <c r="BR107" s="49"/>
      <c r="BS107" s="49"/>
      <c r="BT107" s="49"/>
      <c r="BU107" s="49"/>
      <c r="BV107" s="49"/>
      <c r="BW107" s="49"/>
      <c r="BX107" s="49"/>
      <c r="BY107" s="49"/>
      <c r="BZ107" s="49"/>
      <c r="CA107" s="49"/>
      <c r="CB107" s="49"/>
      <c r="CC107" s="49"/>
      <c r="CD107" s="49"/>
      <c r="CE107" s="49"/>
      <c r="CF107" s="49"/>
      <c r="CG107" s="49"/>
      <c r="CH107" s="49"/>
      <c r="CI107" s="49"/>
      <c r="CJ107" s="49"/>
      <c r="CK107" s="49"/>
      <c r="CL107" s="49"/>
      <c r="CM107" s="49"/>
      <c r="CN107" s="49"/>
      <c r="CO107" s="49"/>
      <c r="CP107" s="49"/>
      <c r="CQ107" s="49"/>
      <c r="CR107" s="49"/>
      <c r="CS107" s="49"/>
      <c r="CT107" s="49"/>
      <c r="CU107" s="49"/>
      <c r="CV107" s="49"/>
      <c r="CW107" s="49"/>
      <c r="CX107" s="49"/>
      <c r="CY107" s="49"/>
      <c r="CZ107" s="49"/>
      <c r="DA107" s="49"/>
      <c r="DB107" s="49"/>
      <c r="DC107" s="49"/>
      <c r="DD107" s="49"/>
      <c r="DE107" s="49"/>
      <c r="DF107" s="49"/>
      <c r="DG107" s="49"/>
      <c r="DH107" s="49"/>
      <c r="DI107" s="49"/>
      <c r="DJ107" s="49"/>
      <c r="DK107" s="49"/>
      <c r="DL107" s="49"/>
      <c r="DM107" s="49"/>
      <c r="DN107" s="49"/>
      <c r="DO107" s="49"/>
      <c r="DP107" s="49"/>
      <c r="DQ107" s="49"/>
      <c r="DR107" s="49"/>
      <c r="DS107" s="49"/>
      <c r="DT107" s="49"/>
      <c r="DU107" s="49"/>
      <c r="DV107" s="49"/>
      <c r="DW107" s="49"/>
      <c r="DX107" s="49"/>
    </row>
    <row r="108" spans="1:128" ht="18" customHeight="1">
      <c r="A108" s="49"/>
      <c r="B108" s="49"/>
      <c r="C108" s="49"/>
      <c r="D108" s="49"/>
      <c r="E108" s="49"/>
      <c r="F108" s="49"/>
      <c r="G108" s="49"/>
      <c r="H108" s="49"/>
      <c r="I108" s="49"/>
      <c r="J108" s="49"/>
      <c r="K108" s="49"/>
      <c r="L108" s="49"/>
      <c r="M108" s="49"/>
      <c r="N108" s="49"/>
      <c r="O108" s="49"/>
      <c r="P108" s="49"/>
      <c r="Q108" s="49"/>
      <c r="R108" s="49"/>
      <c r="S108" s="49"/>
      <c r="T108" s="49"/>
      <c r="U108" s="52"/>
      <c r="V108" s="49"/>
      <c r="W108" s="49"/>
      <c r="X108" s="53"/>
      <c r="Y108" s="49"/>
      <c r="Z108" s="49"/>
      <c r="AA108" s="53"/>
      <c r="AB108" s="53"/>
      <c r="AC108" s="49"/>
      <c r="AD108" s="49"/>
      <c r="AE108" s="166" t="str">
        <f t="shared" si="34"/>
        <v>巳</v>
      </c>
      <c r="AF108" s="167">
        <f t="shared" si="5"/>
        <v>92</v>
      </c>
      <c r="AG108" s="168">
        <f t="shared" si="35"/>
        <v>2073</v>
      </c>
      <c r="AH108" s="100" t="str">
        <f>VLOOKUP(AM108,[1]大運!$B$31:$C$90,2,FALSE)</f>
        <v>癸巳</v>
      </c>
      <c r="AI108" s="99" t="str">
        <f>VLOOKUP($F$5&amp;"+"&amp;AM108,[1]大運!$H$45:$K$3644,3,FALSE)</f>
        <v>司禄星</v>
      </c>
      <c r="AJ108" s="73"/>
      <c r="AK108" s="99" t="str">
        <f>VLOOKUP($F$5&amp;"+"&amp;AM108,[1]大運!$H$45:$K$3644,4,FALSE)</f>
        <v>天禄星</v>
      </c>
      <c r="AL108" s="73"/>
      <c r="AM108" s="171">
        <f t="shared" si="6"/>
        <v>30</v>
      </c>
      <c r="AN108" s="164" t="str">
        <f>VLOOKUP($F$5&amp;"+"&amp;AM108,[1]大運!$H$45:$K$3644,2,FALSE)</f>
        <v>－</v>
      </c>
      <c r="AO108" s="164" t="str">
        <f>VLOOKUP($G$5&amp;"+"&amp;AM108,[1]大運!$H$45:$K$3644,2,FALSE)</f>
        <v>支合</v>
      </c>
      <c r="AP108" s="164" t="str">
        <f>VLOOKUP($H$5&amp;"+"&amp;AM108,[1]大運!$H$45:$K$3644,2,FALSE)</f>
        <v>半会</v>
      </c>
      <c r="AQ108" s="100" t="str">
        <f t="shared" si="25"/>
        <v>日</v>
      </c>
      <c r="AR108" s="172" t="str">
        <f t="shared" si="36"/>
        <v>戊癸干合</v>
      </c>
      <c r="AS108" s="172" t="str">
        <f t="shared" si="37"/>
        <v/>
      </c>
      <c r="AT108" s="172" t="str">
        <f t="shared" si="38"/>
        <v/>
      </c>
      <c r="AU108" s="49" t="str">
        <f>INDEX('12運シート'!C:C, MATCH(1, INDEX(('12運シート'!A:A=TRIM($T$42)) * ('12運シート'!B:B=TRIM(RIGHT(AE108, 1))), 0), 0))</f>
        <v>充実</v>
      </c>
      <c r="AV108" s="49" t="str">
        <f>INDEX('12運シート'!$E:$E, MATCH(1, INDEX((TRIM('12運シート'!$A:$A)=TRIM($T$42)) * (TRIM('12運シート'!$B:$B)=TRIM(AE108)), 0), 0))</f>
        <v>静天</v>
      </c>
      <c r="AW108" s="49" t="str">
        <f t="shared" si="39"/>
        <v>成果が出揃う。精神的な安定と充実の中で平和に人生を俯瞰する時期。</v>
      </c>
      <c r="AX108" s="49"/>
      <c r="AY108" s="49"/>
      <c r="AZ108" s="166" t="str">
        <f t="shared" ca="1" si="40"/>
        <v>午</v>
      </c>
      <c r="BA108" s="173">
        <f t="shared" ca="1" si="41"/>
        <v>46234</v>
      </c>
      <c r="BB108" s="174">
        <f t="shared" ca="1" si="7"/>
        <v>43</v>
      </c>
      <c r="BC108" s="174" t="str">
        <f ca="1">VLOOKUP(BB108,[1]大運!$B$31:$C$90,2,FALSE)</f>
        <v>丙午</v>
      </c>
      <c r="BD108" s="174" t="str">
        <f ca="1">VLOOKUP($F$5 &amp; "+" &amp; (MOD(BA108 - DATE(2024, 1, 1), 60) + 1), [1]大運!$H$45:$K$3644, 3, FALSE)</f>
        <v>龍高星</v>
      </c>
      <c r="BE108" s="174" t="str">
        <f ca="1">VLOOKUP($F$5 &amp; "+" &amp; (MOD(BA108 - DATE(2024, 1, 1), 60) + 1), [1]大運!$H$45:$K$3644, 4, FALSE)</f>
        <v>天将星</v>
      </c>
      <c r="BF108" s="174" t="str">
        <f ca="1">VLOOKUP($F$5 &amp; "+" &amp; (MOD(BA108 - DATE(2024, 1, 1), 60) + 1), [1]大運!$H$45:$K$3644, 2, FALSE)</f>
        <v>対冲</v>
      </c>
      <c r="BG108" s="174" t="str">
        <f ca="1">VLOOKUP($G$5 &amp; "+" &amp; (MOD(BA108 - DATE(2024, 1, 1), 60) + 1), [1]大運!$H$45:$K$3644, 2, FALSE)</f>
        <v>－</v>
      </c>
      <c r="BH108" s="174" t="str">
        <f ca="1">VLOOKUP($H$5 &amp; "+" &amp; (MOD(BA108 - DATE(2024, 1, 1), 60) + 1), [1]大運!$H$45:$K$3644, 2, FALSE)</f>
        <v>－</v>
      </c>
      <c r="BI108" s="172" t="str">
        <f t="shared" ca="1" si="42"/>
        <v/>
      </c>
      <c r="BJ108" s="172" t="str">
        <f t="shared" ca="1" si="43"/>
        <v/>
      </c>
      <c r="BK108" s="172" t="str">
        <f t="shared" ca="1" si="44"/>
        <v>丙辛干合</v>
      </c>
      <c r="BL108" s="174" t="str">
        <f ca="1">INDEX('12運シート'!C:C, MATCH(1, INDEX(('12運シート'!A:A=TRIM($T$42)) * ('12運シート'!B:B=TRIM(RIGHT(AZ108, 1))), 0), 0))</f>
        <v>陰影</v>
      </c>
      <c r="BM108" s="174" t="str">
        <f ca="1">INDEX('12運シート'!$E:$E, MATCH(1, INDEX((TRIM('12運シート'!$A:$A)=TRIM($T$42)) * (TRIM('12運シート'!$B:$B)=TRIM(AZ108)), 0), 0))</f>
        <v>暗天</v>
      </c>
      <c r="BN108" s="49" t="str">
        <f t="shared" ca="1" si="45"/>
        <v>運気下降（運の冬入り）。孤独を感じやすいが水面下の自己鍛錬が必要。</v>
      </c>
      <c r="BO108" s="49"/>
      <c r="BP108" s="49"/>
      <c r="BQ108" s="49"/>
      <c r="BR108" s="49"/>
      <c r="BS108" s="49"/>
      <c r="BT108" s="49"/>
      <c r="BU108" s="49"/>
      <c r="BV108" s="49"/>
      <c r="BW108" s="49"/>
      <c r="BX108" s="49"/>
      <c r="BY108" s="49"/>
      <c r="BZ108" s="49"/>
      <c r="CA108" s="49"/>
      <c r="CB108" s="49"/>
      <c r="CC108" s="49"/>
      <c r="CD108" s="49"/>
      <c r="CE108" s="49"/>
      <c r="CF108" s="49"/>
      <c r="CG108" s="49"/>
      <c r="CH108" s="49"/>
      <c r="CI108" s="49"/>
      <c r="CJ108" s="49"/>
      <c r="CK108" s="49"/>
      <c r="CL108" s="49"/>
      <c r="CM108" s="49"/>
      <c r="CN108" s="49"/>
      <c r="CO108" s="49"/>
      <c r="CP108" s="49"/>
      <c r="CQ108" s="49"/>
      <c r="CR108" s="49"/>
      <c r="CS108" s="49"/>
      <c r="CT108" s="49"/>
      <c r="CU108" s="49"/>
      <c r="CV108" s="49"/>
      <c r="CW108" s="49"/>
      <c r="CX108" s="49"/>
      <c r="CY108" s="49"/>
      <c r="CZ108" s="49"/>
      <c r="DA108" s="49"/>
      <c r="DB108" s="49"/>
      <c r="DC108" s="49"/>
      <c r="DD108" s="49"/>
      <c r="DE108" s="49"/>
      <c r="DF108" s="49"/>
      <c r="DG108" s="49"/>
      <c r="DH108" s="49"/>
      <c r="DI108" s="49"/>
      <c r="DJ108" s="49"/>
      <c r="DK108" s="49"/>
      <c r="DL108" s="49"/>
      <c r="DM108" s="49"/>
      <c r="DN108" s="49"/>
      <c r="DO108" s="49"/>
      <c r="DP108" s="49"/>
      <c r="DQ108" s="49"/>
      <c r="DR108" s="49"/>
      <c r="DS108" s="49"/>
      <c r="DT108" s="49"/>
      <c r="DU108" s="49"/>
      <c r="DV108" s="49"/>
      <c r="DW108" s="49"/>
      <c r="DX108" s="49"/>
    </row>
    <row r="109" spans="1:128" ht="18" customHeight="1">
      <c r="A109" s="49"/>
      <c r="B109" s="49"/>
      <c r="C109" s="49"/>
      <c r="D109" s="49"/>
      <c r="E109" s="49"/>
      <c r="F109" s="49"/>
      <c r="G109" s="49"/>
      <c r="H109" s="49"/>
      <c r="I109" s="49"/>
      <c r="J109" s="49"/>
      <c r="K109" s="49"/>
      <c r="L109" s="49"/>
      <c r="M109" s="49"/>
      <c r="N109" s="49"/>
      <c r="O109" s="49"/>
      <c r="P109" s="49"/>
      <c r="Q109" s="49"/>
      <c r="R109" s="49"/>
      <c r="S109" s="49"/>
      <c r="T109" s="49"/>
      <c r="U109" s="52"/>
      <c r="V109" s="49"/>
      <c r="W109" s="49"/>
      <c r="X109" s="53"/>
      <c r="Y109" s="49"/>
      <c r="Z109" s="49"/>
      <c r="AA109" s="53"/>
      <c r="AB109" s="53"/>
      <c r="AC109" s="49"/>
      <c r="AD109" s="49"/>
      <c r="AE109" s="166" t="str">
        <f t="shared" si="34"/>
        <v>午</v>
      </c>
      <c r="AF109" s="167">
        <f t="shared" si="5"/>
        <v>93</v>
      </c>
      <c r="AG109" s="168">
        <f t="shared" si="35"/>
        <v>2074</v>
      </c>
      <c r="AH109" s="100" t="str">
        <f>VLOOKUP(AM109,[1]大運!$B$31:$C$90,2,FALSE)</f>
        <v>甲午</v>
      </c>
      <c r="AI109" s="99" t="str">
        <f>VLOOKUP($F$5&amp;"+"&amp;AM109,[1]大運!$H$45:$K$3644,3,FALSE)</f>
        <v>車騎星</v>
      </c>
      <c r="AJ109" s="73"/>
      <c r="AK109" s="99" t="str">
        <f>VLOOKUP($F$5&amp;"+"&amp;AM109,[1]大運!$H$45:$K$3644,4,FALSE)</f>
        <v>天将星</v>
      </c>
      <c r="AL109" s="73"/>
      <c r="AM109" s="171">
        <f t="shared" si="6"/>
        <v>31</v>
      </c>
      <c r="AN109" s="164" t="str">
        <f>VLOOKUP($F$5&amp;"+"&amp;AM109,[1]大運!$H$45:$K$3644,2,FALSE)</f>
        <v>天剋地冲</v>
      </c>
      <c r="AO109" s="164" t="str">
        <f>VLOOKUP($G$5&amp;"+"&amp;AM109,[1]大運!$H$45:$K$3644,2,FALSE)</f>
        <v>－</v>
      </c>
      <c r="AP109" s="164" t="str">
        <f>VLOOKUP($H$5&amp;"+"&amp;AM109,[1]大運!$H$45:$K$3644,2,FALSE)</f>
        <v>－</v>
      </c>
      <c r="AQ109" s="100" t="str">
        <f t="shared" si="25"/>
        <v>殺</v>
      </c>
      <c r="AR109" s="172" t="str">
        <f t="shared" si="36"/>
        <v/>
      </c>
      <c r="AS109" s="172" t="str">
        <f t="shared" si="37"/>
        <v/>
      </c>
      <c r="AT109" s="172" t="str">
        <f t="shared" si="38"/>
        <v/>
      </c>
      <c r="AU109" s="49" t="str">
        <f>INDEX('12運シート'!C:C, MATCH(1, INDEX(('12運シート'!A:A=TRIM($T$42)) * ('12運シート'!B:B=TRIM(RIGHT(AE109, 1))), 0), 0))</f>
        <v>陰影</v>
      </c>
      <c r="AV109" s="49" t="str">
        <f>INDEX('12運シート'!$E:$E, MATCH(1, INDEX((TRIM('12運シート'!$A:$A)=TRIM($T$42)) * (TRIM('12運シート'!$B:$B)=TRIM(AE109)), 0), 0))</f>
        <v>暗天</v>
      </c>
      <c r="AW109" s="49" t="str">
        <f t="shared" si="39"/>
        <v>運気下降（運の冬入り）。孤独を感じやすいが水面下の自己鍛錬が必要。</v>
      </c>
      <c r="AX109" s="49"/>
      <c r="AY109" s="49"/>
      <c r="AZ109" s="166" t="str">
        <f t="shared" ca="1" si="40"/>
        <v>未</v>
      </c>
      <c r="BA109" s="173">
        <f t="shared" ca="1" si="41"/>
        <v>46235</v>
      </c>
      <c r="BB109" s="174">
        <f t="shared" ca="1" si="7"/>
        <v>44</v>
      </c>
      <c r="BC109" s="174" t="str">
        <f ca="1">VLOOKUP(BB109,[1]大運!$B$31:$C$90,2,FALSE)</f>
        <v>丁未</v>
      </c>
      <c r="BD109" s="174" t="str">
        <f ca="1">VLOOKUP($F$5 &amp; "+" &amp; (MOD(BA109 - DATE(2024, 1, 1), 60) + 1), [1]大運!$H$45:$K$3644, 3, FALSE)</f>
        <v>玉堂星</v>
      </c>
      <c r="BE109" s="174" t="str">
        <f ca="1">VLOOKUP($F$5 &amp; "+" &amp; (MOD(BA109 - DATE(2024, 1, 1), 60) + 1), [1]大運!$H$45:$K$3644, 4, FALSE)</f>
        <v>天堂星</v>
      </c>
      <c r="BF109" s="174" t="str">
        <f ca="1">VLOOKUP($F$5 &amp; "+" &amp; (MOD(BA109 - DATE(2024, 1, 1), 60) + 1), [1]大運!$H$45:$K$3644, 2, FALSE)</f>
        <v>害</v>
      </c>
      <c r="BG109" s="174" t="str">
        <f ca="1">VLOOKUP($G$5 &amp; "+" &amp; (MOD(BA109 - DATE(2024, 1, 1), 60) + 1), [1]大運!$H$45:$K$3644, 2, FALSE)</f>
        <v>－</v>
      </c>
      <c r="BH109" s="174" t="str">
        <f ca="1">VLOOKUP($H$5 &amp; "+" &amp; (MOD(BA109 - DATE(2024, 1, 1), 60) + 1), [1]大運!$H$45:$K$3644, 2, FALSE)</f>
        <v>－</v>
      </c>
      <c r="BI109" s="172" t="str">
        <f t="shared" ca="1" si="42"/>
        <v/>
      </c>
      <c r="BJ109" s="172" t="str">
        <f t="shared" ca="1" si="43"/>
        <v/>
      </c>
      <c r="BK109" s="172" t="str">
        <f t="shared" ca="1" si="44"/>
        <v/>
      </c>
      <c r="BL109" s="174" t="str">
        <f ca="1">INDEX('12運シート'!C:C, MATCH(1, INDEX(('12運シート'!A:A=TRIM($T$42)) * ('12運シート'!B:B=TRIM(RIGHT(AZ109, 1))), 0), 0))</f>
        <v>停止</v>
      </c>
      <c r="BM109" s="174" t="str">
        <f ca="1">INDEX('12運シート'!$E:$E, MATCH(1, INDEX((TRIM('12運シート'!$A:$A)=TRIM($T$42)) * (TRIM('12運シート'!$B:$B)=TRIM(AZ109)), 0), 0))</f>
        <v>大曇天</v>
      </c>
      <c r="BN109" s="49" t="str">
        <f t="shared" ca="1" si="45"/>
        <v>運命の停止（運の真冬時期）。古い価値観を手放す究極の浄化期間。</v>
      </c>
      <c r="BO109" s="49"/>
      <c r="BP109" s="49"/>
      <c r="BQ109" s="49"/>
      <c r="BR109" s="49"/>
      <c r="BS109" s="49"/>
      <c r="BT109" s="49"/>
      <c r="BU109" s="49"/>
      <c r="BV109" s="49"/>
      <c r="BW109" s="49"/>
      <c r="BX109" s="49"/>
      <c r="BY109" s="49"/>
      <c r="BZ109" s="49"/>
      <c r="CA109" s="49"/>
      <c r="CB109" s="49"/>
      <c r="CC109" s="49"/>
      <c r="CD109" s="49"/>
      <c r="CE109" s="49"/>
      <c r="CF109" s="49"/>
      <c r="CG109" s="49"/>
      <c r="CH109" s="49"/>
      <c r="CI109" s="49"/>
      <c r="CJ109" s="49"/>
      <c r="CK109" s="49"/>
      <c r="CL109" s="49"/>
      <c r="CM109" s="49"/>
      <c r="CN109" s="49"/>
      <c r="CO109" s="49"/>
      <c r="CP109" s="49"/>
      <c r="CQ109" s="49"/>
      <c r="CR109" s="49"/>
      <c r="CS109" s="49"/>
      <c r="CT109" s="49"/>
      <c r="CU109" s="49"/>
      <c r="CV109" s="49"/>
      <c r="CW109" s="49"/>
      <c r="CX109" s="49"/>
      <c r="CY109" s="49"/>
      <c r="CZ109" s="49"/>
      <c r="DA109" s="49"/>
      <c r="DB109" s="49"/>
      <c r="DC109" s="49"/>
      <c r="DD109" s="49"/>
      <c r="DE109" s="49"/>
      <c r="DF109" s="49"/>
      <c r="DG109" s="49"/>
      <c r="DH109" s="49"/>
      <c r="DI109" s="49"/>
      <c r="DJ109" s="49"/>
      <c r="DK109" s="49"/>
      <c r="DL109" s="49"/>
      <c r="DM109" s="49"/>
      <c r="DN109" s="49"/>
      <c r="DO109" s="49"/>
      <c r="DP109" s="49"/>
      <c r="DQ109" s="49"/>
      <c r="DR109" s="49"/>
      <c r="DS109" s="49"/>
      <c r="DT109" s="49"/>
      <c r="DU109" s="49"/>
      <c r="DV109" s="49"/>
      <c r="DW109" s="49"/>
      <c r="DX109" s="49"/>
    </row>
    <row r="110" spans="1:128" ht="18" customHeight="1">
      <c r="A110" s="49"/>
      <c r="B110" s="49"/>
      <c r="C110" s="49"/>
      <c r="D110" s="49"/>
      <c r="E110" s="49"/>
      <c r="F110" s="49"/>
      <c r="G110" s="49"/>
      <c r="H110" s="49"/>
      <c r="I110" s="49"/>
      <c r="J110" s="49"/>
      <c r="K110" s="49"/>
      <c r="L110" s="49"/>
      <c r="M110" s="49"/>
      <c r="N110" s="49"/>
      <c r="O110" s="49"/>
      <c r="P110" s="49"/>
      <c r="Q110" s="49"/>
      <c r="R110" s="49"/>
      <c r="S110" s="49"/>
      <c r="T110" s="49"/>
      <c r="U110" s="52"/>
      <c r="V110" s="49"/>
      <c r="W110" s="49"/>
      <c r="X110" s="53"/>
      <c r="Y110" s="49"/>
      <c r="Z110" s="49"/>
      <c r="AA110" s="53"/>
      <c r="AB110" s="53"/>
      <c r="AC110" s="49"/>
      <c r="AD110" s="49"/>
      <c r="AE110" s="166" t="str">
        <f t="shared" si="34"/>
        <v>未</v>
      </c>
      <c r="AF110" s="167">
        <f t="shared" si="5"/>
        <v>94</v>
      </c>
      <c r="AG110" s="168">
        <f t="shared" si="35"/>
        <v>2075</v>
      </c>
      <c r="AH110" s="100" t="str">
        <f>VLOOKUP(AM110,[1]大運!$B$31:$C$90,2,FALSE)</f>
        <v>乙未</v>
      </c>
      <c r="AI110" s="99" t="str">
        <f>VLOOKUP($F$5&amp;"+"&amp;AM110,[1]大運!$H$45:$K$3644,3,FALSE)</f>
        <v>牽牛星</v>
      </c>
      <c r="AJ110" s="73"/>
      <c r="AK110" s="99" t="str">
        <f>VLOOKUP($F$5&amp;"+"&amp;AM110,[1]大運!$H$45:$K$3644,4,FALSE)</f>
        <v>天堂星</v>
      </c>
      <c r="AL110" s="73"/>
      <c r="AM110" s="171">
        <f t="shared" si="6"/>
        <v>32</v>
      </c>
      <c r="AN110" s="164" t="str">
        <f>VLOOKUP($F$5&amp;"+"&amp;AM110,[1]大運!$H$45:$K$3644,2,FALSE)</f>
        <v>害</v>
      </c>
      <c r="AO110" s="164" t="str">
        <f>VLOOKUP($G$5&amp;"+"&amp;AM110,[1]大運!$H$45:$K$3644,2,FALSE)</f>
        <v>－</v>
      </c>
      <c r="AP110" s="164" t="str">
        <f>VLOOKUP($H$5&amp;"+"&amp;AM110,[1]大運!$H$45:$K$3644,2,FALSE)</f>
        <v>－</v>
      </c>
      <c r="AQ110" s="100" t="str">
        <f t="shared" si="25"/>
        <v>殺</v>
      </c>
      <c r="AR110" s="172" t="str">
        <f t="shared" si="36"/>
        <v/>
      </c>
      <c r="AS110" s="172" t="str">
        <f t="shared" si="37"/>
        <v/>
      </c>
      <c r="AT110" s="172" t="str">
        <f t="shared" si="38"/>
        <v/>
      </c>
      <c r="AU110" s="49" t="str">
        <f>INDEX('12運シート'!C:C, MATCH(1, INDEX(('12運シート'!A:A=TRIM($T$42)) * ('12運シート'!B:B=TRIM(RIGHT(AE110, 1))), 0), 0))</f>
        <v>停止</v>
      </c>
      <c r="AV110" s="49" t="str">
        <f>INDEX('12運シート'!$E:$E, MATCH(1, INDEX((TRIM('12運シート'!$A:$A)=TRIM($T$42)) * (TRIM('12運シート'!$B:$B)=TRIM(AE110)), 0), 0))</f>
        <v>大曇天</v>
      </c>
      <c r="AW110" s="49" t="str">
        <f t="shared" si="39"/>
        <v>運命の停止（運の真冬時期）。古い価値観を手放す究極の浄化期間。</v>
      </c>
      <c r="AX110" s="49"/>
      <c r="AY110" s="49"/>
      <c r="AZ110" s="166" t="str">
        <f t="shared" ca="1" si="40"/>
        <v>申</v>
      </c>
      <c r="BA110" s="173">
        <f t="shared" ca="1" si="41"/>
        <v>46236</v>
      </c>
      <c r="BB110" s="174">
        <f t="shared" ca="1" si="7"/>
        <v>45</v>
      </c>
      <c r="BC110" s="174" t="str">
        <f ca="1">VLOOKUP(BB110,[1]大運!$B$31:$C$90,2,FALSE)</f>
        <v>戊申</v>
      </c>
      <c r="BD110" s="174" t="str">
        <f ca="1">VLOOKUP($F$5 &amp; "+" &amp; (MOD(BA110 - DATE(2024, 1, 1), 60) + 1), [1]大運!$H$45:$K$3644, 3, FALSE)</f>
        <v>貫索星</v>
      </c>
      <c r="BE110" s="174" t="str">
        <f ca="1">VLOOKUP($F$5 &amp; "+" &amp; (MOD(BA110 - DATE(2024, 1, 1), 60) + 1), [1]大運!$H$45:$K$3644, 4, FALSE)</f>
        <v>天胡星</v>
      </c>
      <c r="BF110" s="174" t="str">
        <f ca="1">VLOOKUP($F$5 &amp; "+" &amp; (MOD(BA110 - DATE(2024, 1, 1), 60) + 1), [1]大運!$H$45:$K$3644, 2, FALSE)</f>
        <v>大半会</v>
      </c>
      <c r="BG110" s="174" t="str">
        <f ca="1">VLOOKUP($G$5 &amp; "+" &amp; (MOD(BA110 - DATE(2024, 1, 1), 60) + 1), [1]大運!$H$45:$K$3644, 2, FALSE)</f>
        <v>同</v>
      </c>
      <c r="BH110" s="174" t="str">
        <f ca="1">VLOOKUP($H$5 &amp; "+" &amp; (MOD(BA110 - DATE(2024, 1, 1), 60) + 1), [1]大運!$H$45:$K$3644, 2, FALSE)</f>
        <v>準方位</v>
      </c>
      <c r="BI110" s="172" t="str">
        <f t="shared" ca="1" si="42"/>
        <v/>
      </c>
      <c r="BJ110" s="172" t="str">
        <f t="shared" ca="1" si="43"/>
        <v/>
      </c>
      <c r="BK110" s="172" t="str">
        <f t="shared" ca="1" si="44"/>
        <v/>
      </c>
      <c r="BL110" s="174" t="str">
        <f ca="1">INDEX('12運シート'!C:C, MATCH(1, INDEX(('12運シート'!A:A=TRIM($T$42)) * ('12運シート'!B:B=TRIM(RIGHT(AZ110, 1))), 0), 0))</f>
        <v>減退</v>
      </c>
      <c r="BM110" s="174" t="str">
        <f ca="1">INDEX('12運シート'!$E:$E, MATCH(1, INDEX((TRIM('12運シート'!$A:$A)=TRIM($T$42)) * (TRIM('12運シート'!$B:$B)=TRIM(AZ110)), 0), 0))</f>
        <v>雨天</v>
      </c>
      <c r="BN110" s="49" t="str">
        <f t="shared" ca="1" si="45"/>
        <v>カルマの精算。過去の執着をすべて洗い流し、次の春への準備を整える。</v>
      </c>
      <c r="BO110" s="49"/>
      <c r="BP110" s="49"/>
      <c r="BQ110" s="49"/>
      <c r="BR110" s="49"/>
      <c r="BS110" s="49"/>
      <c r="BT110" s="49"/>
      <c r="BU110" s="49"/>
      <c r="BV110" s="49"/>
      <c r="BW110" s="49"/>
      <c r="BX110" s="49"/>
      <c r="BY110" s="49"/>
      <c r="BZ110" s="49"/>
      <c r="CA110" s="49"/>
      <c r="CB110" s="49"/>
      <c r="CC110" s="49"/>
      <c r="CD110" s="49"/>
      <c r="CE110" s="49"/>
      <c r="CF110" s="49"/>
      <c r="CG110" s="49"/>
      <c r="CH110" s="49"/>
      <c r="CI110" s="49"/>
      <c r="CJ110" s="49"/>
      <c r="CK110" s="49"/>
      <c r="CL110" s="49"/>
      <c r="CM110" s="49"/>
      <c r="CN110" s="49"/>
      <c r="CO110" s="49"/>
      <c r="CP110" s="49"/>
      <c r="CQ110" s="49"/>
      <c r="CR110" s="49"/>
      <c r="CS110" s="49"/>
      <c r="CT110" s="49"/>
      <c r="CU110" s="49"/>
      <c r="CV110" s="49"/>
      <c r="CW110" s="49"/>
      <c r="CX110" s="49"/>
      <c r="CY110" s="49"/>
      <c r="CZ110" s="49"/>
      <c r="DA110" s="49"/>
      <c r="DB110" s="49"/>
      <c r="DC110" s="49"/>
      <c r="DD110" s="49"/>
      <c r="DE110" s="49"/>
      <c r="DF110" s="49"/>
      <c r="DG110" s="49"/>
      <c r="DH110" s="49"/>
      <c r="DI110" s="49"/>
      <c r="DJ110" s="49"/>
      <c r="DK110" s="49"/>
      <c r="DL110" s="49"/>
      <c r="DM110" s="49"/>
      <c r="DN110" s="49"/>
      <c r="DO110" s="49"/>
      <c r="DP110" s="49"/>
      <c r="DQ110" s="49"/>
      <c r="DR110" s="49"/>
      <c r="DS110" s="49"/>
      <c r="DT110" s="49"/>
      <c r="DU110" s="49"/>
      <c r="DV110" s="49"/>
      <c r="DW110" s="49"/>
      <c r="DX110" s="49"/>
    </row>
    <row r="111" spans="1:128" ht="18" customHeight="1">
      <c r="A111" s="49"/>
      <c r="B111" s="49"/>
      <c r="C111" s="49"/>
      <c r="D111" s="49"/>
      <c r="E111" s="49"/>
      <c r="F111" s="49"/>
      <c r="G111" s="49"/>
      <c r="H111" s="49"/>
      <c r="I111" s="49"/>
      <c r="J111" s="49"/>
      <c r="K111" s="49"/>
      <c r="L111" s="49"/>
      <c r="M111" s="49"/>
      <c r="N111" s="49"/>
      <c r="O111" s="49"/>
      <c r="P111" s="49"/>
      <c r="Q111" s="49"/>
      <c r="R111" s="49"/>
      <c r="S111" s="49"/>
      <c r="T111" s="49"/>
      <c r="U111" s="52"/>
      <c r="V111" s="49"/>
      <c r="W111" s="49"/>
      <c r="X111" s="53"/>
      <c r="Y111" s="49"/>
      <c r="Z111" s="49"/>
      <c r="AA111" s="53"/>
      <c r="AB111" s="53"/>
      <c r="AC111" s="49"/>
      <c r="AD111" s="49"/>
      <c r="AE111" s="166" t="str">
        <f t="shared" si="34"/>
        <v>申</v>
      </c>
      <c r="AF111" s="167">
        <f t="shared" si="5"/>
        <v>95</v>
      </c>
      <c r="AG111" s="168">
        <f t="shared" si="35"/>
        <v>2076</v>
      </c>
      <c r="AH111" s="100" t="str">
        <f>VLOOKUP(AM111,[1]大運!$B$31:$C$90,2,FALSE)</f>
        <v>丙申</v>
      </c>
      <c r="AI111" s="99" t="str">
        <f>VLOOKUP($F$5&amp;"+"&amp;AM111,[1]大運!$H$45:$K$3644,3,FALSE)</f>
        <v>龍高星</v>
      </c>
      <c r="AJ111" s="73"/>
      <c r="AK111" s="99" t="str">
        <f>VLOOKUP($F$5&amp;"+"&amp;AM111,[1]大運!$H$45:$K$3644,4,FALSE)</f>
        <v>天胡星</v>
      </c>
      <c r="AL111" s="73"/>
      <c r="AM111" s="171">
        <f t="shared" si="6"/>
        <v>33</v>
      </c>
      <c r="AN111" s="164" t="str">
        <f>VLOOKUP($F$5&amp;"+"&amp;AM111,[1]大運!$H$45:$K$3644,2,FALSE)</f>
        <v>半会</v>
      </c>
      <c r="AO111" s="164" t="str">
        <f>VLOOKUP($G$5&amp;"+"&amp;AM111,[1]大運!$H$45:$K$3644,2,FALSE)</f>
        <v>律音</v>
      </c>
      <c r="AP111" s="164" t="str">
        <f>VLOOKUP($H$5&amp;"+"&amp;AM111,[1]大運!$H$45:$K$3644,2,FALSE)</f>
        <v>準方位</v>
      </c>
      <c r="AQ111" s="100" t="str">
        <f t="shared" si="25"/>
        <v>年</v>
      </c>
      <c r="AR111" s="172" t="str">
        <f t="shared" si="36"/>
        <v/>
      </c>
      <c r="AS111" s="172" t="str">
        <f t="shared" si="37"/>
        <v/>
      </c>
      <c r="AT111" s="172" t="str">
        <f t="shared" si="38"/>
        <v>丙辛干合</v>
      </c>
      <c r="AU111" s="49" t="str">
        <f>INDEX('12運シート'!C:C, MATCH(1, INDEX(('12運シート'!A:A=TRIM($T$42)) * ('12運シート'!B:B=TRIM(RIGHT(AE111, 1))), 0), 0))</f>
        <v>減退</v>
      </c>
      <c r="AV111" s="49" t="str">
        <f>INDEX('12運シート'!$E:$E, MATCH(1, INDEX((TRIM('12運シート'!$A:$A)=TRIM($T$42)) * (TRIM('12運シート'!$B:$B)=TRIM(AE111)), 0), 0))</f>
        <v>雨天</v>
      </c>
      <c r="AW111" s="49" t="str">
        <f t="shared" si="39"/>
        <v>カルマの精算。過去の執着をすべて洗い流し、次の春への準備を整える。</v>
      </c>
      <c r="AX111" s="49"/>
      <c r="AY111" s="49"/>
      <c r="AZ111" s="166" t="str">
        <f t="shared" ca="1" si="40"/>
        <v>酉</v>
      </c>
      <c r="BA111" s="173">
        <f t="shared" ca="1" si="41"/>
        <v>46237</v>
      </c>
      <c r="BB111" s="174">
        <f t="shared" ca="1" si="7"/>
        <v>46</v>
      </c>
      <c r="BC111" s="174" t="str">
        <f ca="1">VLOOKUP(BB111,[1]大運!$B$31:$C$90,2,FALSE)</f>
        <v>己酉</v>
      </c>
      <c r="BD111" s="174" t="str">
        <f ca="1">VLOOKUP($F$5 &amp; "+" &amp; (MOD(BA111 - DATE(2024, 1, 1), 60) + 1), [1]大運!$H$45:$K$3644, 3, FALSE)</f>
        <v>石門星</v>
      </c>
      <c r="BE111" s="174" t="str">
        <f ca="1">VLOOKUP($F$5 &amp; "+" &amp; (MOD(BA111 - DATE(2024, 1, 1), 60) + 1), [1]大運!$H$45:$K$3644, 4, FALSE)</f>
        <v>天極星</v>
      </c>
      <c r="BF111" s="174" t="str">
        <f ca="1">VLOOKUP($F$5 &amp; "+" &amp; (MOD(BA111 - DATE(2024, 1, 1), 60) + 1), [1]大運!$H$45:$K$3644, 2, FALSE)</f>
        <v>破</v>
      </c>
      <c r="BG111" s="174" t="str">
        <f ca="1">VLOOKUP($G$5 &amp; "+" &amp; (MOD(BA111 - DATE(2024, 1, 1), 60) + 1), [1]大運!$H$45:$K$3644, 2, FALSE)</f>
        <v>準方位</v>
      </c>
      <c r="BH111" s="174" t="str">
        <f ca="1">VLOOKUP($H$5 &amp; "+" &amp; (MOD(BA111 - DATE(2024, 1, 1), 60) + 1), [1]大運!$H$45:$K$3644, 2, FALSE)</f>
        <v>自刑</v>
      </c>
      <c r="BI111" s="172" t="str">
        <f t="shared" ca="1" si="42"/>
        <v/>
      </c>
      <c r="BJ111" s="172" t="str">
        <f t="shared" ca="1" si="43"/>
        <v/>
      </c>
      <c r="BK111" s="172" t="str">
        <f t="shared" ca="1" si="44"/>
        <v/>
      </c>
      <c r="BL111" s="174" t="str">
        <f ca="1">INDEX('12運シート'!C:C, MATCH(1, INDEX(('12運シート'!A:A=TRIM($T$42)) * ('12運シート'!B:B=TRIM(RIGHT(AZ111, 1))), 0), 0))</f>
        <v>種子</v>
      </c>
      <c r="BM111" s="174" t="str">
        <f ca="1">INDEX('12運シート'!$E:$E, MATCH(1, INDEX((TRIM('12運シート'!$A:$A)=TRIM($T$42)) * (TRIM('12運シート'!$B:$B)=TRIM(AZ111)), 0), 0))</f>
        <v>起天</v>
      </c>
      <c r="BN111" s="49" t="str">
        <f t="shared" ca="1" si="45"/>
        <v>運命の幕開け。過去を断ち切り新しい種をまく開拓期。</v>
      </c>
      <c r="BO111" s="49"/>
      <c r="BP111" s="49"/>
      <c r="BQ111" s="49"/>
      <c r="BR111" s="49"/>
      <c r="BS111" s="49"/>
      <c r="BT111" s="49"/>
      <c r="BU111" s="49"/>
      <c r="BV111" s="49"/>
      <c r="BW111" s="49"/>
      <c r="BX111" s="49"/>
      <c r="BY111" s="49"/>
      <c r="BZ111" s="49"/>
      <c r="CA111" s="49"/>
      <c r="CB111" s="49"/>
      <c r="CC111" s="49"/>
      <c r="CD111" s="49"/>
      <c r="CE111" s="49"/>
      <c r="CF111" s="49"/>
      <c r="CG111" s="49"/>
      <c r="CH111" s="49"/>
      <c r="CI111" s="49"/>
      <c r="CJ111" s="49"/>
      <c r="CK111" s="49"/>
      <c r="CL111" s="49"/>
      <c r="CM111" s="49"/>
      <c r="CN111" s="49"/>
      <c r="CO111" s="49"/>
      <c r="CP111" s="49"/>
      <c r="CQ111" s="49"/>
      <c r="CR111" s="49"/>
      <c r="CS111" s="49"/>
      <c r="CT111" s="49"/>
      <c r="CU111" s="49"/>
      <c r="CV111" s="49"/>
      <c r="CW111" s="49"/>
      <c r="CX111" s="49"/>
      <c r="CY111" s="49"/>
      <c r="CZ111" s="49"/>
      <c r="DA111" s="49"/>
      <c r="DB111" s="49"/>
      <c r="DC111" s="49"/>
      <c r="DD111" s="49"/>
      <c r="DE111" s="49"/>
      <c r="DF111" s="49"/>
      <c r="DG111" s="49"/>
      <c r="DH111" s="49"/>
      <c r="DI111" s="49"/>
      <c r="DJ111" s="49"/>
      <c r="DK111" s="49"/>
      <c r="DL111" s="49"/>
      <c r="DM111" s="49"/>
      <c r="DN111" s="49"/>
      <c r="DO111" s="49"/>
      <c r="DP111" s="49"/>
      <c r="DQ111" s="49"/>
      <c r="DR111" s="49"/>
      <c r="DS111" s="49"/>
      <c r="DT111" s="49"/>
      <c r="DU111" s="49"/>
      <c r="DV111" s="49"/>
      <c r="DW111" s="49"/>
      <c r="DX111" s="49"/>
    </row>
    <row r="112" spans="1:128" ht="18" customHeight="1">
      <c r="A112" s="49"/>
      <c r="B112" s="49"/>
      <c r="C112" s="49"/>
      <c r="D112" s="49"/>
      <c r="E112" s="49"/>
      <c r="F112" s="49"/>
      <c r="G112" s="49"/>
      <c r="H112" s="49"/>
      <c r="I112" s="49"/>
      <c r="J112" s="49"/>
      <c r="K112" s="49"/>
      <c r="L112" s="49"/>
      <c r="M112" s="49"/>
      <c r="N112" s="49"/>
      <c r="O112" s="49"/>
      <c r="P112" s="49"/>
      <c r="Q112" s="49"/>
      <c r="R112" s="49"/>
      <c r="S112" s="49"/>
      <c r="T112" s="49"/>
      <c r="U112" s="52"/>
      <c r="V112" s="49"/>
      <c r="W112" s="49"/>
      <c r="X112" s="53"/>
      <c r="Y112" s="49"/>
      <c r="Z112" s="49"/>
      <c r="AA112" s="53"/>
      <c r="AB112" s="53"/>
      <c r="AC112" s="49"/>
      <c r="AD112" s="49"/>
      <c r="AE112" s="166" t="str">
        <f t="shared" si="34"/>
        <v>酉</v>
      </c>
      <c r="AF112" s="167">
        <f t="shared" si="5"/>
        <v>96</v>
      </c>
      <c r="AG112" s="168">
        <f t="shared" si="35"/>
        <v>2077</v>
      </c>
      <c r="AH112" s="100" t="str">
        <f>VLOOKUP(AM112,[1]大運!$B$31:$C$90,2,FALSE)</f>
        <v>丁酉</v>
      </c>
      <c r="AI112" s="99" t="str">
        <f>VLOOKUP($F$5&amp;"+"&amp;AM112,[1]大運!$H$45:$K$3644,3,FALSE)</f>
        <v>玉堂星</v>
      </c>
      <c r="AJ112" s="73"/>
      <c r="AK112" s="99" t="str">
        <f>VLOOKUP($F$5&amp;"+"&amp;AM112,[1]大運!$H$45:$K$3644,4,FALSE)</f>
        <v>天極星</v>
      </c>
      <c r="AL112" s="73"/>
      <c r="AM112" s="171">
        <f t="shared" si="6"/>
        <v>34</v>
      </c>
      <c r="AN112" s="164" t="str">
        <f>VLOOKUP($F$5&amp;"+"&amp;AM112,[1]大運!$H$45:$K$3644,2,FALSE)</f>
        <v>破</v>
      </c>
      <c r="AO112" s="164" t="str">
        <f>VLOOKUP($G$5&amp;"+"&amp;AM112,[1]大運!$H$45:$K$3644,2,FALSE)</f>
        <v>準方位</v>
      </c>
      <c r="AP112" s="164" t="str">
        <f>VLOOKUP($H$5&amp;"+"&amp;AM112,[1]大運!$H$45:$K$3644,2,FALSE)</f>
        <v>自刑</v>
      </c>
      <c r="AQ112" s="100" t="str">
        <f t="shared" si="25"/>
        <v/>
      </c>
      <c r="AR112" s="172" t="str">
        <f t="shared" si="36"/>
        <v/>
      </c>
      <c r="AS112" s="172" t="str">
        <f t="shared" si="37"/>
        <v/>
      </c>
      <c r="AT112" s="172" t="str">
        <f t="shared" si="38"/>
        <v/>
      </c>
      <c r="AU112" s="49" t="str">
        <f>INDEX('12運シート'!C:C, MATCH(1, INDEX(('12運シート'!A:A=TRIM($T$42)) * ('12運シート'!B:B=TRIM(RIGHT(AE112, 1))), 0), 0))</f>
        <v>種子</v>
      </c>
      <c r="AV112" s="49" t="str">
        <f>INDEX('12運シート'!$E:$E, MATCH(1, INDEX((TRIM('12運シート'!$A:$A)=TRIM($T$42)) * (TRIM('12運シート'!$B:$B)=TRIM(AE112)), 0), 0))</f>
        <v>起天</v>
      </c>
      <c r="AW112" s="49" t="str">
        <f t="shared" si="39"/>
        <v>運命の幕開け。過去を断ち切り新しい種をまく開拓期。</v>
      </c>
      <c r="AX112" s="49"/>
      <c r="AY112" s="49"/>
      <c r="AZ112" s="166" t="str">
        <f t="shared" ca="1" si="40"/>
        <v>戌</v>
      </c>
      <c r="BA112" s="173">
        <f t="shared" ca="1" si="41"/>
        <v>46238</v>
      </c>
      <c r="BB112" s="174">
        <f t="shared" ca="1" si="7"/>
        <v>47</v>
      </c>
      <c r="BC112" s="174" t="str">
        <f ca="1">VLOOKUP(BB112,[1]大運!$B$31:$C$90,2,FALSE)</f>
        <v>庚戌</v>
      </c>
      <c r="BD112" s="174" t="str">
        <f ca="1">VLOOKUP($F$5 &amp; "+" &amp; (MOD(BA112 - DATE(2024, 1, 1), 60) + 1), [1]大運!$H$45:$K$3644, 3, FALSE)</f>
        <v>鳳閣星</v>
      </c>
      <c r="BE112" s="174" t="str">
        <f ca="1">VLOOKUP($F$5 &amp; "+" &amp; (MOD(BA112 - DATE(2024, 1, 1), 60) + 1), [1]大運!$H$45:$K$3644, 4, FALSE)</f>
        <v>天庫星</v>
      </c>
      <c r="BF112" s="174" t="str">
        <f ca="1">VLOOKUP($F$5 &amp; "+" &amp; (MOD(BA112 - DATE(2024, 1, 1), 60) + 1), [1]大運!$H$45:$K$3644, 2, FALSE)</f>
        <v>－</v>
      </c>
      <c r="BG112" s="174" t="str">
        <f ca="1">VLOOKUP($G$5 &amp; "+" &amp; (MOD(BA112 - DATE(2024, 1, 1), 60) + 1), [1]大運!$H$45:$K$3644, 2, FALSE)</f>
        <v>準方位</v>
      </c>
      <c r="BH112" s="174" t="str">
        <f ca="1">VLOOKUP($H$5 &amp; "+" &amp; (MOD(BA112 - DATE(2024, 1, 1), 60) + 1), [1]大運!$H$45:$K$3644, 2, FALSE)</f>
        <v>害</v>
      </c>
      <c r="BI112" s="172" t="str">
        <f t="shared" ca="1" si="42"/>
        <v/>
      </c>
      <c r="BJ112" s="172" t="str">
        <f t="shared" ca="1" si="43"/>
        <v/>
      </c>
      <c r="BK112" s="172" t="str">
        <f t="shared" ca="1" si="44"/>
        <v/>
      </c>
      <c r="BL112" s="174" t="str">
        <f ca="1">INDEX('12運シート'!C:C, MATCH(1, INDEX(('12運シート'!A:A=TRIM($T$42)) * ('12運シート'!B:B=TRIM(RIGHT(AZ112, 1))), 0), 0))</f>
        <v>緑生</v>
      </c>
      <c r="BM112" s="174" t="str">
        <f ca="1">INDEX('12運シート'!$E:$E, MATCH(1, INDEX((TRIM('12運シート'!$A:$A)=TRIM($T$42)) * (TRIM('12運シート'!$B:$B)=TRIM(AZ112)), 0), 0))</f>
        <v>吉祥天</v>
      </c>
      <c r="BN112" s="49" t="str">
        <f t="shared" ca="1" si="45"/>
        <v>まいた種が芽吹き、周囲の支援を受けて着実に育つ時期。</v>
      </c>
      <c r="BO112" s="49"/>
      <c r="BP112" s="49"/>
      <c r="BQ112" s="49"/>
      <c r="BR112" s="49"/>
      <c r="BS112" s="49"/>
      <c r="BT112" s="49"/>
      <c r="BU112" s="49"/>
      <c r="BV112" s="49"/>
      <c r="BW112" s="49"/>
      <c r="BX112" s="49"/>
      <c r="BY112" s="49"/>
      <c r="BZ112" s="49"/>
      <c r="CA112" s="49"/>
      <c r="CB112" s="49"/>
      <c r="CC112" s="49"/>
      <c r="CD112" s="49"/>
      <c r="CE112" s="49"/>
      <c r="CF112" s="49"/>
      <c r="CG112" s="49"/>
      <c r="CH112" s="49"/>
      <c r="CI112" s="49"/>
      <c r="CJ112" s="49"/>
      <c r="CK112" s="49"/>
      <c r="CL112" s="49"/>
      <c r="CM112" s="49"/>
      <c r="CN112" s="49"/>
      <c r="CO112" s="49"/>
      <c r="CP112" s="49"/>
      <c r="CQ112" s="49"/>
      <c r="CR112" s="49"/>
      <c r="CS112" s="49"/>
      <c r="CT112" s="49"/>
      <c r="CU112" s="49"/>
      <c r="CV112" s="49"/>
      <c r="CW112" s="49"/>
      <c r="CX112" s="49"/>
      <c r="CY112" s="49"/>
      <c r="CZ112" s="49"/>
      <c r="DA112" s="49"/>
      <c r="DB112" s="49"/>
      <c r="DC112" s="49"/>
      <c r="DD112" s="49"/>
      <c r="DE112" s="49"/>
      <c r="DF112" s="49"/>
      <c r="DG112" s="49"/>
      <c r="DH112" s="49"/>
      <c r="DI112" s="49"/>
      <c r="DJ112" s="49"/>
      <c r="DK112" s="49"/>
      <c r="DL112" s="49"/>
      <c r="DM112" s="49"/>
      <c r="DN112" s="49"/>
      <c r="DO112" s="49"/>
      <c r="DP112" s="49"/>
      <c r="DQ112" s="49"/>
      <c r="DR112" s="49"/>
      <c r="DS112" s="49"/>
      <c r="DT112" s="49"/>
      <c r="DU112" s="49"/>
      <c r="DV112" s="49"/>
      <c r="DW112" s="49"/>
      <c r="DX112" s="49"/>
    </row>
    <row r="113" spans="1:128" ht="18" customHeight="1">
      <c r="A113" s="49"/>
      <c r="B113" s="49"/>
      <c r="C113" s="49"/>
      <c r="D113" s="49"/>
      <c r="E113" s="49"/>
      <c r="F113" s="49"/>
      <c r="G113" s="49"/>
      <c r="H113" s="49"/>
      <c r="I113" s="49"/>
      <c r="J113" s="49"/>
      <c r="K113" s="49"/>
      <c r="L113" s="49"/>
      <c r="M113" s="49"/>
      <c r="N113" s="49"/>
      <c r="O113" s="49"/>
      <c r="P113" s="49"/>
      <c r="Q113" s="49"/>
      <c r="R113" s="49"/>
      <c r="S113" s="49"/>
      <c r="T113" s="49"/>
      <c r="U113" s="52"/>
      <c r="V113" s="49"/>
      <c r="W113" s="49"/>
      <c r="X113" s="53"/>
      <c r="Y113" s="49"/>
      <c r="Z113" s="49"/>
      <c r="AA113" s="53"/>
      <c r="AB113" s="53"/>
      <c r="AC113" s="49"/>
      <c r="AD113" s="49"/>
      <c r="AE113" s="166" t="str">
        <f t="shared" si="34"/>
        <v>戌</v>
      </c>
      <c r="AF113" s="167">
        <f t="shared" si="5"/>
        <v>97</v>
      </c>
      <c r="AG113" s="168">
        <f t="shared" si="35"/>
        <v>2078</v>
      </c>
      <c r="AH113" s="100" t="str">
        <f>VLOOKUP(AM113,[1]大運!$B$31:$C$90,2,FALSE)</f>
        <v>戊戌</v>
      </c>
      <c r="AI113" s="99" t="str">
        <f>VLOOKUP($F$5&amp;"+"&amp;AM113,[1]大運!$H$45:$K$3644,3,FALSE)</f>
        <v>貫索星</v>
      </c>
      <c r="AJ113" s="73"/>
      <c r="AK113" s="99" t="str">
        <f>VLOOKUP($F$5&amp;"+"&amp;AM113,[1]大運!$H$45:$K$3644,4,FALSE)</f>
        <v>天庫星</v>
      </c>
      <c r="AL113" s="73"/>
      <c r="AM113" s="171">
        <f t="shared" si="6"/>
        <v>35</v>
      </c>
      <c r="AN113" s="164" t="str">
        <f>VLOOKUP($F$5&amp;"+"&amp;AM113,[1]大運!$H$45:$K$3644,2,FALSE)</f>
        <v>－</v>
      </c>
      <c r="AO113" s="164" t="str">
        <f>VLOOKUP($G$5&amp;"+"&amp;AM113,[1]大運!$H$45:$K$3644,2,FALSE)</f>
        <v>準方位</v>
      </c>
      <c r="AP113" s="164" t="str">
        <f>VLOOKUP($H$5&amp;"+"&amp;AM113,[1]大運!$H$45:$K$3644,2,FALSE)</f>
        <v>害</v>
      </c>
      <c r="AQ113" s="100" t="str">
        <f t="shared" si="25"/>
        <v/>
      </c>
      <c r="AR113" s="172" t="str">
        <f t="shared" si="36"/>
        <v/>
      </c>
      <c r="AS113" s="172" t="str">
        <f t="shared" si="37"/>
        <v/>
      </c>
      <c r="AT113" s="172" t="str">
        <f t="shared" si="38"/>
        <v/>
      </c>
      <c r="AU113" s="49" t="str">
        <f>INDEX('12運シート'!C:C, MATCH(1, INDEX(('12運シート'!A:A=TRIM($T$42)) * ('12運シート'!B:B=TRIM(RIGHT(AE113, 1))), 0), 0))</f>
        <v>緑生</v>
      </c>
      <c r="AV113" s="49" t="str">
        <f>INDEX('12運シート'!$E:$E, MATCH(1, INDEX((TRIM('12運シート'!$A:$A)=TRIM($T$42)) * (TRIM('12運シート'!$B:$B)=TRIM(AE113)), 0), 0))</f>
        <v>吉祥天</v>
      </c>
      <c r="AW113" s="49" t="str">
        <f t="shared" si="39"/>
        <v>まいた種が芽吹き、周囲の支援を受けて着実に育つ時期。</v>
      </c>
      <c r="AX113" s="49"/>
      <c r="AY113" s="49"/>
      <c r="AZ113" s="49"/>
      <c r="BA113" s="49"/>
      <c r="BB113" s="49"/>
      <c r="BC113" s="49"/>
      <c r="BD113" s="49"/>
      <c r="BE113" s="49"/>
      <c r="BF113" s="49"/>
      <c r="BG113" s="49"/>
      <c r="BH113" s="49"/>
      <c r="BI113" s="49"/>
      <c r="BJ113" s="49"/>
      <c r="BK113" s="49"/>
      <c r="BL113" s="49"/>
      <c r="BM113" s="49"/>
      <c r="BN113" s="49"/>
      <c r="BO113" s="49"/>
      <c r="BP113" s="49"/>
      <c r="BQ113" s="49"/>
      <c r="BR113" s="49"/>
      <c r="BS113" s="49"/>
      <c r="BT113" s="49"/>
      <c r="BU113" s="49"/>
      <c r="BV113" s="49"/>
      <c r="BW113" s="49"/>
      <c r="BX113" s="49"/>
      <c r="BY113" s="49"/>
      <c r="BZ113" s="49"/>
      <c r="CA113" s="49"/>
      <c r="CB113" s="49"/>
      <c r="CC113" s="49"/>
      <c r="CD113" s="49"/>
      <c r="CE113" s="49"/>
      <c r="CF113" s="49"/>
      <c r="CG113" s="49"/>
      <c r="CH113" s="49"/>
      <c r="CI113" s="49"/>
      <c r="CJ113" s="49"/>
      <c r="CK113" s="49"/>
      <c r="CL113" s="49"/>
      <c r="CM113" s="49"/>
      <c r="CN113" s="49"/>
      <c r="CO113" s="49"/>
      <c r="CP113" s="49"/>
      <c r="CQ113" s="49"/>
      <c r="CR113" s="49"/>
      <c r="CS113" s="49"/>
      <c r="CT113" s="49"/>
      <c r="CU113" s="49"/>
      <c r="CV113" s="49"/>
      <c r="CW113" s="49"/>
      <c r="CX113" s="49"/>
      <c r="CY113" s="49"/>
      <c r="CZ113" s="49"/>
      <c r="DA113" s="49"/>
      <c r="DB113" s="49"/>
      <c r="DC113" s="49"/>
      <c r="DD113" s="49"/>
      <c r="DE113" s="49"/>
      <c r="DF113" s="49"/>
      <c r="DG113" s="49"/>
      <c r="DH113" s="49"/>
      <c r="DI113" s="49"/>
      <c r="DJ113" s="49"/>
      <c r="DK113" s="49"/>
      <c r="DL113" s="49"/>
      <c r="DM113" s="49"/>
      <c r="DN113" s="49"/>
      <c r="DO113" s="49"/>
      <c r="DP113" s="49"/>
      <c r="DQ113" s="49"/>
      <c r="DR113" s="49"/>
      <c r="DS113" s="49"/>
      <c r="DT113" s="49"/>
      <c r="DU113" s="49"/>
      <c r="DV113" s="49"/>
      <c r="DW113" s="49"/>
      <c r="DX113" s="49"/>
    </row>
    <row r="114" spans="1:128" ht="18" customHeight="1">
      <c r="A114" s="49"/>
      <c r="B114" s="49"/>
      <c r="C114" s="49"/>
      <c r="D114" s="49"/>
      <c r="E114" s="49"/>
      <c r="F114" s="49"/>
      <c r="G114" s="49"/>
      <c r="H114" s="49"/>
      <c r="I114" s="49"/>
      <c r="J114" s="49"/>
      <c r="K114" s="49"/>
      <c r="L114" s="49"/>
      <c r="M114" s="49"/>
      <c r="N114" s="49"/>
      <c r="O114" s="49"/>
      <c r="P114" s="49"/>
      <c r="Q114" s="49"/>
      <c r="R114" s="49"/>
      <c r="S114" s="49"/>
      <c r="T114" s="49"/>
      <c r="U114" s="52"/>
      <c r="V114" s="49"/>
      <c r="W114" s="49"/>
      <c r="X114" s="53"/>
      <c r="Y114" s="49"/>
      <c r="Z114" s="49"/>
      <c r="AA114" s="53"/>
      <c r="AB114" s="53"/>
      <c r="AC114" s="49"/>
      <c r="AD114" s="49"/>
      <c r="AE114" s="166" t="str">
        <f t="shared" si="34"/>
        <v>亥</v>
      </c>
      <c r="AF114" s="167">
        <f t="shared" si="5"/>
        <v>98</v>
      </c>
      <c r="AG114" s="168">
        <f t="shared" si="35"/>
        <v>2079</v>
      </c>
      <c r="AH114" s="100" t="str">
        <f>VLOOKUP(AM114,[1]大運!$B$31:$C$90,2,FALSE)</f>
        <v>己亥</v>
      </c>
      <c r="AI114" s="99" t="str">
        <f>VLOOKUP($F$5&amp;"+"&amp;AM114,[1]大運!$H$45:$K$3644,3,FALSE)</f>
        <v>石門星</v>
      </c>
      <c r="AJ114" s="73"/>
      <c r="AK114" s="99" t="str">
        <f>VLOOKUP($F$5&amp;"+"&amp;AM114,[1]大運!$H$45:$K$3644,4,FALSE)</f>
        <v>天馳星</v>
      </c>
      <c r="AL114" s="73"/>
      <c r="AM114" s="171">
        <f t="shared" si="6"/>
        <v>36</v>
      </c>
      <c r="AN114" s="164" t="str">
        <f>VLOOKUP($F$5&amp;"+"&amp;AM114,[1]大運!$H$45:$K$3644,2,FALSE)</f>
        <v>準方位</v>
      </c>
      <c r="AO114" s="164" t="str">
        <f>VLOOKUP($G$5&amp;"+"&amp;AM114,[1]大運!$H$45:$K$3644,2,FALSE)</f>
        <v>害</v>
      </c>
      <c r="AP114" s="164" t="str">
        <f>VLOOKUP($H$5&amp;"+"&amp;AM114,[1]大運!$H$45:$K$3644,2,FALSE)</f>
        <v>－</v>
      </c>
      <c r="AQ114" s="100" t="str">
        <f t="shared" si="25"/>
        <v/>
      </c>
      <c r="AR114" s="172" t="str">
        <f t="shared" si="36"/>
        <v/>
      </c>
      <c r="AS114" s="172" t="str">
        <f t="shared" si="37"/>
        <v/>
      </c>
      <c r="AT114" s="172" t="str">
        <f t="shared" si="38"/>
        <v/>
      </c>
      <c r="AU114" s="49" t="str">
        <f>INDEX('12運シート'!C:C, MATCH(1, INDEX(('12運シート'!A:A=TRIM($T$42)) * ('12運シート'!B:B=TRIM(RIGHT(AE114, 1))), 0), 0))</f>
        <v>立花</v>
      </c>
      <c r="AV114" s="49" t="str">
        <f>INDEX('12運シート'!$E:$E, MATCH(1, INDEX((TRIM('12運シート'!$A:$A)=TRIM($T$42)) * (TRIM('12運シート'!$B:$B)=TRIM(AE114)), 0), 0))</f>
        <v>弁財天</v>
      </c>
      <c r="AW114" s="49" t="str">
        <f t="shared" si="39"/>
        <v>才能がパッと花開き、今後の人生を左右する重要な決定を下す発展期。</v>
      </c>
      <c r="AX114" s="49"/>
      <c r="AY114" s="49"/>
      <c r="AZ114" s="49"/>
      <c r="BA114" s="49"/>
      <c r="BB114" s="49"/>
      <c r="BC114" s="49"/>
      <c r="BD114" s="49"/>
      <c r="BE114" s="49"/>
      <c r="BF114" s="49"/>
      <c r="BG114" s="49"/>
      <c r="BH114" s="49"/>
      <c r="BI114" s="49"/>
      <c r="BJ114" s="49"/>
      <c r="BK114" s="49"/>
      <c r="BL114" s="49"/>
      <c r="BM114" s="49"/>
      <c r="BN114" s="49"/>
      <c r="BO114" s="49"/>
      <c r="BP114" s="49"/>
      <c r="BQ114" s="49"/>
      <c r="BR114" s="49"/>
      <c r="BS114" s="49"/>
      <c r="BT114" s="49"/>
      <c r="BU114" s="49"/>
      <c r="BV114" s="49"/>
      <c r="BW114" s="49"/>
      <c r="BX114" s="49"/>
      <c r="BY114" s="49"/>
      <c r="BZ114" s="49"/>
      <c r="CA114" s="49"/>
      <c r="CB114" s="49"/>
      <c r="CC114" s="49"/>
      <c r="CD114" s="49"/>
      <c r="CE114" s="49"/>
      <c r="CF114" s="49"/>
      <c r="CG114" s="49"/>
      <c r="CH114" s="49"/>
      <c r="CI114" s="49"/>
      <c r="CJ114" s="49"/>
      <c r="CK114" s="49"/>
      <c r="CL114" s="49"/>
      <c r="CM114" s="49"/>
      <c r="CN114" s="49"/>
      <c r="CO114" s="49"/>
      <c r="CP114" s="49"/>
      <c r="CQ114" s="49"/>
      <c r="CR114" s="49"/>
      <c r="CS114" s="49"/>
      <c r="CT114" s="49"/>
      <c r="CU114" s="49"/>
      <c r="CV114" s="49"/>
      <c r="CW114" s="49"/>
      <c r="CX114" s="49"/>
      <c r="CY114" s="49"/>
      <c r="CZ114" s="49"/>
      <c r="DA114" s="49"/>
      <c r="DB114" s="49"/>
      <c r="DC114" s="49"/>
      <c r="DD114" s="49"/>
      <c r="DE114" s="49"/>
      <c r="DF114" s="49"/>
      <c r="DG114" s="49"/>
      <c r="DH114" s="49"/>
      <c r="DI114" s="49"/>
      <c r="DJ114" s="49"/>
      <c r="DK114" s="49"/>
      <c r="DL114" s="49"/>
      <c r="DM114" s="49"/>
      <c r="DN114" s="49"/>
      <c r="DO114" s="49"/>
      <c r="DP114" s="49"/>
      <c r="DQ114" s="49"/>
      <c r="DR114" s="49"/>
      <c r="DS114" s="49"/>
      <c r="DT114" s="49"/>
      <c r="DU114" s="49"/>
      <c r="DV114" s="49"/>
      <c r="DW114" s="49"/>
      <c r="DX114" s="49"/>
    </row>
    <row r="115" spans="1:128" ht="18" customHeight="1">
      <c r="A115" s="49"/>
      <c r="B115" s="49"/>
      <c r="C115" s="49"/>
      <c r="D115" s="49"/>
      <c r="E115" s="49"/>
      <c r="F115" s="49"/>
      <c r="G115" s="49"/>
      <c r="H115" s="49"/>
      <c r="I115" s="49"/>
      <c r="J115" s="49"/>
      <c r="K115" s="49"/>
      <c r="L115" s="49"/>
      <c r="M115" s="49"/>
      <c r="N115" s="49"/>
      <c r="O115" s="49"/>
      <c r="P115" s="49"/>
      <c r="Q115" s="49"/>
      <c r="R115" s="49"/>
      <c r="S115" s="49"/>
      <c r="T115" s="49"/>
      <c r="U115" s="52"/>
      <c r="V115" s="49"/>
      <c r="W115" s="49"/>
      <c r="X115" s="53"/>
      <c r="Y115" s="49"/>
      <c r="Z115" s="49"/>
      <c r="AA115" s="53"/>
      <c r="AB115" s="53"/>
      <c r="AC115" s="49"/>
      <c r="AD115" s="49"/>
      <c r="AE115" s="166" t="str">
        <f t="shared" si="34"/>
        <v>子</v>
      </c>
      <c r="AF115" s="167">
        <f t="shared" si="5"/>
        <v>99</v>
      </c>
      <c r="AG115" s="168">
        <f t="shared" si="35"/>
        <v>2080</v>
      </c>
      <c r="AH115" s="100" t="str">
        <f>VLOOKUP(AM115,[1]大運!$B$31:$C$90,2,FALSE)</f>
        <v>庚子</v>
      </c>
      <c r="AI115" s="99" t="str">
        <f>VLOOKUP($F$5&amp;"+"&amp;AM115,[1]大運!$H$45:$K$3644,3,FALSE)</f>
        <v>鳳閣星</v>
      </c>
      <c r="AJ115" s="73"/>
      <c r="AK115" s="99" t="str">
        <f>VLOOKUP($F$5&amp;"+"&amp;AM115,[1]大運!$H$45:$K$3644,4,FALSE)</f>
        <v>天報星</v>
      </c>
      <c r="AL115" s="73"/>
      <c r="AM115" s="171">
        <f t="shared" si="6"/>
        <v>37</v>
      </c>
      <c r="AN115" s="164" t="str">
        <f>VLOOKUP($F$5&amp;"+"&amp;AM115,[1]大運!$H$45:$K$3644,2,FALSE)</f>
        <v>同</v>
      </c>
      <c r="AO115" s="164" t="str">
        <f>VLOOKUP($G$5&amp;"+"&amp;AM115,[1]大運!$H$45:$K$3644,2,FALSE)</f>
        <v>半会</v>
      </c>
      <c r="AP115" s="164" t="str">
        <f>VLOOKUP($H$5&amp;"+"&amp;AM115,[1]大運!$H$45:$K$3644,2,FALSE)</f>
        <v>破</v>
      </c>
      <c r="AQ115" s="100" t="str">
        <f t="shared" si="25"/>
        <v/>
      </c>
      <c r="AR115" s="172" t="str">
        <f t="shared" si="36"/>
        <v/>
      </c>
      <c r="AS115" s="172" t="str">
        <f t="shared" si="37"/>
        <v/>
      </c>
      <c r="AT115" s="172" t="str">
        <f t="shared" si="38"/>
        <v/>
      </c>
      <c r="AU115" s="49" t="str">
        <f>INDEX('12運シート'!C:C, MATCH(1, INDEX(('12運シート'!A:A=TRIM($T$42)) * ('12運シート'!B:B=TRIM(RIGHT(AE115, 1))), 0), 0))</f>
        <v>健弱</v>
      </c>
      <c r="AV115" s="49" t="str">
        <f>INDEX('12運シート'!$E:$E, MATCH(1, INDEX((TRIM('12運シート'!$A:$A)=TRIM($T$42)) * (TRIM('12運シート'!$B:$B)=TRIM(AE115)), 0), 0))</f>
        <v>曇天</v>
      </c>
      <c r="AW115" s="49" t="str">
        <f t="shared" si="39"/>
        <v>運気の勢いに心身が追いつかない小休止。自己治癒の時期。</v>
      </c>
      <c r="AX115" s="49"/>
      <c r="AY115" s="49"/>
      <c r="AZ115" s="49"/>
      <c r="BA115" s="49"/>
      <c r="BB115" s="49"/>
      <c r="BC115" s="49"/>
      <c r="BD115" s="49"/>
      <c r="BE115" s="49"/>
      <c r="BF115" s="49"/>
      <c r="BG115" s="49"/>
      <c r="BH115" s="49"/>
      <c r="BI115" s="49"/>
      <c r="BJ115" s="49"/>
      <c r="BK115" s="49"/>
      <c r="BL115" s="49"/>
      <c r="BM115" s="49"/>
      <c r="BN115" s="49"/>
      <c r="BO115" s="49"/>
      <c r="BP115" s="49"/>
      <c r="BQ115" s="49"/>
      <c r="BR115" s="49"/>
      <c r="BS115" s="49"/>
      <c r="BT115" s="49"/>
      <c r="BU115" s="49"/>
      <c r="BV115" s="49"/>
      <c r="BW115" s="49"/>
      <c r="BX115" s="49"/>
      <c r="BY115" s="49"/>
      <c r="BZ115" s="49"/>
      <c r="CA115" s="49"/>
      <c r="CB115" s="49"/>
      <c r="CC115" s="49"/>
      <c r="CD115" s="49"/>
      <c r="CE115" s="49"/>
      <c r="CF115" s="49"/>
      <c r="CG115" s="49"/>
      <c r="CH115" s="49"/>
      <c r="CI115" s="49"/>
      <c r="CJ115" s="49"/>
      <c r="CK115" s="49"/>
      <c r="CL115" s="49"/>
      <c r="CM115" s="49"/>
      <c r="CN115" s="49"/>
      <c r="CO115" s="49"/>
      <c r="CP115" s="49"/>
      <c r="CQ115" s="49"/>
      <c r="CR115" s="49"/>
      <c r="CS115" s="49"/>
      <c r="CT115" s="49"/>
      <c r="CU115" s="49"/>
      <c r="CV115" s="49"/>
      <c r="CW115" s="49"/>
      <c r="CX115" s="49"/>
      <c r="CY115" s="49"/>
      <c r="CZ115" s="49"/>
      <c r="DA115" s="49"/>
      <c r="DB115" s="49"/>
      <c r="DC115" s="49"/>
      <c r="DD115" s="49"/>
      <c r="DE115" s="49"/>
      <c r="DF115" s="49"/>
      <c r="DG115" s="49"/>
      <c r="DH115" s="49"/>
      <c r="DI115" s="49"/>
      <c r="DJ115" s="49"/>
      <c r="DK115" s="49"/>
      <c r="DL115" s="49"/>
      <c r="DM115" s="49"/>
      <c r="DN115" s="49"/>
      <c r="DO115" s="49"/>
      <c r="DP115" s="49"/>
      <c r="DQ115" s="49"/>
      <c r="DR115" s="49"/>
      <c r="DS115" s="49"/>
      <c r="DT115" s="49"/>
      <c r="DU115" s="49"/>
      <c r="DV115" s="49"/>
      <c r="DW115" s="49"/>
      <c r="DX115" s="49"/>
    </row>
    <row r="116" spans="1:128" ht="18" customHeight="1">
      <c r="A116" s="49"/>
      <c r="B116" s="49"/>
      <c r="C116" s="49"/>
      <c r="D116" s="49"/>
      <c r="E116" s="49"/>
      <c r="F116" s="49"/>
      <c r="G116" s="49"/>
      <c r="H116" s="49"/>
      <c r="I116" s="49"/>
      <c r="J116" s="49"/>
      <c r="K116" s="49"/>
      <c r="L116" s="49"/>
      <c r="M116" s="49"/>
      <c r="N116" s="49"/>
      <c r="O116" s="49"/>
      <c r="P116" s="49"/>
      <c r="Q116" s="49"/>
      <c r="R116" s="49"/>
      <c r="S116" s="49"/>
      <c r="T116" s="49"/>
      <c r="U116" s="52"/>
      <c r="V116" s="49"/>
      <c r="W116" s="49"/>
      <c r="X116" s="53"/>
      <c r="Y116" s="49"/>
      <c r="Z116" s="49"/>
      <c r="AA116" s="53"/>
      <c r="AB116" s="53"/>
      <c r="AC116" s="49"/>
      <c r="AD116" s="49"/>
      <c r="AE116" s="166" t="str">
        <f t="shared" si="34"/>
        <v>丑</v>
      </c>
      <c r="AF116" s="167">
        <f t="shared" si="5"/>
        <v>100</v>
      </c>
      <c r="AG116" s="168">
        <f t="shared" si="35"/>
        <v>2081</v>
      </c>
      <c r="AH116" s="100" t="str">
        <f>VLOOKUP(AM116,[1]大運!$B$31:$C$90,2,FALSE)</f>
        <v>辛丑</v>
      </c>
      <c r="AI116" s="99" t="str">
        <f>VLOOKUP($F$5&amp;"+"&amp;AM116,[1]大運!$H$45:$K$3644,3,FALSE)</f>
        <v>調舒星</v>
      </c>
      <c r="AJ116" s="73"/>
      <c r="AK116" s="99" t="str">
        <f>VLOOKUP($F$5&amp;"+"&amp;AM116,[1]大運!$H$45:$K$3644,4,FALSE)</f>
        <v>天印星</v>
      </c>
      <c r="AL116" s="73"/>
      <c r="AM116" s="171">
        <f t="shared" si="6"/>
        <v>38</v>
      </c>
      <c r="AN116" s="164" t="str">
        <f>VLOOKUP($F$5&amp;"+"&amp;AM116,[1]大運!$H$45:$K$3644,2,FALSE)</f>
        <v>支合</v>
      </c>
      <c r="AO116" s="164" t="str">
        <f>VLOOKUP($G$5&amp;"+"&amp;AM116,[1]大運!$H$45:$K$3644,2,FALSE)</f>
        <v>－</v>
      </c>
      <c r="AP116" s="164" t="str">
        <f>VLOOKUP($H$5&amp;"+"&amp;AM116,[1]大運!$H$45:$K$3644,2,FALSE)</f>
        <v>大半会</v>
      </c>
      <c r="AQ116" s="100" t="str">
        <f t="shared" si="25"/>
        <v>月</v>
      </c>
      <c r="AR116" s="172" t="str">
        <f t="shared" si="36"/>
        <v/>
      </c>
      <c r="AS116" s="172" t="str">
        <f t="shared" si="37"/>
        <v>丙辛干合</v>
      </c>
      <c r="AT116" s="172" t="str">
        <f t="shared" si="38"/>
        <v/>
      </c>
      <c r="AU116" s="49" t="str">
        <f>INDEX('12運シート'!C:C, MATCH(1, INDEX(('12運シート'!A:A=TRIM($T$42)) * ('12運シート'!B:B=TRIM(RIGHT(AE116, 1))), 0), 0))</f>
        <v>達成</v>
      </c>
      <c r="AV116" s="49" t="str">
        <f>INDEX('12運シート'!$E:$E, MATCH(1, INDEX((TRIM('12運シート'!$A:$A)=TRIM($T$42)) * (TRIM('12運シート'!$B:$B)=TRIM(AE116)), 0), 0))</f>
        <v>韋駄天</v>
      </c>
      <c r="AW116" s="49" t="str">
        <f t="shared" si="39"/>
        <v>運気絶頂。これまでの努力が実を結び、最高のスポットライトを浴びる。</v>
      </c>
      <c r="AX116" s="49"/>
      <c r="AY116" s="49"/>
      <c r="AZ116" s="49"/>
      <c r="BA116" s="49"/>
      <c r="BB116" s="49"/>
      <c r="BC116" s="49"/>
      <c r="BD116" s="49"/>
      <c r="BE116" s="49"/>
      <c r="BF116" s="49"/>
      <c r="BG116" s="49"/>
      <c r="BH116" s="49"/>
      <c r="BI116" s="49"/>
      <c r="BJ116" s="49"/>
      <c r="BK116" s="49"/>
      <c r="BL116" s="49"/>
      <c r="BM116" s="49"/>
      <c r="BN116" s="49"/>
      <c r="BO116" s="49"/>
      <c r="BP116" s="49"/>
      <c r="BQ116" s="49"/>
      <c r="BR116" s="49"/>
      <c r="BS116" s="49"/>
      <c r="BT116" s="49"/>
      <c r="BU116" s="49"/>
      <c r="BV116" s="49"/>
      <c r="BW116" s="49"/>
      <c r="BX116" s="49"/>
      <c r="BY116" s="49"/>
      <c r="BZ116" s="49"/>
      <c r="CA116" s="49"/>
      <c r="CB116" s="49"/>
      <c r="CC116" s="49"/>
      <c r="CD116" s="49"/>
      <c r="CE116" s="49"/>
      <c r="CF116" s="49"/>
      <c r="CG116" s="49"/>
      <c r="CH116" s="49"/>
      <c r="CI116" s="49"/>
      <c r="CJ116" s="49"/>
      <c r="CK116" s="49"/>
      <c r="CL116" s="49"/>
      <c r="CM116" s="49"/>
      <c r="CN116" s="49"/>
      <c r="CO116" s="49"/>
      <c r="CP116" s="49"/>
      <c r="CQ116" s="49"/>
      <c r="CR116" s="49"/>
      <c r="CS116" s="49"/>
      <c r="CT116" s="49"/>
      <c r="CU116" s="49"/>
      <c r="CV116" s="49"/>
      <c r="CW116" s="49"/>
      <c r="CX116" s="49"/>
      <c r="CY116" s="49"/>
      <c r="CZ116" s="49"/>
      <c r="DA116" s="49"/>
      <c r="DB116" s="49"/>
      <c r="DC116" s="49"/>
      <c r="DD116" s="49"/>
      <c r="DE116" s="49"/>
      <c r="DF116" s="49"/>
      <c r="DG116" s="49"/>
      <c r="DH116" s="49"/>
      <c r="DI116" s="49"/>
      <c r="DJ116" s="49"/>
      <c r="DK116" s="49"/>
      <c r="DL116" s="49"/>
      <c r="DM116" s="49"/>
      <c r="DN116" s="49"/>
      <c r="DO116" s="49"/>
      <c r="DP116" s="49"/>
      <c r="DQ116" s="49"/>
      <c r="DR116" s="49"/>
      <c r="DS116" s="49"/>
      <c r="DT116" s="49"/>
      <c r="DU116" s="49"/>
      <c r="DV116" s="49"/>
      <c r="DW116" s="49"/>
      <c r="DX116" s="49"/>
    </row>
    <row r="117" spans="1:128" ht="18" customHeight="1">
      <c r="A117" s="49"/>
      <c r="B117" s="49"/>
      <c r="C117" s="49"/>
      <c r="D117" s="49"/>
      <c r="E117" s="49"/>
      <c r="F117" s="49"/>
      <c r="G117" s="49"/>
      <c r="H117" s="49"/>
      <c r="I117" s="49"/>
      <c r="J117" s="49"/>
      <c r="K117" s="49"/>
      <c r="L117" s="49"/>
      <c r="M117" s="49"/>
      <c r="N117" s="49"/>
      <c r="O117" s="49"/>
      <c r="P117" s="49"/>
      <c r="Q117" s="49"/>
      <c r="R117" s="49"/>
      <c r="S117" s="49"/>
      <c r="T117" s="49"/>
      <c r="U117" s="52"/>
      <c r="V117" s="49"/>
      <c r="W117" s="49"/>
      <c r="X117" s="53"/>
      <c r="Y117" s="49"/>
      <c r="Z117" s="49"/>
      <c r="AA117" s="53"/>
      <c r="AB117" s="53"/>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c r="BS117" s="49"/>
      <c r="BT117" s="49"/>
      <c r="BU117" s="49"/>
      <c r="BV117" s="49"/>
      <c r="BW117" s="49"/>
      <c r="BX117" s="49"/>
      <c r="BY117" s="49"/>
      <c r="BZ117" s="49"/>
      <c r="CA117" s="49"/>
      <c r="CB117" s="49"/>
      <c r="CC117" s="49"/>
      <c r="CD117" s="49"/>
      <c r="CE117" s="49"/>
      <c r="CF117" s="49"/>
      <c r="CG117" s="49"/>
      <c r="CH117" s="49"/>
      <c r="CI117" s="49"/>
      <c r="CJ117" s="49"/>
      <c r="CK117" s="49"/>
      <c r="CL117" s="49"/>
      <c r="CM117" s="49"/>
      <c r="CN117" s="49"/>
      <c r="CO117" s="49"/>
      <c r="CP117" s="49"/>
      <c r="CQ117" s="49"/>
      <c r="CR117" s="49"/>
      <c r="CS117" s="49"/>
      <c r="CT117" s="49"/>
      <c r="CU117" s="49"/>
      <c r="CV117" s="49"/>
      <c r="CW117" s="49"/>
      <c r="CX117" s="49"/>
      <c r="CY117" s="49"/>
      <c r="CZ117" s="49"/>
      <c r="DA117" s="49"/>
      <c r="DB117" s="49"/>
      <c r="DC117" s="49"/>
      <c r="DD117" s="49"/>
      <c r="DE117" s="49"/>
      <c r="DF117" s="49"/>
      <c r="DG117" s="49"/>
      <c r="DH117" s="49"/>
      <c r="DI117" s="49"/>
      <c r="DJ117" s="49"/>
      <c r="DK117" s="49"/>
      <c r="DL117" s="49"/>
      <c r="DM117" s="49"/>
      <c r="DN117" s="49"/>
      <c r="DO117" s="49"/>
      <c r="DP117" s="49"/>
      <c r="DQ117" s="49"/>
      <c r="DR117" s="49"/>
      <c r="DS117" s="49"/>
      <c r="DT117" s="49"/>
      <c r="DU117" s="49"/>
      <c r="DV117" s="49"/>
      <c r="DW117" s="49"/>
      <c r="DX117" s="49"/>
    </row>
    <row r="118" spans="1:128" ht="4.5" customHeight="1">
      <c r="A118" s="49"/>
      <c r="B118" s="49"/>
      <c r="C118" s="49"/>
      <c r="D118" s="49"/>
      <c r="E118" s="49"/>
      <c r="F118" s="49"/>
      <c r="G118" s="49"/>
      <c r="H118" s="49"/>
      <c r="I118" s="49"/>
      <c r="J118" s="49"/>
      <c r="K118" s="49"/>
      <c r="L118" s="49"/>
      <c r="M118" s="49"/>
      <c r="N118" s="49"/>
      <c r="O118" s="49"/>
      <c r="P118" s="49"/>
      <c r="Q118" s="49"/>
      <c r="R118" s="49"/>
      <c r="S118" s="49"/>
      <c r="T118" s="49"/>
      <c r="U118" s="52"/>
      <c r="V118" s="49"/>
      <c r="W118" s="49"/>
      <c r="X118" s="53"/>
      <c r="Y118" s="49"/>
      <c r="Z118" s="49"/>
      <c r="AA118" s="53"/>
      <c r="AB118" s="53"/>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9"/>
      <c r="BS118" s="49"/>
      <c r="BT118" s="49"/>
      <c r="BU118" s="49"/>
      <c r="BV118" s="49"/>
      <c r="BW118" s="49"/>
      <c r="BX118" s="49"/>
      <c r="BY118" s="49"/>
      <c r="BZ118" s="49"/>
      <c r="CA118" s="49"/>
      <c r="CB118" s="49"/>
      <c r="CC118" s="49"/>
      <c r="CD118" s="49"/>
      <c r="CE118" s="49"/>
      <c r="CF118" s="49"/>
      <c r="CG118" s="49"/>
      <c r="CH118" s="49"/>
      <c r="CI118" s="49"/>
      <c r="CJ118" s="49"/>
      <c r="CK118" s="49"/>
      <c r="CL118" s="49"/>
      <c r="CM118" s="49"/>
      <c r="CN118" s="49"/>
      <c r="CO118" s="49"/>
      <c r="CP118" s="49"/>
      <c r="CQ118" s="49"/>
      <c r="CR118" s="49"/>
      <c r="CS118" s="49"/>
      <c r="CT118" s="49"/>
      <c r="CU118" s="49"/>
      <c r="CV118" s="49"/>
      <c r="CW118" s="49"/>
      <c r="CX118" s="49"/>
      <c r="CY118" s="49"/>
      <c r="CZ118" s="49"/>
      <c r="DA118" s="49"/>
      <c r="DB118" s="49"/>
      <c r="DC118" s="49"/>
      <c r="DD118" s="49"/>
      <c r="DE118" s="49"/>
      <c r="DF118" s="49"/>
      <c r="DG118" s="49"/>
      <c r="DH118" s="49"/>
      <c r="DI118" s="49"/>
      <c r="DJ118" s="49"/>
      <c r="DK118" s="49"/>
      <c r="DL118" s="49"/>
      <c r="DM118" s="49"/>
      <c r="DN118" s="49"/>
      <c r="DO118" s="49"/>
      <c r="DP118" s="49"/>
      <c r="DQ118" s="49"/>
      <c r="DR118" s="49"/>
      <c r="DS118" s="49"/>
      <c r="DT118" s="49"/>
      <c r="DU118" s="49"/>
      <c r="DV118" s="49"/>
      <c r="DW118" s="49"/>
      <c r="DX118" s="49"/>
    </row>
    <row r="119" spans="1:128" ht="18" customHeight="1">
      <c r="A119" s="49"/>
      <c r="B119" s="49"/>
      <c r="C119" s="49"/>
      <c r="D119" s="49"/>
      <c r="E119" s="49"/>
      <c r="F119" s="227">
        <f>E3</f>
        <v>0</v>
      </c>
      <c r="G119" s="49" t="str">
        <f>M3</f>
        <v>男</v>
      </c>
      <c r="H119" s="228">
        <f>BW6</f>
        <v>29836</v>
      </c>
      <c r="I119" s="49"/>
      <c r="J119" s="49"/>
      <c r="K119" s="49"/>
      <c r="L119" s="49"/>
      <c r="M119" s="49"/>
      <c r="N119" s="229"/>
      <c r="O119" s="229" t="str">
        <f>LEFT(L5,3)</f>
        <v>調舒星</v>
      </c>
      <c r="P119" s="229" t="str">
        <f>LEFT(N5,3)</f>
        <v>0</v>
      </c>
      <c r="Q119" s="230"/>
      <c r="R119" s="230"/>
      <c r="S119" s="230"/>
      <c r="T119" s="49"/>
      <c r="U119" s="52"/>
      <c r="V119" s="49"/>
      <c r="W119" s="49"/>
      <c r="X119" s="53"/>
      <c r="Y119" s="49"/>
      <c r="Z119" s="49"/>
      <c r="AA119" s="53"/>
      <c r="AB119" s="53"/>
      <c r="AC119" s="49"/>
      <c r="AD119" s="49"/>
      <c r="AE119" s="49"/>
      <c r="AF119" s="49"/>
      <c r="AG119" s="49"/>
      <c r="AH119" s="49"/>
      <c r="AI119" s="49"/>
      <c r="AJ119" s="49"/>
      <c r="AK119" s="49"/>
      <c r="AL119" s="49"/>
      <c r="AM119" s="49"/>
      <c r="AN119" s="49"/>
      <c r="AO119" s="49" t="str">
        <f>AH128</f>
        <v>丁</v>
      </c>
      <c r="AP119" s="49">
        <f>P128</f>
        <v>0</v>
      </c>
      <c r="AQ119" s="49">
        <f>AH126</f>
        <v>0</v>
      </c>
      <c r="AR119" s="230"/>
      <c r="AS119" s="230"/>
      <c r="AT119" s="230"/>
      <c r="AU119" s="49"/>
      <c r="AV119" s="49"/>
      <c r="AW119" s="49"/>
      <c r="AX119" s="49"/>
      <c r="AY119" s="49"/>
      <c r="AZ119" s="49"/>
      <c r="BA119" s="49"/>
      <c r="BB119" s="49"/>
      <c r="BC119" s="49"/>
      <c r="BD119" s="49"/>
      <c r="BE119" s="49"/>
      <c r="BF119" s="49"/>
      <c r="BG119" s="49"/>
      <c r="BH119" s="49"/>
      <c r="BI119" s="230"/>
      <c r="BJ119" s="230"/>
      <c r="BK119" s="230"/>
      <c r="BL119" s="49"/>
      <c r="BM119" s="49"/>
      <c r="BN119" s="49"/>
      <c r="BO119" s="49"/>
      <c r="BP119" s="49"/>
      <c r="BQ119" s="49" t="str">
        <f>AK126</f>
        <v>壬</v>
      </c>
      <c r="BR119" s="49"/>
      <c r="BS119" s="49"/>
      <c r="BT119" s="49" t="str">
        <f>P126</f>
        <v>甲</v>
      </c>
      <c r="BU119" s="49" t="str">
        <f>M126</f>
        <v>己</v>
      </c>
      <c r="BV119" s="49"/>
      <c r="BW119" s="49" t="str">
        <f>AI124</f>
        <v>庚</v>
      </c>
      <c r="BX119" s="49" t="str">
        <f>AK124</f>
        <v>癸</v>
      </c>
      <c r="BY119" s="49" t="str">
        <f>AL124</f>
        <v>戊</v>
      </c>
      <c r="BZ119" s="49" t="str">
        <f>AF124</f>
        <v>丙</v>
      </c>
      <c r="CA119" s="49"/>
      <c r="CB119" s="49"/>
      <c r="CC119" s="49" t="str">
        <f>P124</f>
        <v>辛</v>
      </c>
      <c r="CD119" s="49" t="str">
        <f>N124</f>
        <v>戊</v>
      </c>
      <c r="CE119" s="49" t="str">
        <f>M124</f>
        <v>癸</v>
      </c>
      <c r="CF119" s="49"/>
      <c r="CG119" s="49" t="s">
        <v>407</v>
      </c>
      <c r="CH119" s="49"/>
      <c r="CI119" s="49"/>
      <c r="CJ119" s="49"/>
      <c r="CK119" s="49"/>
      <c r="CL119" s="49"/>
      <c r="CM119" s="49"/>
      <c r="CN119" s="49"/>
      <c r="CO119" s="49"/>
      <c r="CP119" s="49"/>
      <c r="CQ119" s="49"/>
      <c r="CR119" s="49"/>
      <c r="CS119" s="49"/>
      <c r="CT119" s="49"/>
      <c r="CU119" s="49"/>
      <c r="CV119" s="49"/>
      <c r="CW119" s="49"/>
      <c r="CX119" s="49"/>
      <c r="CY119" s="49"/>
      <c r="CZ119" s="49"/>
      <c r="DA119" s="49"/>
      <c r="DB119" s="49"/>
      <c r="DC119" s="49"/>
      <c r="DD119" s="49"/>
      <c r="DE119" s="49"/>
      <c r="DF119" s="49"/>
      <c r="DG119" s="49"/>
      <c r="DH119" s="49"/>
      <c r="DI119" s="49"/>
      <c r="DJ119" s="49"/>
      <c r="DK119" s="49"/>
      <c r="DL119" s="49"/>
      <c r="DM119" s="49"/>
      <c r="DN119" s="49"/>
      <c r="DO119" s="49"/>
      <c r="DP119" s="49"/>
      <c r="DQ119" s="49"/>
      <c r="DR119" s="49"/>
      <c r="DS119" s="49"/>
      <c r="DT119" s="49"/>
      <c r="DU119" s="49"/>
      <c r="DV119" s="49"/>
      <c r="DW119" s="49"/>
      <c r="DX119" s="49"/>
    </row>
    <row r="120" spans="1:128" ht="18" customHeight="1">
      <c r="A120" s="49"/>
      <c r="B120" s="49"/>
      <c r="C120" s="49"/>
      <c r="D120" s="49"/>
      <c r="E120" s="49"/>
      <c r="F120" s="49"/>
      <c r="G120" s="49"/>
      <c r="H120" s="49"/>
      <c r="I120" s="49"/>
      <c r="J120" s="49"/>
      <c r="K120" s="49"/>
      <c r="L120" s="49"/>
      <c r="M120" s="49"/>
      <c r="N120" s="229" t="str">
        <f>LEFT(J6,3)</f>
        <v>司禄星</v>
      </c>
      <c r="O120" s="229" t="str">
        <f>LEFT(L6,3)</f>
        <v>鳳閣星</v>
      </c>
      <c r="P120" s="229" t="str">
        <f>LEFT(N6,3)</f>
        <v>調舒星</v>
      </c>
      <c r="Q120" s="230"/>
      <c r="R120" s="230"/>
      <c r="S120" s="230"/>
      <c r="T120" s="49"/>
      <c r="U120" s="52"/>
      <c r="V120" s="49"/>
      <c r="W120" s="49"/>
      <c r="X120" s="53"/>
      <c r="Y120" s="49"/>
      <c r="Z120" s="49"/>
      <c r="AA120" s="53"/>
      <c r="AB120" s="53"/>
      <c r="AC120" s="49"/>
      <c r="AD120" s="49"/>
      <c r="AE120" s="49"/>
      <c r="AF120" s="49"/>
      <c r="AG120" s="49"/>
      <c r="AH120" s="49"/>
      <c r="AI120" s="49"/>
      <c r="AJ120" s="49"/>
      <c r="AK120" s="49"/>
      <c r="AL120" s="49"/>
      <c r="AM120" s="49"/>
      <c r="AN120" s="49"/>
      <c r="AO120" s="49" t="s">
        <v>293</v>
      </c>
      <c r="AP120" s="49" t="s">
        <v>311</v>
      </c>
      <c r="AQ120" s="49" t="s">
        <v>293</v>
      </c>
      <c r="AR120" s="230"/>
      <c r="AS120" s="230"/>
      <c r="AT120" s="230"/>
      <c r="AU120" s="49"/>
      <c r="AV120" s="49"/>
      <c r="AW120" s="49"/>
      <c r="AX120" s="49"/>
      <c r="AY120" s="49"/>
      <c r="AZ120" s="49"/>
      <c r="BA120" s="49"/>
      <c r="BB120" s="49"/>
      <c r="BC120" s="49"/>
      <c r="BD120" s="49"/>
      <c r="BE120" s="49"/>
      <c r="BF120" s="49"/>
      <c r="BG120" s="49"/>
      <c r="BH120" s="49"/>
      <c r="BI120" s="230"/>
      <c r="BJ120" s="230"/>
      <c r="BK120" s="230"/>
      <c r="BL120" s="49"/>
      <c r="BM120" s="49"/>
      <c r="BN120" s="49"/>
      <c r="BO120" s="49"/>
      <c r="BP120" s="49"/>
      <c r="BQ120" s="49" t="s">
        <v>408</v>
      </c>
      <c r="BR120" s="49"/>
      <c r="BS120" s="49"/>
      <c r="BT120" s="49" t="s">
        <v>409</v>
      </c>
      <c r="BU120" s="49" t="s">
        <v>311</v>
      </c>
      <c r="BV120" s="49" t="s">
        <v>293</v>
      </c>
      <c r="BW120" s="49" t="s">
        <v>410</v>
      </c>
      <c r="BX120" s="49" t="s">
        <v>411</v>
      </c>
      <c r="BY120" s="49" t="s">
        <v>412</v>
      </c>
      <c r="BZ120" s="49" t="s">
        <v>413</v>
      </c>
      <c r="CA120" s="49"/>
      <c r="CB120" s="49"/>
      <c r="CC120" s="49" t="s">
        <v>413</v>
      </c>
      <c r="CD120" s="49" t="s">
        <v>414</v>
      </c>
      <c r="CE120" s="49" t="s">
        <v>311</v>
      </c>
      <c r="CF120" s="49"/>
      <c r="CG120" s="49" t="s">
        <v>200</v>
      </c>
      <c r="CH120" s="49"/>
      <c r="CI120" s="49"/>
      <c r="CJ120" s="49"/>
      <c r="CK120" s="49"/>
      <c r="CL120" s="49"/>
      <c r="CM120" s="49"/>
      <c r="CN120" s="49"/>
      <c r="CO120" s="49"/>
      <c r="CP120" s="49"/>
      <c r="CQ120" s="49"/>
      <c r="CR120" s="49"/>
      <c r="CS120" s="49"/>
      <c r="CT120" s="49"/>
      <c r="CU120" s="49"/>
      <c r="CV120" s="49"/>
      <c r="CW120" s="49"/>
      <c r="CX120" s="49"/>
      <c r="CY120" s="49"/>
      <c r="CZ120" s="49"/>
      <c r="DA120" s="49"/>
      <c r="DB120" s="49"/>
      <c r="DC120" s="49"/>
      <c r="DD120" s="49"/>
      <c r="DE120" s="49"/>
      <c r="DF120" s="49"/>
      <c r="DG120" s="49"/>
      <c r="DH120" s="49"/>
      <c r="DI120" s="49"/>
      <c r="DJ120" s="49"/>
      <c r="DK120" s="49"/>
      <c r="DL120" s="49"/>
      <c r="DM120" s="49"/>
      <c r="DN120" s="49"/>
      <c r="DO120" s="49"/>
      <c r="DP120" s="49"/>
      <c r="DQ120" s="49"/>
      <c r="DR120" s="49"/>
      <c r="DS120" s="49"/>
      <c r="DT120" s="49"/>
      <c r="DU120" s="49"/>
      <c r="DV120" s="49"/>
      <c r="DW120" s="49"/>
      <c r="DX120" s="49"/>
    </row>
    <row r="121" spans="1:128" ht="18" customHeight="1">
      <c r="A121" s="49"/>
      <c r="B121" s="49"/>
      <c r="C121" s="49"/>
      <c r="D121" s="49"/>
      <c r="E121" s="49"/>
      <c r="F121" s="49"/>
      <c r="G121" s="49"/>
      <c r="H121" s="49"/>
      <c r="I121" s="49"/>
      <c r="J121" s="49"/>
      <c r="K121" s="49"/>
      <c r="L121" s="49"/>
      <c r="M121" s="49"/>
      <c r="N121" s="229" t="str">
        <f>LEFT(J7,3)</f>
        <v>0</v>
      </c>
      <c r="O121" s="229" t="str">
        <f>LEFT(L7,3)</f>
        <v>龍高星</v>
      </c>
      <c r="P121" s="229" t="str">
        <f>LEFT(N7,3)</f>
        <v>0</v>
      </c>
      <c r="Q121" s="230"/>
      <c r="R121" s="230"/>
      <c r="S121" s="230"/>
      <c r="T121" s="49"/>
      <c r="U121" s="52"/>
      <c r="V121" s="49"/>
      <c r="W121" s="49"/>
      <c r="X121" s="53"/>
      <c r="Y121" s="49"/>
      <c r="Z121" s="49"/>
      <c r="AA121" s="53"/>
      <c r="AB121" s="53"/>
      <c r="AC121" s="49"/>
      <c r="AD121" s="49"/>
      <c r="AE121" s="49"/>
      <c r="AF121" s="49"/>
      <c r="AG121" s="49"/>
      <c r="AH121" s="49"/>
      <c r="AI121" s="49"/>
      <c r="AJ121" s="49"/>
      <c r="AK121" s="49"/>
      <c r="AL121" s="49"/>
      <c r="AM121" s="49"/>
      <c r="AN121" s="49"/>
      <c r="AO121" s="49" t="s">
        <v>415</v>
      </c>
      <c r="AP121" s="49" t="s">
        <v>416</v>
      </c>
      <c r="AQ121" s="49" t="s">
        <v>417</v>
      </c>
      <c r="AR121" s="230"/>
      <c r="AS121" s="230"/>
      <c r="AT121" s="230"/>
      <c r="AU121" s="49"/>
      <c r="AV121" s="49"/>
      <c r="AW121" s="49"/>
      <c r="AX121" s="49"/>
      <c r="AY121" s="49"/>
      <c r="AZ121" s="49"/>
      <c r="BA121" s="49"/>
      <c r="BB121" s="49"/>
      <c r="BC121" s="49"/>
      <c r="BD121" s="49"/>
      <c r="BE121" s="49"/>
      <c r="BF121" s="49"/>
      <c r="BG121" s="49"/>
      <c r="BH121" s="49"/>
      <c r="BI121" s="230"/>
      <c r="BJ121" s="230"/>
      <c r="BK121" s="230"/>
      <c r="BL121" s="49"/>
      <c r="BM121" s="49"/>
      <c r="BN121" s="49"/>
      <c r="BO121" s="49"/>
      <c r="BP121" s="49"/>
      <c r="BQ121" s="49" t="s">
        <v>418</v>
      </c>
      <c r="BR121" s="49"/>
      <c r="BS121" s="49"/>
      <c r="BT121" s="49" t="s">
        <v>419</v>
      </c>
      <c r="BU121" s="49" t="s">
        <v>420</v>
      </c>
      <c r="BV121" s="49" t="s">
        <v>421</v>
      </c>
      <c r="BW121" s="49" t="s">
        <v>422</v>
      </c>
      <c r="BX121" s="49" t="s">
        <v>423</v>
      </c>
      <c r="BY121" s="49" t="s">
        <v>424</v>
      </c>
      <c r="BZ121" s="49" t="s">
        <v>425</v>
      </c>
      <c r="CA121" s="49"/>
      <c r="CB121" s="49"/>
      <c r="CC121" s="49" t="s">
        <v>426</v>
      </c>
      <c r="CD121" s="49" t="s">
        <v>427</v>
      </c>
      <c r="CE121" s="49" t="s">
        <v>428</v>
      </c>
      <c r="CF121" s="49"/>
      <c r="CG121" s="49"/>
      <c r="CH121" s="49"/>
      <c r="CI121" s="49"/>
      <c r="CJ121" s="49"/>
      <c r="CK121" s="49"/>
      <c r="CL121" s="49"/>
      <c r="CM121" s="49"/>
      <c r="CN121" s="49"/>
      <c r="CO121" s="49"/>
      <c r="CP121" s="49"/>
      <c r="CQ121" s="49"/>
      <c r="CR121" s="49"/>
      <c r="CS121" s="49"/>
      <c r="CT121" s="49"/>
      <c r="CU121" s="49"/>
      <c r="CV121" s="49"/>
      <c r="CW121" s="49"/>
      <c r="CX121" s="49"/>
      <c r="CY121" s="49"/>
      <c r="CZ121" s="49"/>
      <c r="DA121" s="49"/>
      <c r="DB121" s="49"/>
      <c r="DC121" s="49"/>
      <c r="DD121" s="49"/>
      <c r="DE121" s="49"/>
      <c r="DF121" s="49"/>
      <c r="DG121" s="49"/>
      <c r="DH121" s="49"/>
      <c r="DI121" s="49"/>
      <c r="DJ121" s="49"/>
      <c r="DK121" s="49"/>
      <c r="DL121" s="49"/>
      <c r="DM121" s="49"/>
      <c r="DN121" s="49"/>
      <c r="DO121" s="49"/>
      <c r="DP121" s="49"/>
      <c r="DQ121" s="49"/>
      <c r="DR121" s="49"/>
      <c r="DS121" s="49"/>
      <c r="DT121" s="49"/>
      <c r="DU121" s="49"/>
      <c r="DV121" s="49"/>
      <c r="DW121" s="49"/>
      <c r="DX121" s="49"/>
    </row>
    <row r="122" spans="1:128" ht="18" customHeight="1">
      <c r="A122" s="49"/>
      <c r="B122" s="49"/>
      <c r="C122" s="49"/>
      <c r="D122" s="49"/>
      <c r="E122" s="49"/>
      <c r="F122" s="49"/>
      <c r="G122" s="49"/>
      <c r="H122" s="49"/>
      <c r="I122" s="49"/>
      <c r="J122" s="49"/>
      <c r="K122" s="49"/>
      <c r="L122" s="49"/>
      <c r="M122" s="49"/>
      <c r="N122" s="49"/>
      <c r="O122" s="49"/>
      <c r="P122" s="49"/>
      <c r="Q122" s="49"/>
      <c r="R122" s="49"/>
      <c r="S122" s="49"/>
      <c r="T122" s="49"/>
      <c r="U122" s="52"/>
      <c r="V122" s="49"/>
      <c r="W122" s="49"/>
      <c r="X122" s="53"/>
      <c r="Y122" s="49"/>
      <c r="Z122" s="49"/>
      <c r="AA122" s="53"/>
      <c r="AB122" s="53"/>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9"/>
      <c r="BS122" s="49"/>
      <c r="BT122" s="49"/>
      <c r="BU122" s="49"/>
      <c r="BV122" s="49"/>
      <c r="BW122" s="49"/>
      <c r="BX122" s="49"/>
      <c r="BY122" s="49"/>
      <c r="BZ122" s="49"/>
      <c r="CA122" s="49"/>
      <c r="CB122" s="49"/>
      <c r="CC122" s="49"/>
      <c r="CD122" s="49"/>
      <c r="CE122" s="49"/>
      <c r="CF122" s="49"/>
      <c r="CG122" s="49"/>
      <c r="CH122" s="49"/>
      <c r="CI122" s="49"/>
      <c r="CJ122" s="49"/>
      <c r="CK122" s="49"/>
      <c r="CL122" s="49"/>
      <c r="CM122" s="49"/>
      <c r="CN122" s="49"/>
      <c r="CO122" s="49"/>
      <c r="CP122" s="49"/>
      <c r="CQ122" s="49"/>
      <c r="CR122" s="49"/>
      <c r="CS122" s="49"/>
      <c r="CT122" s="49"/>
      <c r="CU122" s="49"/>
      <c r="CV122" s="49"/>
      <c r="CW122" s="49"/>
      <c r="CX122" s="49"/>
      <c r="CY122" s="49"/>
      <c r="CZ122" s="49"/>
      <c r="DA122" s="49"/>
      <c r="DB122" s="49"/>
      <c r="DC122" s="49"/>
      <c r="DD122" s="49"/>
      <c r="DE122" s="49"/>
      <c r="DF122" s="49"/>
      <c r="DG122" s="49"/>
      <c r="DH122" s="49"/>
      <c r="DI122" s="49"/>
      <c r="DJ122" s="49"/>
      <c r="DK122" s="49"/>
      <c r="DL122" s="49"/>
      <c r="DM122" s="49"/>
      <c r="DN122" s="49"/>
      <c r="DO122" s="49"/>
      <c r="DP122" s="49"/>
      <c r="DQ122" s="49"/>
      <c r="DR122" s="49"/>
      <c r="DS122" s="49"/>
      <c r="DT122" s="49"/>
      <c r="DU122" s="49"/>
      <c r="DV122" s="49"/>
      <c r="DW122" s="49"/>
      <c r="DX122" s="49"/>
    </row>
    <row r="123" spans="1:128" ht="18" customHeight="1">
      <c r="A123" s="49"/>
      <c r="B123" s="49"/>
      <c r="C123" s="49"/>
      <c r="D123" s="49"/>
      <c r="E123" s="49"/>
      <c r="F123" s="49"/>
      <c r="G123" s="49"/>
      <c r="H123" s="49"/>
      <c r="I123" s="49"/>
      <c r="J123" s="49"/>
      <c r="K123" s="49"/>
      <c r="L123" s="49"/>
      <c r="M123" s="155">
        <f>DH206</f>
        <v>0</v>
      </c>
      <c r="N123" s="155">
        <f>DG206</f>
        <v>0</v>
      </c>
      <c r="O123" s="155"/>
      <c r="P123" s="155">
        <f>DF206</f>
        <v>0</v>
      </c>
      <c r="Q123" s="155"/>
      <c r="R123" s="155"/>
      <c r="S123" s="155"/>
      <c r="T123" s="49"/>
      <c r="U123" s="52"/>
      <c r="V123" s="49"/>
      <c r="W123" s="49"/>
      <c r="X123" s="53"/>
      <c r="Y123" s="49"/>
      <c r="Z123" s="49"/>
      <c r="AA123" s="53"/>
      <c r="AB123" s="53"/>
      <c r="AC123" s="49"/>
      <c r="AD123" s="49"/>
      <c r="AE123" s="49"/>
      <c r="AF123" s="155" t="str">
        <f>DE206</f>
        <v>辛</v>
      </c>
      <c r="AG123" s="155"/>
      <c r="AH123" s="143" t="str">
        <f>DA206</f>
        <v>庚</v>
      </c>
      <c r="AI123" s="143" t="str">
        <f>DB206</f>
        <v>癸</v>
      </c>
      <c r="AJ123" s="155"/>
      <c r="AK123" s="143" t="str">
        <f>DC206</f>
        <v>戊</v>
      </c>
      <c r="AL123" s="143" t="str">
        <f>DD206</f>
        <v>丙</v>
      </c>
      <c r="AM123" s="124"/>
      <c r="AN123" s="100"/>
      <c r="AO123" s="100">
        <f>表裏星座一覧!L5</f>
        <v>0</v>
      </c>
      <c r="AP123" s="100" t="str">
        <f>RIGHT(表裏星座一覧!N5,3)</f>
        <v/>
      </c>
      <c r="AQ123" s="49"/>
      <c r="AR123" s="155"/>
      <c r="AS123" s="155"/>
      <c r="AT123" s="155"/>
      <c r="AU123" s="49"/>
      <c r="AV123" s="49"/>
      <c r="AW123" s="49"/>
      <c r="AX123" s="49"/>
      <c r="AY123" s="49"/>
      <c r="AZ123" s="49"/>
      <c r="BA123" s="49"/>
      <c r="BB123" s="49"/>
      <c r="BC123" s="49"/>
      <c r="BD123" s="49"/>
      <c r="BE123" s="49"/>
      <c r="BF123" s="49"/>
      <c r="BG123" s="49"/>
      <c r="BH123" s="49"/>
      <c r="BI123" s="155"/>
      <c r="BJ123" s="155"/>
      <c r="BK123" s="155"/>
      <c r="BL123" s="49"/>
      <c r="BM123" s="49"/>
      <c r="BN123" s="49"/>
      <c r="BO123" s="49"/>
      <c r="BP123" s="49"/>
      <c r="BQ123" s="49"/>
      <c r="BR123" s="49"/>
      <c r="BS123" s="49"/>
      <c r="BT123" s="49"/>
      <c r="BU123" s="49"/>
      <c r="BV123" s="49"/>
      <c r="BW123" s="49"/>
      <c r="BX123" s="49"/>
      <c r="BY123" s="49"/>
      <c r="BZ123" s="49"/>
      <c r="CA123" s="49"/>
      <c r="CB123" s="49"/>
      <c r="CC123" s="49"/>
      <c r="CD123" s="49"/>
      <c r="CE123" s="49"/>
      <c r="CF123" s="49"/>
      <c r="CG123" s="49"/>
      <c r="CH123" s="49"/>
      <c r="CI123" s="49"/>
      <c r="CJ123" s="49"/>
      <c r="CK123" s="49"/>
      <c r="CL123" s="49"/>
      <c r="CM123" s="49"/>
      <c r="CN123" s="49"/>
      <c r="CO123" s="49"/>
      <c r="CP123" s="49"/>
      <c r="CQ123" s="49"/>
      <c r="CR123" s="49"/>
      <c r="CS123" s="49"/>
      <c r="CT123" s="49"/>
      <c r="CU123" s="49"/>
      <c r="CV123" s="49"/>
      <c r="CW123" s="49"/>
      <c r="CX123" s="49"/>
      <c r="CY123" s="49"/>
      <c r="CZ123" s="49"/>
      <c r="DA123" s="49"/>
      <c r="DB123" s="49"/>
      <c r="DC123" s="49"/>
      <c r="DD123" s="49"/>
      <c r="DE123" s="49"/>
      <c r="DF123" s="49"/>
      <c r="DG123" s="49"/>
      <c r="DH123" s="49"/>
      <c r="DI123" s="49"/>
      <c r="DJ123" s="49"/>
      <c r="DK123" s="49"/>
      <c r="DL123" s="49"/>
      <c r="DM123" s="49"/>
      <c r="DN123" s="49"/>
      <c r="DO123" s="49"/>
      <c r="DP123" s="49"/>
      <c r="DQ123" s="49"/>
      <c r="DR123" s="49"/>
      <c r="DS123" s="49"/>
      <c r="DT123" s="49"/>
      <c r="DU123" s="49"/>
      <c r="DV123" s="49"/>
      <c r="DW123" s="49"/>
      <c r="DX123" s="49"/>
    </row>
    <row r="124" spans="1:128" ht="18" customHeight="1">
      <c r="A124" s="49"/>
      <c r="B124" s="49"/>
      <c r="C124" s="49"/>
      <c r="D124" s="49"/>
      <c r="E124" s="49"/>
      <c r="F124" s="49"/>
      <c r="G124" s="49"/>
      <c r="H124" s="49"/>
      <c r="I124" s="49"/>
      <c r="J124" s="49"/>
      <c r="K124" s="49"/>
      <c r="L124" s="49"/>
      <c r="M124" s="231" t="str">
        <f>VLOOKUP($F$6&amp;$M$3,$BY$204:$DE$223,31,FALSE)</f>
        <v>癸</v>
      </c>
      <c r="N124" s="231" t="str">
        <f>VLOOKUP($F$6&amp;$M$3,$BY$204:$DE$223,30,FALSE)</f>
        <v>戊</v>
      </c>
      <c r="O124" s="49"/>
      <c r="P124" s="231" t="str">
        <f>VLOOKUP($F$6&amp;$M$3,$BY$204:$DE$223,29,FALSE)</f>
        <v>辛</v>
      </c>
      <c r="Q124" s="232"/>
      <c r="R124" s="232"/>
      <c r="S124" s="232"/>
      <c r="T124" s="49"/>
      <c r="U124" s="52"/>
      <c r="V124" s="49"/>
      <c r="W124" s="49"/>
      <c r="X124" s="53"/>
      <c r="Y124" s="49"/>
      <c r="Z124" s="49"/>
      <c r="AA124" s="53"/>
      <c r="AB124" s="53"/>
      <c r="AC124" s="49"/>
      <c r="AD124" s="49"/>
      <c r="AE124" s="49"/>
      <c r="AF124" s="231" t="str">
        <f>VLOOKUP($F$6&amp;$M$3,$BY$204:$DE$223,28,FALSE)</f>
        <v>丙</v>
      </c>
      <c r="AG124" s="49"/>
      <c r="AH124" s="231" t="str">
        <f>VLOOKUP($F$6&amp;$M$3,$BY$204:$DE$223,24,FALSE)</f>
        <v>乙</v>
      </c>
      <c r="AI124" s="231" t="str">
        <f>VLOOKUP($F$6&amp;$M$3,$BY$204:$DE$223,25,FALSE)</f>
        <v>庚</v>
      </c>
      <c r="AJ124" s="49"/>
      <c r="AK124" s="231" t="str">
        <f>VLOOKUP($F$6&amp;$M$3,$BY$204:$DE$223,26,FALSE)</f>
        <v>癸</v>
      </c>
      <c r="AL124" s="231" t="str">
        <f>VLOOKUP($F$6&amp;$M$3,$BY$204:$DE$223,27,FALSE)</f>
        <v>戊</v>
      </c>
      <c r="AM124" s="124"/>
      <c r="AN124" s="100">
        <f>表裏星座一覧!J6</f>
        <v>0</v>
      </c>
      <c r="AO124" s="100">
        <f>表裏星座一覧!L6</f>
        <v>0</v>
      </c>
      <c r="AP124" s="100">
        <f>表裏星座一覧!N6</f>
        <v>0</v>
      </c>
      <c r="AQ124" s="49"/>
      <c r="AR124" s="232"/>
      <c r="AS124" s="232"/>
      <c r="AT124" s="232"/>
      <c r="AU124" s="49"/>
      <c r="AV124" s="49"/>
      <c r="AW124" s="49"/>
      <c r="AX124" s="49"/>
      <c r="AY124" s="49"/>
      <c r="AZ124" s="49"/>
      <c r="BA124" s="49"/>
      <c r="BB124" s="49"/>
      <c r="BC124" s="49"/>
      <c r="BD124" s="49"/>
      <c r="BE124" s="49"/>
      <c r="BF124" s="49"/>
      <c r="BG124" s="49"/>
      <c r="BH124" s="49"/>
      <c r="BI124" s="232"/>
      <c r="BJ124" s="232"/>
      <c r="BK124" s="232"/>
      <c r="BL124" s="49"/>
      <c r="BM124" s="49"/>
      <c r="BN124" s="49"/>
      <c r="BO124" s="49"/>
      <c r="BP124" s="49"/>
      <c r="BQ124" s="49"/>
      <c r="BR124" s="49"/>
      <c r="BS124" s="49"/>
      <c r="BT124" s="49"/>
      <c r="BU124" s="49"/>
      <c r="BV124" s="49"/>
      <c r="BW124" s="49"/>
      <c r="BX124" s="49"/>
      <c r="BY124" s="49"/>
      <c r="BZ124" s="49"/>
      <c r="CA124" s="49"/>
      <c r="CB124" s="49"/>
      <c r="CC124" s="49"/>
      <c r="CD124" s="49"/>
      <c r="CE124" s="49"/>
      <c r="CF124" s="49"/>
      <c r="CG124" s="49"/>
      <c r="CH124" s="49"/>
      <c r="CI124" s="49"/>
      <c r="CJ124" s="49"/>
      <c r="CK124" s="49"/>
      <c r="CL124" s="49"/>
      <c r="CM124" s="49"/>
      <c r="CN124" s="49"/>
      <c r="CO124" s="49"/>
      <c r="CP124" s="49"/>
      <c r="CQ124" s="49"/>
      <c r="CR124" s="49"/>
      <c r="CS124" s="49"/>
      <c r="CT124" s="49"/>
      <c r="CU124" s="49"/>
      <c r="CV124" s="49"/>
      <c r="CW124" s="49"/>
      <c r="CX124" s="49"/>
      <c r="CY124" s="49"/>
      <c r="CZ124" s="49"/>
      <c r="DA124" s="49"/>
      <c r="DB124" s="49"/>
      <c r="DC124" s="49"/>
      <c r="DD124" s="49"/>
      <c r="DE124" s="49"/>
      <c r="DF124" s="49"/>
      <c r="DG124" s="49"/>
      <c r="DH124" s="49"/>
      <c r="DI124" s="49"/>
      <c r="DJ124" s="49"/>
      <c r="DK124" s="49"/>
      <c r="DL124" s="49"/>
      <c r="DM124" s="49"/>
      <c r="DN124" s="49"/>
      <c r="DO124" s="49"/>
      <c r="DP124" s="49"/>
      <c r="DQ124" s="49"/>
      <c r="DR124" s="49"/>
      <c r="DS124" s="49"/>
      <c r="DT124" s="49"/>
      <c r="DU124" s="49"/>
      <c r="DV124" s="49"/>
      <c r="DW124" s="49"/>
      <c r="DX124" s="49"/>
    </row>
    <row r="125" spans="1:128" ht="18" customHeight="1" thickBot="1">
      <c r="A125" s="49"/>
      <c r="B125" s="49"/>
      <c r="C125" s="49"/>
      <c r="D125" s="49"/>
      <c r="E125" s="233">
        <f>IF(F5&lt;13,F5,IF(F5&lt;25,F5-12,IF(F5&lt;37,F5-24,IF(F5&lt;49,F5-36,F5-48))))</f>
        <v>1</v>
      </c>
      <c r="F125" s="186">
        <f>IF(G5&lt;13,G5,IF(G5&lt;25,G5-12,IF(G5&lt;37,G5-24,IF(G5&lt;49,G5-36,G5-48))))</f>
        <v>9</v>
      </c>
      <c r="G125" s="186">
        <f>IF(H5&lt;13,H5,IF(H5&lt;25,H5-12,IF(H5&lt;37,H5-24,IF(H5&lt;49,H5-36,H5-48))))</f>
        <v>10</v>
      </c>
      <c r="H125" s="49"/>
      <c r="I125" s="49"/>
      <c r="J125" s="49"/>
      <c r="K125" s="49"/>
      <c r="L125" s="49"/>
      <c r="M125" s="234" t="s">
        <v>429</v>
      </c>
      <c r="N125" s="49"/>
      <c r="O125" s="49"/>
      <c r="P125" s="234" t="s">
        <v>430</v>
      </c>
      <c r="Q125" s="234"/>
      <c r="R125" s="234"/>
      <c r="S125" s="234"/>
      <c r="T125" s="49"/>
      <c r="U125" s="52"/>
      <c r="V125" s="49"/>
      <c r="W125" s="49"/>
      <c r="X125" s="53"/>
      <c r="Y125" s="49"/>
      <c r="Z125" s="49"/>
      <c r="AA125" s="53"/>
      <c r="AB125" s="53"/>
      <c r="AC125" s="49"/>
      <c r="AD125" s="49"/>
      <c r="AE125" s="49"/>
      <c r="AF125" s="49"/>
      <c r="AG125" s="49"/>
      <c r="AH125" s="234" t="s">
        <v>430</v>
      </c>
      <c r="AI125" s="49"/>
      <c r="AJ125" s="49"/>
      <c r="AK125" s="234" t="s">
        <v>429</v>
      </c>
      <c r="AL125" s="49"/>
      <c r="AM125" s="49"/>
      <c r="AN125" s="100" t="str">
        <f>RIGHT(表裏星座一覧!J7,3)</f>
        <v/>
      </c>
      <c r="AO125" s="100">
        <f>表裏星座一覧!L7</f>
        <v>0</v>
      </c>
      <c r="AP125" s="100" t="str">
        <f>RIGHT(表裏星座一覧!N7,3)</f>
        <v/>
      </c>
      <c r="AQ125" s="49"/>
      <c r="AR125" s="234"/>
      <c r="AS125" s="234"/>
      <c r="AT125" s="234"/>
      <c r="AU125" s="49"/>
      <c r="AV125" s="49"/>
      <c r="AW125" s="49"/>
      <c r="AX125" s="49"/>
      <c r="AY125" s="49"/>
      <c r="AZ125" s="49"/>
      <c r="BA125" s="49"/>
      <c r="BB125" s="49"/>
      <c r="BC125" s="49"/>
      <c r="BD125" s="49"/>
      <c r="BE125" s="49"/>
      <c r="BF125" s="49"/>
      <c r="BG125" s="49"/>
      <c r="BH125" s="49"/>
      <c r="BI125" s="234"/>
      <c r="BJ125" s="234"/>
      <c r="BK125" s="234"/>
      <c r="BL125" s="49"/>
      <c r="BM125" s="49"/>
      <c r="BN125" s="49"/>
      <c r="BO125" s="49"/>
      <c r="BP125" s="49"/>
      <c r="BQ125" s="49" t="s">
        <v>431</v>
      </c>
      <c r="BR125" s="49"/>
      <c r="BS125" s="49"/>
      <c r="BT125" s="49"/>
      <c r="BU125" s="49"/>
      <c r="BV125" s="49"/>
      <c r="BW125" s="49" t="s">
        <v>432</v>
      </c>
      <c r="BX125" s="49"/>
      <c r="BY125" s="49"/>
      <c r="BZ125" s="49" t="s">
        <v>433</v>
      </c>
      <c r="CA125" s="49"/>
      <c r="CB125" s="49"/>
      <c r="CC125" s="49"/>
      <c r="CD125" s="49"/>
      <c r="CE125" s="49"/>
      <c r="CF125" s="49" t="s">
        <v>434</v>
      </c>
      <c r="CG125" s="49"/>
      <c r="CH125" s="49"/>
      <c r="CI125" s="49"/>
      <c r="CJ125" s="49" t="s">
        <v>435</v>
      </c>
      <c r="CK125" s="49"/>
      <c r="CL125" s="49"/>
      <c r="CM125" s="49"/>
      <c r="CN125" s="49"/>
      <c r="CO125" s="49" t="s">
        <v>436</v>
      </c>
      <c r="CP125" s="49"/>
      <c r="CQ125" s="49"/>
      <c r="CR125" s="49"/>
      <c r="CS125" s="49"/>
      <c r="CT125" s="49"/>
      <c r="CU125" s="49"/>
      <c r="CV125" s="49"/>
      <c r="CW125" s="49"/>
      <c r="CX125" s="49"/>
      <c r="CY125" s="49"/>
      <c r="CZ125" s="49"/>
      <c r="DA125" s="49"/>
      <c r="DB125" s="49"/>
      <c r="DC125" s="49"/>
      <c r="DD125" s="49"/>
      <c r="DE125" s="49"/>
      <c r="DF125" s="49"/>
      <c r="DG125" s="49"/>
      <c r="DH125" s="49"/>
      <c r="DI125" s="49"/>
      <c r="DJ125" s="49"/>
      <c r="DK125" s="49"/>
      <c r="DL125" s="49"/>
      <c r="DM125" s="49"/>
      <c r="DN125" s="49"/>
      <c r="DO125" s="49"/>
      <c r="DP125" s="49"/>
      <c r="DQ125" s="49"/>
      <c r="DR125" s="49"/>
      <c r="DS125" s="49"/>
      <c r="DT125" s="49"/>
      <c r="DU125" s="49"/>
      <c r="DV125" s="49"/>
      <c r="DW125" s="49"/>
      <c r="DX125" s="49"/>
    </row>
    <row r="126" spans="1:128" ht="18" customHeight="1" thickBot="1">
      <c r="A126" s="49"/>
      <c r="B126" s="49"/>
      <c r="C126" s="49"/>
      <c r="D126" s="49"/>
      <c r="E126" s="49"/>
      <c r="F126" s="49"/>
      <c r="G126" s="49"/>
      <c r="H126" s="49"/>
      <c r="I126" s="49"/>
      <c r="J126" s="49"/>
      <c r="K126" s="49"/>
      <c r="L126" s="49"/>
      <c r="M126" s="231" t="str">
        <f>VLOOKUP($G$129&amp;$M$3,$BY$204:$CW$223,7,FALSE)</f>
        <v>己</v>
      </c>
      <c r="N126" s="235" t="e">
        <f>VLOOKUP(AK125&amp;AF126,O191:AF201,3,FALSE)</f>
        <v>#N/A</v>
      </c>
      <c r="O126" s="95" t="s">
        <v>107</v>
      </c>
      <c r="P126" s="231" t="str">
        <f>VLOOKUP(G129&amp;M3,$BY$204:$CW$223,6,FALSE)</f>
        <v>甲</v>
      </c>
      <c r="Q126" s="232"/>
      <c r="R126" s="232"/>
      <c r="S126" s="232"/>
      <c r="T126" s="49"/>
      <c r="U126" s="52"/>
      <c r="V126" s="49"/>
      <c r="W126" s="49"/>
      <c r="X126" s="53"/>
      <c r="Y126" s="49"/>
      <c r="Z126" s="49"/>
      <c r="AA126" s="53"/>
      <c r="AB126" s="53"/>
      <c r="AC126" s="49"/>
      <c r="AD126" s="49"/>
      <c r="AE126" s="49"/>
      <c r="AF126" s="235" t="e">
        <f>VLOOKUP(P125&amp;AF128,O180:AF189,3,FALSE)</f>
        <v>#N/A</v>
      </c>
      <c r="AG126" s="49"/>
      <c r="AH126" s="231">
        <f>VLOOKUP(G129&amp;M3,$BY$204:$CW$223,4,FALSE)</f>
        <v>0</v>
      </c>
      <c r="AI126" s="235" t="e">
        <f>VLOOKUP(AH125&amp;AI128,O180:AF189,3,FALSE)</f>
        <v>#N/A</v>
      </c>
      <c r="AJ126" s="95" t="s">
        <v>107</v>
      </c>
      <c r="AK126" s="231" t="str">
        <f>VLOOKUP(G129&amp;M3,$BY$204:$CW$223,5,FALSE)</f>
        <v>壬</v>
      </c>
      <c r="AL126" s="235" t="e">
        <f>VLOOKUP(AK125&amp;AI126,O191:AF201,3,FALSE)</f>
        <v>#N/A</v>
      </c>
      <c r="AM126" s="49"/>
      <c r="AN126" s="49"/>
      <c r="AO126" s="49"/>
      <c r="AP126" s="49"/>
      <c r="AQ126" s="49"/>
      <c r="AR126" s="232"/>
      <c r="AS126" s="232"/>
      <c r="AT126" s="232"/>
      <c r="AU126" s="49"/>
      <c r="AV126" s="49"/>
      <c r="AW126" s="49"/>
      <c r="AX126" s="49"/>
      <c r="AY126" s="49"/>
      <c r="AZ126" s="49"/>
      <c r="BA126" s="49"/>
      <c r="BB126" s="49"/>
      <c r="BC126" s="49"/>
      <c r="BD126" s="49"/>
      <c r="BE126" s="49"/>
      <c r="BF126" s="49"/>
      <c r="BG126" s="49"/>
      <c r="BH126" s="49"/>
      <c r="BI126" s="232"/>
      <c r="BJ126" s="232"/>
      <c r="BK126" s="232"/>
      <c r="BL126" s="49"/>
      <c r="BM126" s="49"/>
      <c r="BN126" s="49"/>
      <c r="BO126" s="49"/>
      <c r="BP126" s="49"/>
      <c r="BQ126" s="49">
        <f>IF(L130=$BQ$125,1,0)</f>
        <v>0</v>
      </c>
      <c r="BR126" s="49"/>
      <c r="BS126" s="49"/>
      <c r="BT126" s="49"/>
      <c r="BU126" s="49"/>
      <c r="BV126" s="49"/>
      <c r="BW126" s="49">
        <f>IF(L130=$BW$125,1,0)</f>
        <v>0</v>
      </c>
      <c r="BX126" s="49"/>
      <c r="BY126" s="49"/>
      <c r="BZ126" s="49">
        <f>IF(L130=$BZ$125,1,0)</f>
        <v>0</v>
      </c>
      <c r="CA126" s="49"/>
      <c r="CB126" s="49"/>
      <c r="CC126" s="49"/>
      <c r="CD126" s="49"/>
      <c r="CE126" s="49"/>
      <c r="CF126" s="49">
        <f>IF(M130=$CF$125,1,0)</f>
        <v>0</v>
      </c>
      <c r="CG126" s="49"/>
      <c r="CH126" s="49"/>
      <c r="CI126" s="49"/>
      <c r="CJ126" s="49">
        <f>IF(M130=$CJ$125,1,0)</f>
        <v>0</v>
      </c>
      <c r="CK126" s="49"/>
      <c r="CL126" s="49"/>
      <c r="CM126" s="49"/>
      <c r="CN126" s="49"/>
      <c r="CO126" s="49">
        <f>IF(M130=$CO$125,1,0)</f>
        <v>0</v>
      </c>
      <c r="CP126" s="49"/>
      <c r="CQ126" s="49"/>
      <c r="CR126" s="49"/>
      <c r="CS126" s="49"/>
      <c r="CT126" s="49"/>
      <c r="CU126" s="49"/>
      <c r="CV126" s="49"/>
      <c r="CW126" s="49"/>
      <c r="CX126" s="49"/>
      <c r="CY126" s="49"/>
      <c r="CZ126" s="49"/>
      <c r="DA126" s="49"/>
      <c r="DB126" s="49"/>
      <c r="DC126" s="49"/>
      <c r="DD126" s="49"/>
      <c r="DE126" s="49"/>
      <c r="DF126" s="49"/>
      <c r="DG126" s="49"/>
      <c r="DH126" s="49"/>
      <c r="DI126" s="49"/>
      <c r="DJ126" s="49"/>
      <c r="DK126" s="49"/>
      <c r="DL126" s="49"/>
      <c r="DM126" s="49"/>
      <c r="DN126" s="49"/>
      <c r="DO126" s="49"/>
      <c r="DP126" s="49"/>
      <c r="DQ126" s="49"/>
      <c r="DR126" s="49"/>
      <c r="DS126" s="49"/>
      <c r="DT126" s="49"/>
      <c r="DU126" s="49"/>
      <c r="DV126" s="49"/>
      <c r="DW126" s="49"/>
      <c r="DX126" s="49"/>
    </row>
    <row r="127" spans="1:128" ht="18" customHeight="1" thickBot="1">
      <c r="A127" s="49"/>
      <c r="B127" s="49"/>
      <c r="C127" s="49"/>
      <c r="D127" s="49"/>
      <c r="E127" s="49"/>
      <c r="F127" s="49"/>
      <c r="G127" s="49"/>
      <c r="H127" s="49"/>
      <c r="I127" s="49"/>
      <c r="J127" s="49"/>
      <c r="K127" s="49"/>
      <c r="L127" s="49"/>
      <c r="M127" s="155"/>
      <c r="N127" s="155"/>
      <c r="O127" s="155"/>
      <c r="P127" s="236" t="s">
        <v>416</v>
      </c>
      <c r="Q127" s="236"/>
      <c r="R127" s="236"/>
      <c r="S127" s="236"/>
      <c r="T127" s="124"/>
      <c r="U127" s="237"/>
      <c r="V127" s="124"/>
      <c r="W127" s="124"/>
      <c r="X127" s="238"/>
      <c r="Y127" s="124"/>
      <c r="Z127" s="124"/>
      <c r="AA127" s="238"/>
      <c r="AB127" s="238"/>
      <c r="AC127" s="124"/>
      <c r="AD127" s="124"/>
      <c r="AE127" s="124"/>
      <c r="AF127" s="143" t="s">
        <v>220</v>
      </c>
      <c r="AG127" s="49"/>
      <c r="AH127" s="239" t="s">
        <v>415</v>
      </c>
      <c r="AI127" s="143" t="s">
        <v>220</v>
      </c>
      <c r="AJ127" s="155"/>
      <c r="AK127" s="236" t="s">
        <v>437</v>
      </c>
      <c r="AL127" s="155"/>
      <c r="AM127" s="143"/>
      <c r="AN127" s="236" t="s">
        <v>438</v>
      </c>
      <c r="AO127" s="49"/>
      <c r="AP127" s="49"/>
      <c r="AQ127" s="49">
        <f>IF(K131=$BQ$125,1,0)</f>
        <v>0</v>
      </c>
      <c r="AR127" s="236"/>
      <c r="AS127" s="236"/>
      <c r="AT127" s="236"/>
      <c r="AU127" s="49"/>
      <c r="AV127" s="49"/>
      <c r="AW127" s="49"/>
      <c r="AX127" s="49"/>
      <c r="AY127" s="49"/>
      <c r="AZ127" s="49"/>
      <c r="BA127" s="49"/>
      <c r="BB127" s="49"/>
      <c r="BC127" s="49"/>
      <c r="BD127" s="49"/>
      <c r="BE127" s="49"/>
      <c r="BF127" s="49"/>
      <c r="BG127" s="49"/>
      <c r="BH127" s="49"/>
      <c r="BI127" s="236"/>
      <c r="BJ127" s="236"/>
      <c r="BK127" s="236"/>
      <c r="BL127" s="49"/>
      <c r="BM127" s="49"/>
      <c r="BN127" s="49"/>
      <c r="BO127" s="49"/>
      <c r="BP127" s="49"/>
      <c r="BQ127" s="49">
        <f>IF(L131=$BQ$125,1,0)</f>
        <v>0</v>
      </c>
      <c r="BR127" s="49"/>
      <c r="BS127" s="49"/>
      <c r="BT127" s="49">
        <f>IF(M131=$BQ$125,1,0)</f>
        <v>0</v>
      </c>
      <c r="BU127" s="49"/>
      <c r="BV127" s="49">
        <f>IF(K131=$BW$125,1,0)</f>
        <v>1</v>
      </c>
      <c r="BW127" s="49">
        <f>IF(L131=$BW$125,1,0)</f>
        <v>0</v>
      </c>
      <c r="BX127" s="49">
        <f>IF(M131=$BW$125,1,0)</f>
        <v>0</v>
      </c>
      <c r="BY127" s="49">
        <f>IF(K131=$BZ$125,1,0)</f>
        <v>0</v>
      </c>
      <c r="BZ127" s="49">
        <f>IF(L131=$BZ$125,1,0)</f>
        <v>0</v>
      </c>
      <c r="CA127" s="49"/>
      <c r="CB127" s="49"/>
      <c r="CC127" s="49">
        <f>IF(M131=$BZ$125,1,0)</f>
        <v>0</v>
      </c>
      <c r="CD127" s="49"/>
      <c r="CE127" s="49">
        <f>IF(L131=$CF$125,1,0)</f>
        <v>1</v>
      </c>
      <c r="CF127" s="49">
        <f>IF(M131=$CF$125,1,0)</f>
        <v>0</v>
      </c>
      <c r="CG127" s="49">
        <f>IF(N131=$CF$125,1,0)</f>
        <v>0</v>
      </c>
      <c r="CH127" s="49"/>
      <c r="CI127" s="49">
        <f>IF(L131=$CJ$125,1,0)</f>
        <v>0</v>
      </c>
      <c r="CJ127" s="49">
        <f>IF(M131=$CJ$125,1,0)</f>
        <v>1</v>
      </c>
      <c r="CK127" s="49">
        <f>IF(N131=$CJ$125,1,0)</f>
        <v>0</v>
      </c>
      <c r="CL127" s="49"/>
      <c r="CM127" s="49"/>
      <c r="CN127" s="49">
        <f>IF(L131=$CO$125,1,0)</f>
        <v>0</v>
      </c>
      <c r="CO127" s="49">
        <f>IF(M131=$CO$125,1,0)</f>
        <v>0</v>
      </c>
      <c r="CP127" s="49">
        <f>IF(N131=$CO$125,1,0)</f>
        <v>0</v>
      </c>
      <c r="CQ127" s="49"/>
      <c r="CR127" s="49"/>
      <c r="CS127" s="49"/>
      <c r="CT127" s="124"/>
      <c r="CU127" s="124"/>
      <c r="CV127" s="124"/>
      <c r="CW127" s="124"/>
      <c r="CX127" s="124"/>
      <c r="CY127" s="124"/>
      <c r="CZ127" s="124"/>
      <c r="DA127" s="124"/>
      <c r="DB127" s="124"/>
      <c r="DC127" s="124"/>
      <c r="DD127" s="124"/>
      <c r="DE127" s="124"/>
      <c r="DF127" s="124"/>
      <c r="DG127" s="124"/>
      <c r="DH127" s="124"/>
      <c r="DI127" s="124"/>
      <c r="DJ127" s="49"/>
      <c r="DK127" s="49"/>
      <c r="DL127" s="49"/>
      <c r="DM127" s="49"/>
      <c r="DN127" s="49"/>
      <c r="DO127" s="49"/>
      <c r="DP127" s="49"/>
      <c r="DQ127" s="49"/>
      <c r="DR127" s="49"/>
      <c r="DS127" s="49"/>
      <c r="DT127" s="49"/>
      <c r="DU127" s="49"/>
      <c r="DV127" s="49"/>
      <c r="DW127" s="49"/>
      <c r="DX127" s="49"/>
    </row>
    <row r="128" spans="1:128" ht="18" customHeight="1" thickBot="1">
      <c r="A128" s="49"/>
      <c r="B128" s="49"/>
      <c r="C128" s="49"/>
      <c r="D128" s="49"/>
      <c r="E128" s="49"/>
      <c r="F128" s="240"/>
      <c r="G128" s="241" t="s">
        <v>439</v>
      </c>
      <c r="H128" s="241" t="s">
        <v>440</v>
      </c>
      <c r="I128" s="242" t="s">
        <v>441</v>
      </c>
      <c r="J128" s="49"/>
      <c r="K128" s="49"/>
      <c r="L128" s="49"/>
      <c r="M128" s="155"/>
      <c r="N128" s="155"/>
      <c r="O128" s="155"/>
      <c r="P128" s="231">
        <f>VLOOKUP(G129&amp;M3,$BY$204:$CW$223,3,FALSE)</f>
        <v>0</v>
      </c>
      <c r="Q128" s="232"/>
      <c r="R128" s="232"/>
      <c r="S128" s="232"/>
      <c r="T128" s="124"/>
      <c r="U128" s="237"/>
      <c r="V128" s="124"/>
      <c r="W128" s="124"/>
      <c r="X128" s="238"/>
      <c r="Y128" s="124"/>
      <c r="Z128" s="124"/>
      <c r="AA128" s="238"/>
      <c r="AB128" s="238"/>
      <c r="AC128" s="124"/>
      <c r="AD128" s="124"/>
      <c r="AE128" s="49"/>
      <c r="AF128" s="235" t="e">
        <f>VLOOKUP(P127&amp;AI128,O165:AF178,3,FALSE)</f>
        <v>#N/A</v>
      </c>
      <c r="AG128" s="95" t="s">
        <v>107</v>
      </c>
      <c r="AH128" s="231" t="str">
        <f>VLOOKUP(G129&amp;M3,BY204:CW223,2,FALSE)</f>
        <v>丁</v>
      </c>
      <c r="AI128" s="235">
        <f>VLOOKUP(AH127&amp;AH128,O149:AF162,3,FALSE)</f>
        <v>0</v>
      </c>
      <c r="AJ128" s="49"/>
      <c r="AK128" s="231" t="str">
        <f>VLOOKUP($G$129&amp;$M$3,$BY$204:$CW$223,9,FALSE)</f>
        <v>丙</v>
      </c>
      <c r="AL128" s="235" t="e">
        <f>VLOOKUP(AH125&amp;AL130,O180:AF189,3,FALSE)</f>
        <v>#N/A</v>
      </c>
      <c r="AM128" s="95" t="s">
        <v>107</v>
      </c>
      <c r="AN128" s="231" t="str">
        <f>VLOOKUP($G$129&amp;$M$3,$BY$204:$CW$223,10,FALSE)</f>
        <v>癸</v>
      </c>
      <c r="AO128" s="235" t="e">
        <f>VLOOKUP(AK125&amp;AL128,O191:AF201,3,FALSE)</f>
        <v>#N/A</v>
      </c>
      <c r="AP128" s="49"/>
      <c r="AQ128" s="49"/>
      <c r="AR128" s="232"/>
      <c r="AS128" s="232"/>
      <c r="AT128" s="232"/>
      <c r="AU128" s="49"/>
      <c r="AV128" s="49"/>
      <c r="AW128" s="49"/>
      <c r="AX128" s="49"/>
      <c r="AY128" s="49"/>
      <c r="AZ128" s="49"/>
      <c r="BA128" s="49"/>
      <c r="BB128" s="49"/>
      <c r="BC128" s="49"/>
      <c r="BD128" s="49"/>
      <c r="BE128" s="49"/>
      <c r="BF128" s="49"/>
      <c r="BG128" s="49"/>
      <c r="BH128" s="49"/>
      <c r="BI128" s="232"/>
      <c r="BJ128" s="232"/>
      <c r="BK128" s="232"/>
      <c r="BL128" s="49"/>
      <c r="BM128" s="49"/>
      <c r="BN128" s="49"/>
      <c r="BO128" s="49"/>
      <c r="BP128" s="49"/>
      <c r="BQ128" s="49">
        <f>IF(L823=$BQ$125,1,0)</f>
        <v>0</v>
      </c>
      <c r="BR128" s="49"/>
      <c r="BS128" s="49"/>
      <c r="BT128" s="49"/>
      <c r="BU128" s="49"/>
      <c r="BV128" s="49"/>
      <c r="BW128" s="49">
        <f>IF(L132=$BW$125,1,0)</f>
        <v>0</v>
      </c>
      <c r="BX128" s="49"/>
      <c r="BY128" s="49"/>
      <c r="BZ128" s="49">
        <f>IF(L132=$BZ$125,1,0)</f>
        <v>0</v>
      </c>
      <c r="CA128" s="49"/>
      <c r="CB128" s="49"/>
      <c r="CC128" s="49"/>
      <c r="CD128" s="49"/>
      <c r="CE128" s="49"/>
      <c r="CF128" s="49">
        <f>IF(M132=$CF$125,1,0)</f>
        <v>0</v>
      </c>
      <c r="CG128" s="49"/>
      <c r="CH128" s="49"/>
      <c r="CI128" s="49"/>
      <c r="CJ128" s="49">
        <f>IF(M132=$CJ$125,1,0)</f>
        <v>0</v>
      </c>
      <c r="CK128" s="49"/>
      <c r="CL128" s="49"/>
      <c r="CM128" s="49"/>
      <c r="CN128" s="49"/>
      <c r="CO128" s="49">
        <f>IF(M132=$CO$125,1,0)</f>
        <v>0</v>
      </c>
      <c r="CP128" s="49"/>
      <c r="CQ128" s="49"/>
      <c r="CR128" s="49"/>
      <c r="CS128" s="49"/>
      <c r="CT128" s="124"/>
      <c r="CU128" s="124"/>
      <c r="CV128" s="124"/>
      <c r="CW128" s="124"/>
      <c r="CX128" s="124"/>
      <c r="CY128" s="124"/>
      <c r="CZ128" s="124"/>
      <c r="DA128" s="124"/>
      <c r="DB128" s="124"/>
      <c r="DC128" s="124"/>
      <c r="DD128" s="124"/>
      <c r="DE128" s="124"/>
      <c r="DF128" s="124"/>
      <c r="DG128" s="124"/>
      <c r="DH128" s="124"/>
      <c r="DI128" s="49"/>
      <c r="DJ128" s="49"/>
      <c r="DK128" s="49"/>
      <c r="DL128" s="49"/>
      <c r="DM128" s="49"/>
      <c r="DN128" s="49"/>
      <c r="DO128" s="49"/>
      <c r="DP128" s="49"/>
      <c r="DQ128" s="49"/>
      <c r="DR128" s="49"/>
      <c r="DS128" s="49"/>
      <c r="DT128" s="49"/>
      <c r="DU128" s="49"/>
      <c r="DV128" s="49"/>
      <c r="DW128" s="49"/>
      <c r="DX128" s="49"/>
    </row>
    <row r="129" spans="1:128" ht="18" customHeight="1" thickTop="1" thickBot="1">
      <c r="A129" s="49"/>
      <c r="B129" s="49"/>
      <c r="C129" s="49"/>
      <c r="D129" s="49"/>
      <c r="E129" s="155"/>
      <c r="F129" s="243" t="s">
        <v>442</v>
      </c>
      <c r="G129" s="244" t="str">
        <f>F6</f>
        <v>戊</v>
      </c>
      <c r="H129" s="243" t="str">
        <f>VLOOKUP($F$6&amp;G6,AK220:AL319,2,FALSE)</f>
        <v>龍高星</v>
      </c>
      <c r="I129" s="245" t="str">
        <f>VLOOKUP($F$6&amp;H6,AK220:AL319,2,FALSE)</f>
        <v>調舒星</v>
      </c>
      <c r="J129" s="155"/>
      <c r="K129" s="49"/>
      <c r="L129" s="49"/>
      <c r="M129" s="155"/>
      <c r="N129" s="49"/>
      <c r="O129" s="49"/>
      <c r="P129" s="49"/>
      <c r="Q129" s="49"/>
      <c r="R129" s="49"/>
      <c r="S129" s="49"/>
      <c r="T129" s="124"/>
      <c r="U129" s="237"/>
      <c r="V129" s="124"/>
      <c r="W129" s="124"/>
      <c r="X129" s="238"/>
      <c r="Y129" s="124"/>
      <c r="Z129" s="124"/>
      <c r="AA129" s="238"/>
      <c r="AB129" s="238"/>
      <c r="AC129" s="124"/>
      <c r="AD129" s="124"/>
      <c r="AE129" s="124"/>
      <c r="AF129" s="49"/>
      <c r="AG129" s="49"/>
      <c r="AH129" s="246" t="s">
        <v>443</v>
      </c>
      <c r="AI129" s="143" t="s">
        <v>220</v>
      </c>
      <c r="AJ129" s="155"/>
      <c r="AK129" s="234" t="s">
        <v>444</v>
      </c>
      <c r="AL129" s="143" t="s">
        <v>220</v>
      </c>
      <c r="AM129" s="49"/>
      <c r="AN129" s="49"/>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f>BQ126+BQ127+BQ128+BT127+AQ127</f>
        <v>0</v>
      </c>
      <c r="BR129" s="49"/>
      <c r="BS129" s="49"/>
      <c r="BT129" s="49"/>
      <c r="BU129" s="49"/>
      <c r="BV129" s="49"/>
      <c r="BW129" s="49">
        <f>BW126+BW127+BW128+BX127+BV127</f>
        <v>1</v>
      </c>
      <c r="BX129" s="49"/>
      <c r="BY129" s="49"/>
      <c r="BZ129" s="49">
        <f>BZ126+BZ127+BZ128+CC127+BY127</f>
        <v>0</v>
      </c>
      <c r="CA129" s="49"/>
      <c r="CB129" s="49"/>
      <c r="CC129" s="49"/>
      <c r="CD129" s="49"/>
      <c r="CE129" s="49"/>
      <c r="CF129" s="49">
        <f>CF126+CF127+CF128+CG127+CE127</f>
        <v>1</v>
      </c>
      <c r="CG129" s="49"/>
      <c r="CH129" s="49"/>
      <c r="CI129" s="49"/>
      <c r="CJ129" s="49">
        <f>CJ126+CJ127+CJ128+CK127+CI127</f>
        <v>1</v>
      </c>
      <c r="CK129" s="49"/>
      <c r="CL129" s="49"/>
      <c r="CM129" s="49"/>
      <c r="CN129" s="49"/>
      <c r="CO129" s="49">
        <f>CO126+CO127+CO128+CP127+CN127</f>
        <v>0</v>
      </c>
      <c r="CP129" s="49"/>
      <c r="CQ129" s="49"/>
      <c r="CR129" s="49"/>
      <c r="CS129" s="49"/>
      <c r="CT129" s="124"/>
      <c r="CU129" s="124"/>
      <c r="CV129" s="124"/>
      <c r="CW129" s="124"/>
      <c r="CX129" s="124"/>
      <c r="CY129" s="124"/>
      <c r="CZ129" s="124"/>
      <c r="DA129" s="124"/>
      <c r="DB129" s="124"/>
      <c r="DC129" s="124"/>
      <c r="DD129" s="124"/>
      <c r="DE129" s="124"/>
      <c r="DF129" s="124"/>
      <c r="DG129" s="124"/>
      <c r="DH129" s="124"/>
      <c r="DI129" s="124"/>
      <c r="DJ129" s="49"/>
      <c r="DK129" s="49"/>
      <c r="DL129" s="49"/>
      <c r="DM129" s="49"/>
      <c r="DN129" s="49"/>
      <c r="DO129" s="49"/>
      <c r="DP129" s="49"/>
      <c r="DQ129" s="49"/>
      <c r="DR129" s="49"/>
      <c r="DS129" s="49"/>
      <c r="DT129" s="49"/>
      <c r="DU129" s="49"/>
      <c r="DV129" s="49"/>
      <c r="DW129" s="49"/>
      <c r="DX129" s="49"/>
    </row>
    <row r="130" spans="1:128" ht="18" customHeight="1" thickTop="1" thickBot="1">
      <c r="A130" s="49"/>
      <c r="B130" s="49"/>
      <c r="C130" s="49"/>
      <c r="D130" s="49"/>
      <c r="E130" s="155"/>
      <c r="F130" s="247" t="s">
        <v>445</v>
      </c>
      <c r="G130" s="247" t="str">
        <f>VLOOKUP($F$6&amp;F8,AK220:AL329,2,FALSE)</f>
        <v>-</v>
      </c>
      <c r="H130" s="247" t="str">
        <f>IFERROR(VLOOKUP($F$6&amp;G8,AK220:AL329,2,FALSE),"")</f>
        <v>貫索星</v>
      </c>
      <c r="I130" s="248" t="str">
        <f>IFERROR(VLOOKUP($F$6&amp;H8,AK220:AL329,2,FALSE),"")</f>
        <v>-</v>
      </c>
      <c r="J130" s="155"/>
      <c r="K130" s="249"/>
      <c r="L130" s="249" t="str">
        <f>I129</f>
        <v>調舒星</v>
      </c>
      <c r="M130" s="249"/>
      <c r="N130" s="155"/>
      <c r="O130" s="155"/>
      <c r="P130" s="49"/>
      <c r="Q130" s="49"/>
      <c r="R130" s="49"/>
      <c r="S130" s="49"/>
      <c r="T130" s="124"/>
      <c r="U130" s="237"/>
      <c r="V130" s="124"/>
      <c r="W130" s="124"/>
      <c r="X130" s="238"/>
      <c r="Y130" s="124"/>
      <c r="Z130" s="124"/>
      <c r="AA130" s="238"/>
      <c r="AB130" s="238"/>
      <c r="AC130" s="124"/>
      <c r="AD130" s="124"/>
      <c r="AE130" s="124"/>
      <c r="AF130" s="49"/>
      <c r="AG130" s="49"/>
      <c r="AH130" s="49"/>
      <c r="AI130" s="250" t="str">
        <f>F6</f>
        <v>戊</v>
      </c>
      <c r="AJ130" s="95" t="s">
        <v>107</v>
      </c>
      <c r="AK130" s="231" t="str">
        <f>VLOOKUP($G$129&amp;$M$3,$BY$204:$CW$223,8,FALSE)</f>
        <v>辛</v>
      </c>
      <c r="AL130" s="235">
        <f>VLOOKUP(P127&amp;AI130,O214:AF227,3,FALSE)</f>
        <v>0</v>
      </c>
      <c r="AM130" s="49"/>
      <c r="AN130" s="124"/>
      <c r="AO130" s="124"/>
      <c r="AP130" s="49"/>
      <c r="AQ130" s="49"/>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9"/>
      <c r="BS130" s="49"/>
      <c r="BT130" s="49"/>
      <c r="BU130" s="49"/>
      <c r="BV130" s="49"/>
      <c r="BW130" s="49"/>
      <c r="BX130" s="49"/>
      <c r="BY130" s="49"/>
      <c r="BZ130" s="49"/>
      <c r="CA130" s="49"/>
      <c r="CB130" s="49"/>
      <c r="CC130" s="49"/>
      <c r="CD130" s="49"/>
      <c r="CE130" s="49"/>
      <c r="CF130" s="49"/>
      <c r="CG130" s="49"/>
      <c r="CH130" s="49"/>
      <c r="CI130" s="49"/>
      <c r="CJ130" s="49"/>
      <c r="CK130" s="49"/>
      <c r="CL130" s="49"/>
      <c r="CM130" s="49"/>
      <c r="CN130" s="49"/>
      <c r="CO130" s="49"/>
      <c r="CP130" s="49"/>
      <c r="CQ130" s="49"/>
      <c r="CR130" s="49"/>
      <c r="CS130" s="49"/>
      <c r="CT130" s="124"/>
      <c r="CU130" s="124"/>
      <c r="CV130" s="124"/>
      <c r="CW130" s="124"/>
      <c r="CX130" s="124"/>
      <c r="CY130" s="124"/>
      <c r="CZ130" s="124"/>
      <c r="DA130" s="124"/>
      <c r="DB130" s="124"/>
      <c r="DC130" s="124"/>
      <c r="DD130" s="124"/>
      <c r="DE130" s="124"/>
      <c r="DF130" s="124"/>
      <c r="DG130" s="124"/>
      <c r="DH130" s="124"/>
      <c r="DI130" s="124"/>
      <c r="DJ130" s="49"/>
      <c r="DK130" s="49"/>
      <c r="DL130" s="49"/>
      <c r="DM130" s="49"/>
      <c r="DN130" s="49"/>
      <c r="DO130" s="49"/>
      <c r="DP130" s="49"/>
      <c r="DQ130" s="49"/>
      <c r="DR130" s="49"/>
      <c r="DS130" s="49"/>
      <c r="DT130" s="49"/>
      <c r="DU130" s="49"/>
      <c r="DV130" s="49"/>
      <c r="DW130" s="49"/>
      <c r="DX130" s="49"/>
    </row>
    <row r="131" spans="1:128" ht="18" customHeight="1" thickBot="1">
      <c r="A131" s="49"/>
      <c r="B131" s="49"/>
      <c r="C131" s="49"/>
      <c r="D131" s="49"/>
      <c r="E131" s="155"/>
      <c r="F131" s="251" t="s">
        <v>446</v>
      </c>
      <c r="G131" s="251" t="str">
        <f>VLOOKUP($F$6&amp;F9,AK220:AL329,2,FALSE)</f>
        <v>-</v>
      </c>
      <c r="H131" s="251" t="str">
        <f>VLOOKUP($F$6&amp;G9,AK220:AL329,2,FALSE)</f>
        <v>禄存星</v>
      </c>
      <c r="I131" s="252" t="str">
        <f>VLOOKUP($F$6&amp;H9,AK220:AL329,2,FALSE)</f>
        <v>-</v>
      </c>
      <c r="J131" s="155"/>
      <c r="K131" s="249" t="str">
        <f>IF(AL202=1,G130,IF(AL202=2,G131,G132))</f>
        <v>司禄星</v>
      </c>
      <c r="L131" s="249" t="str">
        <f>IF(AM202=1,H130,IF(AM202=2,H131,H132))</f>
        <v>鳳閣星</v>
      </c>
      <c r="M131" s="253" t="str">
        <f>IF(AN202=1,I130,IF(AN202=2,I131,I132))</f>
        <v>調舒星</v>
      </c>
      <c r="N131" s="124"/>
      <c r="O131" s="124"/>
      <c r="P131" s="234" t="str">
        <f>IF(M3="女","配偶者","")</f>
        <v/>
      </c>
      <c r="Q131" s="234"/>
      <c r="R131" s="234"/>
      <c r="S131" s="234"/>
      <c r="T131" s="124"/>
      <c r="U131" s="237"/>
      <c r="V131" s="124"/>
      <c r="W131" s="124"/>
      <c r="X131" s="238"/>
      <c r="Y131" s="124"/>
      <c r="Z131" s="124"/>
      <c r="AA131" s="238"/>
      <c r="AB131" s="238"/>
      <c r="AC131" s="124"/>
      <c r="AD131" s="124"/>
      <c r="AE131" s="124"/>
      <c r="AF131" s="155"/>
      <c r="AG131" s="155"/>
      <c r="AH131" s="236" t="str">
        <f>IF(M3="女","子供","")</f>
        <v/>
      </c>
      <c r="AI131" s="143" t="str">
        <f>IF(M3="男","","|")</f>
        <v/>
      </c>
      <c r="AJ131" s="155"/>
      <c r="AK131" s="236" t="str">
        <f>IF(M3="男","子供","")</f>
        <v>子供</v>
      </c>
      <c r="AL131" s="143" t="str">
        <f>IF(M3="女","","|")</f>
        <v>|</v>
      </c>
      <c r="AM131" s="49"/>
      <c r="AN131" s="236" t="str">
        <f>IF(M3="男","配偶者","")</f>
        <v>配偶者</v>
      </c>
      <c r="AO131" s="124"/>
      <c r="AP131" s="49"/>
      <c r="AQ131" s="49"/>
      <c r="AR131" s="234"/>
      <c r="AS131" s="234"/>
      <c r="AT131" s="234"/>
      <c r="AU131" s="49"/>
      <c r="AV131" s="49"/>
      <c r="AW131" s="49"/>
      <c r="AX131" s="49"/>
      <c r="AY131" s="49"/>
      <c r="AZ131" s="49"/>
      <c r="BA131" s="49"/>
      <c r="BB131" s="49"/>
      <c r="BC131" s="49"/>
      <c r="BD131" s="49"/>
      <c r="BE131" s="49"/>
      <c r="BF131" s="49"/>
      <c r="BG131" s="49"/>
      <c r="BH131" s="49"/>
      <c r="BI131" s="234"/>
      <c r="BJ131" s="234"/>
      <c r="BK131" s="234"/>
      <c r="BL131" s="49"/>
      <c r="BM131" s="49"/>
      <c r="BN131" s="49"/>
      <c r="BO131" s="49"/>
      <c r="BP131" s="49"/>
      <c r="BQ131" s="49"/>
      <c r="BR131" s="49"/>
      <c r="BS131" s="49"/>
      <c r="BT131" s="49"/>
      <c r="BU131" s="49"/>
      <c r="BV131" s="49"/>
      <c r="BW131" s="49"/>
      <c r="BX131" s="49"/>
      <c r="BY131" s="49"/>
      <c r="BZ131" s="49"/>
      <c r="CA131" s="49"/>
      <c r="CB131" s="49"/>
      <c r="CC131" s="49"/>
      <c r="CD131" s="49"/>
      <c r="CE131" s="49"/>
      <c r="CF131" s="49"/>
      <c r="CG131" s="49"/>
      <c r="CH131" s="49"/>
      <c r="CI131" s="49"/>
      <c r="CJ131" s="49"/>
      <c r="CK131" s="49"/>
      <c r="CL131" s="49"/>
      <c r="CM131" s="49"/>
      <c r="CN131" s="49"/>
      <c r="CO131" s="49"/>
      <c r="CP131" s="49"/>
      <c r="CQ131" s="49"/>
      <c r="CR131" s="49"/>
      <c r="CS131" s="49"/>
      <c r="CT131" s="124"/>
      <c r="CU131" s="124"/>
      <c r="CV131" s="124"/>
      <c r="CW131" s="124"/>
      <c r="CX131" s="124"/>
      <c r="CY131" s="124"/>
      <c r="CZ131" s="124"/>
      <c r="DA131" s="124"/>
      <c r="DB131" s="124"/>
      <c r="DC131" s="124"/>
      <c r="DD131" s="124"/>
      <c r="DE131" s="124"/>
      <c r="DF131" s="124"/>
      <c r="DG131" s="124"/>
      <c r="DH131" s="124"/>
      <c r="DI131" s="124"/>
      <c r="DJ131" s="49"/>
      <c r="DK131" s="49"/>
      <c r="DL131" s="49"/>
      <c r="DM131" s="49"/>
      <c r="DN131" s="49"/>
      <c r="DO131" s="49"/>
      <c r="DP131" s="49"/>
      <c r="DQ131" s="49"/>
      <c r="DR131" s="49"/>
      <c r="DS131" s="49"/>
      <c r="DT131" s="49"/>
      <c r="DU131" s="49"/>
      <c r="DV131" s="49"/>
      <c r="DW131" s="49"/>
      <c r="DX131" s="49"/>
    </row>
    <row r="132" spans="1:128" ht="18" customHeight="1" thickBot="1">
      <c r="A132" s="49"/>
      <c r="B132" s="49"/>
      <c r="C132" s="49"/>
      <c r="D132" s="49"/>
      <c r="E132" s="155"/>
      <c r="F132" s="254" t="s">
        <v>447</v>
      </c>
      <c r="G132" s="254" t="str">
        <f>VLOOKUP($F$6&amp;F10,AK220:AL329,2,FALSE)</f>
        <v>司禄星</v>
      </c>
      <c r="H132" s="254" t="str">
        <f>VLOOKUP($F$6&amp;G10,AK220:AL329,2,FALSE)</f>
        <v>鳳閣星</v>
      </c>
      <c r="I132" s="255" t="str">
        <f>VLOOKUP($F$6&amp;H10,AK220:AL329,2,FALSE)</f>
        <v>調舒星</v>
      </c>
      <c r="J132" s="155"/>
      <c r="K132" s="249"/>
      <c r="L132" s="249" t="str">
        <f>H129</f>
        <v>龍高星</v>
      </c>
      <c r="M132" s="256"/>
      <c r="N132" s="155"/>
      <c r="O132" s="155"/>
      <c r="P132" s="257" t="str">
        <f>IF(M3="女",VLOOKUP(F6&amp;M3,BY204:CW223,12,FALSE),"")</f>
        <v/>
      </c>
      <c r="Q132" s="135"/>
      <c r="R132" s="135"/>
      <c r="S132" s="135"/>
      <c r="T132" s="124"/>
      <c r="U132" s="237"/>
      <c r="V132" s="124"/>
      <c r="W132" s="124"/>
      <c r="X132" s="238"/>
      <c r="Y132" s="124"/>
      <c r="Z132" s="124"/>
      <c r="AA132" s="238"/>
      <c r="AB132" s="238"/>
      <c r="AC132" s="124"/>
      <c r="AD132" s="124"/>
      <c r="AE132" s="124"/>
      <c r="AF132" s="258" t="str">
        <f>IF(M3="女",VLOOKUP(M125&amp;AI132,O191:AF201,3,FALSE),".")</f>
        <v>.</v>
      </c>
      <c r="AG132" s="259" t="str">
        <f>IF(M3="女","－","")</f>
        <v/>
      </c>
      <c r="AH132" s="257" t="str">
        <f>IF(M3="女",VLOOKUP(G129&amp;M3,BY204:CW223,11,FALSE),".")</f>
        <v>.</v>
      </c>
      <c r="AI132" s="258" t="str">
        <f>IF(M3="女",VLOOKUP(AH129&amp;AI130,O203:AF212,3,FALSE),"")</f>
        <v/>
      </c>
      <c r="AJ132" s="49"/>
      <c r="AK132" s="63" t="str">
        <f>IF(M3="男",VLOOKUP($G$129&amp;$M$3,$BY$204:$CW$223,11,FALSE),"")</f>
        <v>庚</v>
      </c>
      <c r="AL132" s="235" t="e">
        <f>IF(M3="男",VLOOKUP(AH129&amp;AL130,O203:AF212,3,FALSE),".")</f>
        <v>#N/A</v>
      </c>
      <c r="AM132" s="259" t="str">
        <f>IF(M3="男","－","")</f>
        <v>－</v>
      </c>
      <c r="AN132" s="257" t="str">
        <f>IF(M3="男",VLOOKUP(F6&amp;M3,BY204:CW223,12,FALSE),"")</f>
        <v>乙</v>
      </c>
      <c r="AO132" s="258" t="e">
        <f>IF(M3="男",VLOOKUP(M125&amp;AL132,O191:AF201,3,FALSE),".")</f>
        <v>#N/A</v>
      </c>
      <c r="AP132" s="49"/>
      <c r="AQ132" s="49"/>
      <c r="AR132" s="135"/>
      <c r="AS132" s="135"/>
      <c r="AT132" s="135"/>
      <c r="AU132" s="49"/>
      <c r="AV132" s="49"/>
      <c r="AW132" s="49"/>
      <c r="AX132" s="49"/>
      <c r="AY132" s="49"/>
      <c r="AZ132" s="49"/>
      <c r="BA132" s="49"/>
      <c r="BB132" s="49"/>
      <c r="BC132" s="49"/>
      <c r="BD132" s="49"/>
      <c r="BE132" s="49"/>
      <c r="BF132" s="49"/>
      <c r="BG132" s="49"/>
      <c r="BH132" s="49"/>
      <c r="BI132" s="135"/>
      <c r="BJ132" s="135"/>
      <c r="BK132" s="135"/>
      <c r="BL132" s="49"/>
      <c r="BM132" s="49"/>
      <c r="BN132" s="49"/>
      <c r="BO132" s="49"/>
      <c r="BP132" s="49"/>
      <c r="BQ132" s="49"/>
      <c r="BR132" s="49"/>
      <c r="BS132" s="49"/>
      <c r="BT132" s="49"/>
      <c r="BU132" s="49"/>
      <c r="BV132" s="49"/>
      <c r="BW132" s="49"/>
      <c r="BX132" s="49"/>
      <c r="BY132" s="49"/>
      <c r="BZ132" s="49"/>
      <c r="CA132" s="49"/>
      <c r="CB132" s="49"/>
      <c r="CC132" s="49"/>
      <c r="CD132" s="49"/>
      <c r="CE132" s="49"/>
      <c r="CF132" s="49"/>
      <c r="CG132" s="49"/>
      <c r="CH132" s="49"/>
      <c r="CI132" s="49"/>
      <c r="CJ132" s="49"/>
      <c r="CK132" s="49"/>
      <c r="CL132" s="49"/>
      <c r="CM132" s="49"/>
      <c r="CN132" s="49"/>
      <c r="CO132" s="49"/>
      <c r="CP132" s="49"/>
      <c r="CQ132" s="49"/>
      <c r="CR132" s="49"/>
      <c r="CS132" s="49"/>
      <c r="CT132" s="124"/>
      <c r="CU132" s="124"/>
      <c r="CV132" s="124"/>
      <c r="CW132" s="124"/>
      <c r="CX132" s="124"/>
      <c r="CY132" s="124"/>
      <c r="CZ132" s="124"/>
      <c r="DA132" s="124"/>
      <c r="DB132" s="124"/>
      <c r="DC132" s="124"/>
      <c r="DD132" s="124"/>
      <c r="DE132" s="124"/>
      <c r="DF132" s="124"/>
      <c r="DG132" s="124"/>
      <c r="DH132" s="124"/>
      <c r="DI132" s="124"/>
      <c r="DJ132" s="49"/>
      <c r="DK132" s="49"/>
      <c r="DL132" s="49"/>
      <c r="DM132" s="49"/>
      <c r="DN132" s="49"/>
      <c r="DO132" s="49"/>
      <c r="DP132" s="49"/>
      <c r="DQ132" s="49"/>
      <c r="DR132" s="49"/>
      <c r="DS132" s="49"/>
      <c r="DT132" s="49"/>
      <c r="DU132" s="49"/>
      <c r="DV132" s="49"/>
      <c r="DW132" s="49"/>
      <c r="DX132" s="49"/>
    </row>
    <row r="133" spans="1:128" ht="18" customHeight="1" thickTop="1" thickBot="1">
      <c r="A133" s="49"/>
      <c r="B133" s="49"/>
      <c r="C133" s="49"/>
      <c r="D133" s="49"/>
      <c r="E133" s="155"/>
      <c r="F133" s="260" t="s">
        <v>448</v>
      </c>
      <c r="G133" s="261">
        <f>VLOOKUP($F$6&amp;$F$7,$AH$203:$AI$322,2,FALSE)</f>
        <v>3</v>
      </c>
      <c r="H133" s="261">
        <f>VLOOKUP($F$6&amp;$G$7,$AH$203:$AI$322,2,FALSE)</f>
        <v>4</v>
      </c>
      <c r="I133" s="262">
        <f>VLOOKUP($F$6&amp;$H$7,$AH$203:$AI$322,2,FALSE)</f>
        <v>2</v>
      </c>
      <c r="J133" s="155"/>
      <c r="K133" s="49"/>
      <c r="L133" s="49"/>
      <c r="M133" s="49"/>
      <c r="N133" s="49"/>
      <c r="O133" s="49"/>
      <c r="P133" s="49"/>
      <c r="Q133" s="49"/>
      <c r="R133" s="49"/>
      <c r="S133" s="49"/>
      <c r="T133" s="124"/>
      <c r="U133" s="237"/>
      <c r="V133" s="124"/>
      <c r="W133" s="124"/>
      <c r="X133" s="238"/>
      <c r="Y133" s="124"/>
      <c r="Z133" s="124"/>
      <c r="AA133" s="238"/>
      <c r="AB133" s="238"/>
      <c r="AC133" s="124"/>
      <c r="AD133" s="124"/>
      <c r="AE133" s="124"/>
      <c r="AF133" s="49"/>
      <c r="AG133" s="49"/>
      <c r="AH133" s="49"/>
      <c r="AI133" s="49"/>
      <c r="AJ133" s="49"/>
      <c r="AK133" s="49"/>
      <c r="AL133" s="49"/>
      <c r="AM133" s="49"/>
      <c r="AN133" s="49"/>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9"/>
      <c r="BS133" s="49"/>
      <c r="BT133" s="49"/>
      <c r="BU133" s="49"/>
      <c r="BV133" s="49"/>
      <c r="BW133" s="49"/>
      <c r="BX133" s="49"/>
      <c r="BY133" s="49"/>
      <c r="BZ133" s="49"/>
      <c r="CA133" s="49"/>
      <c r="CB133" s="49"/>
      <c r="CC133" s="49"/>
      <c r="CD133" s="49"/>
      <c r="CE133" s="49"/>
      <c r="CF133" s="49"/>
      <c r="CG133" s="49"/>
      <c r="CH133" s="49"/>
      <c r="CI133" s="49"/>
      <c r="CJ133" s="49"/>
      <c r="CK133" s="49"/>
      <c r="CL133" s="49"/>
      <c r="CM133" s="49"/>
      <c r="CN133" s="49"/>
      <c r="CO133" s="49"/>
      <c r="CP133" s="49"/>
      <c r="CQ133" s="49"/>
      <c r="CR133" s="49"/>
      <c r="CS133" s="49"/>
      <c r="CT133" s="124"/>
      <c r="CU133" s="124"/>
      <c r="CV133" s="124"/>
      <c r="CW133" s="124"/>
      <c r="CX133" s="124"/>
      <c r="CY133" s="124"/>
      <c r="CZ133" s="124"/>
      <c r="DA133" s="124"/>
      <c r="DB133" s="124"/>
      <c r="DC133" s="124"/>
      <c r="DD133" s="124"/>
      <c r="DE133" s="124"/>
      <c r="DF133" s="124"/>
      <c r="DG133" s="124"/>
      <c r="DH133" s="124"/>
      <c r="DI133" s="124"/>
      <c r="DJ133" s="49"/>
      <c r="DK133" s="49"/>
      <c r="DL133" s="49"/>
      <c r="DM133" s="49"/>
      <c r="DN133" s="49"/>
      <c r="DO133" s="49"/>
      <c r="DP133" s="49"/>
      <c r="DQ133" s="49"/>
      <c r="DR133" s="49"/>
      <c r="DS133" s="49"/>
      <c r="DT133" s="49"/>
      <c r="DU133" s="49"/>
      <c r="DV133" s="49"/>
      <c r="DW133" s="49"/>
      <c r="DX133" s="49"/>
    </row>
    <row r="134" spans="1:128" ht="18" customHeight="1">
      <c r="A134" s="49"/>
      <c r="B134" s="49"/>
      <c r="C134" s="49"/>
      <c r="D134" s="49"/>
      <c r="E134" s="49"/>
      <c r="F134" s="49"/>
      <c r="G134" s="49"/>
      <c r="H134" s="49"/>
      <c r="I134" s="155"/>
      <c r="J134" s="155"/>
      <c r="K134" s="49"/>
      <c r="L134" s="49" t="str">
        <f>VLOOKUP(L130,$AN$220:$AO$229,2,FALSE)</f>
        <v>火</v>
      </c>
      <c r="M134" s="49"/>
      <c r="N134" s="49"/>
      <c r="O134" s="49"/>
      <c r="P134" s="49"/>
      <c r="Q134" s="49"/>
      <c r="R134" s="49"/>
      <c r="S134" s="49"/>
      <c r="T134" s="124"/>
      <c r="U134" s="237"/>
      <c r="V134" s="124"/>
      <c r="W134" s="124"/>
      <c r="X134" s="238"/>
      <c r="Y134" s="124"/>
      <c r="Z134" s="124"/>
      <c r="AA134" s="238"/>
      <c r="AB134" s="238"/>
      <c r="AC134" s="124"/>
      <c r="AD134" s="124"/>
      <c r="AE134" s="124"/>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9"/>
      <c r="BS134" s="49"/>
      <c r="BT134" s="49"/>
      <c r="BU134" s="49"/>
      <c r="BV134" s="49"/>
      <c r="BW134" s="49"/>
      <c r="BX134" s="49"/>
      <c r="BY134" s="49"/>
      <c r="BZ134" s="49"/>
      <c r="CA134" s="49"/>
      <c r="CB134" s="49"/>
      <c r="CC134" s="49"/>
      <c r="CD134" s="49"/>
      <c r="CE134" s="49"/>
      <c r="CF134" s="49"/>
      <c r="CG134" s="49"/>
      <c r="CH134" s="49"/>
      <c r="CI134" s="49"/>
      <c r="CJ134" s="49"/>
      <c r="CK134" s="49"/>
      <c r="CL134" s="49"/>
      <c r="CM134" s="49"/>
      <c r="CN134" s="49"/>
      <c r="CO134" s="49"/>
      <c r="CP134" s="49"/>
      <c r="CQ134" s="49"/>
      <c r="CR134" s="49"/>
      <c r="CS134" s="49"/>
      <c r="CT134" s="124"/>
      <c r="CU134" s="124"/>
      <c r="CV134" s="124"/>
      <c r="CW134" s="124"/>
      <c r="CX134" s="124"/>
      <c r="CY134" s="124"/>
      <c r="CZ134" s="124"/>
      <c r="DA134" s="124"/>
      <c r="DB134" s="124"/>
      <c r="DC134" s="124"/>
      <c r="DD134" s="124"/>
      <c r="DE134" s="124"/>
      <c r="DF134" s="124"/>
      <c r="DG134" s="124"/>
      <c r="DH134" s="124"/>
      <c r="DI134" s="124"/>
      <c r="DJ134" s="49"/>
      <c r="DK134" s="49"/>
      <c r="DL134" s="49"/>
      <c r="DM134" s="49"/>
      <c r="DN134" s="49"/>
      <c r="DO134" s="49"/>
      <c r="DP134" s="49"/>
      <c r="DQ134" s="49"/>
      <c r="DR134" s="49"/>
      <c r="DS134" s="49"/>
      <c r="DT134" s="49"/>
      <c r="DU134" s="49"/>
      <c r="DV134" s="49"/>
      <c r="DW134" s="49"/>
      <c r="DX134" s="49"/>
    </row>
    <row r="135" spans="1:128" ht="18" customHeight="1">
      <c r="A135" s="155"/>
      <c r="B135" s="155"/>
      <c r="C135" s="155"/>
      <c r="D135" s="155"/>
      <c r="E135" s="155"/>
      <c r="F135" s="155"/>
      <c r="G135" s="155"/>
      <c r="H135" s="155"/>
      <c r="I135" s="155"/>
      <c r="J135" s="155"/>
      <c r="K135" s="155"/>
      <c r="L135" s="49" t="str">
        <f>IF(OR(G129="甲",G129="乙"),"木",IF(OR(G129="丙",G129="丁"),"火",IF(OR(G129="戊",G129="己"),"土",IF(OR(G129="庚",G129="辛"),"金","水"))))</f>
        <v>土</v>
      </c>
      <c r="M135" s="155"/>
      <c r="N135" s="155"/>
      <c r="O135" s="155"/>
      <c r="P135" s="155" t="s">
        <v>268</v>
      </c>
      <c r="Q135" s="155"/>
      <c r="R135" s="155"/>
      <c r="S135" s="155"/>
      <c r="T135" s="155"/>
      <c r="U135" s="158"/>
      <c r="V135" s="155"/>
      <c r="W135" s="155"/>
      <c r="X135" s="263"/>
      <c r="Y135" s="155"/>
      <c r="Z135" s="155"/>
      <c r="AA135" s="263"/>
      <c r="AB135" s="263"/>
      <c r="AC135" s="155"/>
      <c r="AD135" s="155"/>
      <c r="AE135" s="155"/>
      <c r="AF135" s="143" t="s">
        <v>250</v>
      </c>
      <c r="AG135" s="143" t="s">
        <v>256</v>
      </c>
      <c r="AH135" s="143" t="s">
        <v>260</v>
      </c>
      <c r="AI135" s="143" t="s">
        <v>264</v>
      </c>
      <c r="AJ135" s="143" t="s">
        <v>268</v>
      </c>
      <c r="AK135" s="143" t="s">
        <v>250</v>
      </c>
      <c r="AL135" s="143"/>
      <c r="AM135" s="143"/>
      <c r="AN135" s="155" t="s">
        <v>311</v>
      </c>
      <c r="AO135" s="155" t="s">
        <v>449</v>
      </c>
      <c r="AP135" s="49" t="s">
        <v>302</v>
      </c>
      <c r="AQ135" s="49" t="s">
        <v>293</v>
      </c>
      <c r="AR135" s="155"/>
      <c r="AS135" s="155"/>
      <c r="AT135" s="155"/>
      <c r="AU135" s="155"/>
      <c r="AV135" s="155"/>
      <c r="AW135" s="155"/>
      <c r="AX135" s="155"/>
      <c r="AY135" s="155"/>
      <c r="AZ135" s="49"/>
      <c r="BA135" s="49"/>
      <c r="BB135" s="49"/>
      <c r="BC135" s="49"/>
      <c r="BD135" s="49"/>
      <c r="BE135" s="49"/>
      <c r="BF135" s="49"/>
      <c r="BG135" s="49"/>
      <c r="BH135" s="49"/>
      <c r="BI135" s="155"/>
      <c r="BJ135" s="155"/>
      <c r="BK135" s="155"/>
      <c r="BL135" s="49"/>
      <c r="BM135" s="49"/>
      <c r="BN135" s="49"/>
      <c r="BO135" s="49"/>
      <c r="BP135" s="49"/>
      <c r="BQ135" s="49" t="s">
        <v>287</v>
      </c>
      <c r="BR135" s="49"/>
      <c r="BS135" s="49"/>
      <c r="BT135" s="49"/>
      <c r="BU135" s="49"/>
      <c r="BV135" s="49"/>
      <c r="BW135" s="49"/>
      <c r="BX135" s="49"/>
      <c r="BY135" s="49"/>
      <c r="BZ135" s="49"/>
      <c r="CA135" s="49"/>
      <c r="CB135" s="49"/>
      <c r="CC135" s="49"/>
      <c r="CD135" s="49"/>
      <c r="CE135" s="49"/>
      <c r="CF135" s="49"/>
      <c r="CG135" s="49"/>
      <c r="CH135" s="49"/>
      <c r="CI135" s="49"/>
      <c r="CJ135" s="49"/>
      <c r="CK135" s="49"/>
      <c r="CL135" s="49"/>
      <c r="CM135" s="49"/>
      <c r="CN135" s="49"/>
      <c r="CO135" s="49"/>
      <c r="CP135" s="49"/>
      <c r="CQ135" s="49"/>
      <c r="CR135" s="49"/>
      <c r="CS135" s="49"/>
      <c r="CT135" s="155"/>
      <c r="CU135" s="155"/>
      <c r="CV135" s="155"/>
      <c r="CW135" s="155"/>
      <c r="CX135" s="155"/>
      <c r="CY135" s="155"/>
      <c r="CZ135" s="155"/>
      <c r="DA135" s="155"/>
      <c r="DB135" s="155"/>
      <c r="DC135" s="155"/>
      <c r="DD135" s="155"/>
      <c r="DE135" s="155"/>
      <c r="DF135" s="155"/>
      <c r="DG135" s="155"/>
      <c r="DH135" s="155"/>
      <c r="DI135" s="155"/>
      <c r="DJ135" s="155"/>
      <c r="DK135" s="155"/>
      <c r="DL135" s="155"/>
      <c r="DM135" s="155"/>
      <c r="DN135" s="155"/>
      <c r="DO135" s="155"/>
      <c r="DP135" s="155"/>
      <c r="DQ135" s="155"/>
      <c r="DR135" s="155"/>
      <c r="DS135" s="155"/>
      <c r="DT135" s="155"/>
      <c r="DU135" s="155"/>
      <c r="DV135" s="155"/>
      <c r="DW135" s="155"/>
      <c r="DX135" s="155"/>
    </row>
    <row r="136" spans="1:128" ht="18" customHeight="1">
      <c r="A136" s="155"/>
      <c r="B136" s="155"/>
      <c r="C136" s="155"/>
      <c r="D136" s="155"/>
      <c r="E136" s="155"/>
      <c r="F136" s="155"/>
      <c r="G136" s="155"/>
      <c r="H136" s="155"/>
      <c r="I136" s="155"/>
      <c r="J136" s="155"/>
      <c r="K136" s="155"/>
      <c r="L136" s="49" t="str">
        <f>VLOOKUP(L132,$AN$220:$AO$229,2,FALSE)</f>
        <v>水</v>
      </c>
      <c r="M136" s="155"/>
      <c r="N136" s="155"/>
      <c r="O136" s="155"/>
      <c r="P136" s="143">
        <f>IF(OR($AG$5=AJ135,$AG$6=AJ135,$AG$7=AJ135,$AH$6=AJ135,$AF$6=AJ135),1,0)</f>
        <v>1</v>
      </c>
      <c r="Q136" s="143"/>
      <c r="R136" s="143"/>
      <c r="S136" s="143"/>
      <c r="T136" s="155"/>
      <c r="U136" s="158"/>
      <c r="V136" s="155"/>
      <c r="W136" s="155"/>
      <c r="X136" s="263"/>
      <c r="Y136" s="155"/>
      <c r="Z136" s="155"/>
      <c r="AA136" s="263"/>
      <c r="AB136" s="263"/>
      <c r="AC136" s="155"/>
      <c r="AD136" s="155"/>
      <c r="AE136" s="155"/>
      <c r="AF136" s="143">
        <f>IF(OR(AG5=AF135,AG6=AF135,AG7=AF135,AH6=AF135,AF6=AF135),1,0)</f>
        <v>0</v>
      </c>
      <c r="AG136" s="143">
        <f>IF(OR($AG$5=AG135,$AG$6=AG135,$AG$7=AG135,$AH$6=AG135,$AF$6=AG135),1,0)</f>
        <v>1</v>
      </c>
      <c r="AH136" s="143">
        <f>IF(OR($AG$5=AH135,$AG$6=AH135,$AG$7=AH135,$AH$6=AH135,$AF$6=AH135),1,0)</f>
        <v>1</v>
      </c>
      <c r="AI136" s="143">
        <f>IF(OR($AG$5=AI135,$AG$6=AI135,$AG$7=AI135,$AH$6=AI135,$AF$6=AI135),1,0)</f>
        <v>0</v>
      </c>
      <c r="AJ136" s="143">
        <f>IF(OR($AG$5=AJ135,$AG$6=AJ135,$AG$7=AJ135,$AH$6=AJ135,$AF$6=AJ135),1,0)</f>
        <v>1</v>
      </c>
      <c r="AK136" s="143">
        <f>IF(OR($AG$5=AK135,$AG$6=AK135,$AG$7=AK135,$AH$6=AK135,$AF$6=AK135),1,0)</f>
        <v>0</v>
      </c>
      <c r="AL136" s="263">
        <f>SUM(AG136:AK136)</f>
        <v>3</v>
      </c>
      <c r="AM136" s="155" t="s">
        <v>450</v>
      </c>
      <c r="AN136" s="155" t="str">
        <f>IF(AM137=AG5,L5,"")</f>
        <v/>
      </c>
      <c r="AO136" s="155" t="str">
        <f>IF(AM137=AG6,L6,"")</f>
        <v/>
      </c>
      <c r="AP136" s="49" t="str">
        <f>IF(AM137=AG7,L7,"")</f>
        <v/>
      </c>
      <c r="AQ136" s="49" t="str">
        <f>IF(AM137=AH6,N6,"")</f>
        <v/>
      </c>
      <c r="AR136" s="143"/>
      <c r="AS136" s="143"/>
      <c r="AT136" s="143"/>
      <c r="AU136" s="155"/>
      <c r="AV136" s="155"/>
      <c r="AW136" s="155"/>
      <c r="AX136" s="155"/>
      <c r="AY136" s="155"/>
      <c r="AZ136" s="49"/>
      <c r="BA136" s="49"/>
      <c r="BB136" s="49"/>
      <c r="BC136" s="49"/>
      <c r="BD136" s="49"/>
      <c r="BE136" s="49"/>
      <c r="BF136" s="49"/>
      <c r="BG136" s="49"/>
      <c r="BH136" s="49"/>
      <c r="BI136" s="143"/>
      <c r="BJ136" s="143"/>
      <c r="BK136" s="143"/>
      <c r="BL136" s="49"/>
      <c r="BM136" s="49"/>
      <c r="BN136" s="49"/>
      <c r="BO136" s="49"/>
      <c r="BP136" s="49"/>
      <c r="BQ136" s="49" t="str">
        <f>IF(AM137=AF6,J6,"")</f>
        <v>司禄星</v>
      </c>
      <c r="BR136" s="49"/>
      <c r="BS136" s="49"/>
      <c r="BT136" s="49"/>
      <c r="BU136" s="49"/>
      <c r="BV136" s="63" t="s">
        <v>249</v>
      </c>
      <c r="BW136" s="63" t="s">
        <v>255</v>
      </c>
      <c r="BX136" s="63" t="s">
        <v>259</v>
      </c>
      <c r="BY136" s="63" t="s">
        <v>263</v>
      </c>
      <c r="BZ136" s="63" t="s">
        <v>267</v>
      </c>
      <c r="CA136" s="63"/>
      <c r="CB136" s="63"/>
      <c r="CC136" s="63" t="s">
        <v>271</v>
      </c>
      <c r="CD136" s="63" t="s">
        <v>273</v>
      </c>
      <c r="CE136" s="63" t="s">
        <v>274</v>
      </c>
      <c r="CF136" s="63" t="s">
        <v>275</v>
      </c>
      <c r="CG136" s="63" t="s">
        <v>276</v>
      </c>
      <c r="CH136" s="49"/>
      <c r="CI136" s="49" t="s">
        <v>200</v>
      </c>
      <c r="CJ136" s="49"/>
      <c r="CK136" s="49" t="s">
        <v>287</v>
      </c>
      <c r="CL136" s="49" t="s">
        <v>449</v>
      </c>
      <c r="CM136" s="49" t="s">
        <v>293</v>
      </c>
      <c r="CN136" s="49" t="s">
        <v>302</v>
      </c>
      <c r="CO136" s="49" t="s">
        <v>311</v>
      </c>
      <c r="CP136" s="49"/>
      <c r="CQ136" s="49"/>
      <c r="CR136" s="49"/>
      <c r="CS136" s="49"/>
      <c r="CT136" s="264"/>
      <c r="CU136" s="155"/>
      <c r="CV136" s="155"/>
      <c r="CW136" s="155"/>
      <c r="CX136" s="155"/>
      <c r="CY136" s="155"/>
      <c r="CZ136" s="155"/>
      <c r="DA136" s="155"/>
      <c r="DB136" s="155"/>
      <c r="DC136" s="155"/>
      <c r="DD136" s="155"/>
      <c r="DE136" s="155"/>
      <c r="DF136" s="155"/>
      <c r="DG136" s="155"/>
      <c r="DH136" s="155"/>
      <c r="DI136" s="155"/>
      <c r="DJ136" s="155"/>
      <c r="DK136" s="155"/>
      <c r="DL136" s="155"/>
      <c r="DM136" s="155"/>
      <c r="DN136" s="155"/>
      <c r="DO136" s="155"/>
      <c r="DP136" s="155"/>
      <c r="DQ136" s="155"/>
      <c r="DR136" s="155"/>
      <c r="DS136" s="155"/>
      <c r="DT136" s="155"/>
      <c r="DU136" s="155"/>
      <c r="DV136" s="155"/>
      <c r="DW136" s="155"/>
      <c r="DX136" s="155"/>
    </row>
    <row r="137" spans="1:128" ht="18" customHeight="1">
      <c r="A137" s="155"/>
      <c r="B137" s="155"/>
      <c r="C137" s="155"/>
      <c r="D137" s="155"/>
      <c r="E137" s="155" t="s">
        <v>451</v>
      </c>
      <c r="F137" s="155"/>
      <c r="G137" s="155">
        <f>IF(OR(K3=1,AND(K3=2,L3&lt;MID(G141,2,1)*1)),-1,0)</f>
        <v>0</v>
      </c>
      <c r="H137" s="265">
        <f>IF(MOD(I3-3,60)+G137=0,60,IF(MOD(I3-3,60)=0,60,MOD(I3-3,60))+G137)</f>
        <v>58</v>
      </c>
      <c r="I137" s="155"/>
      <c r="J137" s="155"/>
      <c r="K137" s="155"/>
      <c r="L137" s="155"/>
      <c r="M137" s="155"/>
      <c r="N137" s="155"/>
      <c r="O137" s="155"/>
      <c r="P137" s="155"/>
      <c r="Q137" s="155"/>
      <c r="R137" s="155"/>
      <c r="S137" s="155"/>
      <c r="T137" s="155"/>
      <c r="U137" s="158"/>
      <c r="V137" s="155"/>
      <c r="W137" s="155"/>
      <c r="X137" s="263"/>
      <c r="Y137" s="155"/>
      <c r="Z137" s="155"/>
      <c r="AA137" s="263"/>
      <c r="AB137" s="263"/>
      <c r="AC137" s="155"/>
      <c r="AD137" s="155"/>
      <c r="AE137" s="155"/>
      <c r="AF137" s="143"/>
      <c r="AG137" s="143" t="str">
        <f>IF(AND(AF136=1,P136=1,AG136=0),AF135,"")</f>
        <v/>
      </c>
      <c r="AH137" s="143" t="str">
        <f>IF(AND(AG136=1,AF136=1,AH136=0),AG135,"")</f>
        <v/>
      </c>
      <c r="AI137" s="143" t="str">
        <f>IF(AND(AH136=1,AG136=1,AI136=0),AH135,"")</f>
        <v>土</v>
      </c>
      <c r="AJ137" s="143" t="str">
        <f>IF(AND(AI136=1,AH136=1,AJ136=0),AI135,"")</f>
        <v/>
      </c>
      <c r="AK137" s="143" t="str">
        <f>IF(AND(AJ136=1,AI136=1,AK136=0),AJ135,"")</f>
        <v/>
      </c>
      <c r="AL137" s="155" t="str">
        <f>AG137&amp;AH137&amp;AI137&amp;AJ137&amp;AK137</f>
        <v>土</v>
      </c>
      <c r="AM137" s="266" t="str">
        <f>IF(AND(AL137="",AL136=5),AG6,IF(AND(AL137="",AL136&lt;&gt;5),"ナシ",AL137))</f>
        <v>土</v>
      </c>
      <c r="AN137" s="155" t="str">
        <f>AN136&amp;AO136&amp;AP136&amp;AQ136&amp;BQ136</f>
        <v>司禄星</v>
      </c>
      <c r="AO137" s="266" t="str">
        <f>LEFT(AN137,3)</f>
        <v>司禄星</v>
      </c>
      <c r="AP137" s="229" t="str">
        <f>MID(AN137,4,3)</f>
        <v/>
      </c>
      <c r="AQ137" s="229" t="str">
        <f>MID(AN137,7,3)</f>
        <v/>
      </c>
      <c r="AR137" s="155"/>
      <c r="AS137" s="155"/>
      <c r="AT137" s="155"/>
      <c r="AU137" s="155"/>
      <c r="AV137" s="155"/>
      <c r="AW137" s="155"/>
      <c r="AX137" s="155"/>
      <c r="AY137" s="155"/>
      <c r="AZ137" s="267"/>
      <c r="BA137" s="267"/>
      <c r="BB137" s="267"/>
      <c r="BC137" s="267"/>
      <c r="BD137" s="267"/>
      <c r="BE137" s="267"/>
      <c r="BF137" s="267"/>
      <c r="BG137" s="267"/>
      <c r="BH137" s="267"/>
      <c r="BI137" s="155"/>
      <c r="BJ137" s="155"/>
      <c r="BK137" s="155"/>
      <c r="BL137" s="267"/>
      <c r="BM137" s="267"/>
      <c r="BN137" s="267"/>
      <c r="BO137" s="267"/>
      <c r="BP137" s="267"/>
      <c r="BQ137" s="267" t="str">
        <f>MID(AN137,10,3)</f>
        <v/>
      </c>
      <c r="BR137" s="49"/>
      <c r="BS137" s="49"/>
      <c r="BT137" s="49">
        <f>IF(AO137&lt;&gt;"",1,0)+IF(AP137&lt;&gt;"",1,0)+IF(AQ137&lt;&gt;"",1,0)+IF(BQ137&lt;&gt;"",1,0)</f>
        <v>1</v>
      </c>
      <c r="BU137" s="49"/>
      <c r="BV137" s="49">
        <f>IF($E$125=1,BW175,IF($E$125=2,BW176,IF($E$125=3,BW177,IF($E$125=4,BW178,IF($E$125=5,BW179,IF($E$125=6,BW180,IF($E$125=7,BW181,IF($E$125=8,BW182,0))))))))</f>
        <v>0</v>
      </c>
      <c r="BW137" s="49">
        <f>IF($E$125=1,BX175,IF($E$125=2,BX176,IF($E$125=3,BX177,IF($E$125=4,BX178,IF($E$125=5,BX179,IF($E$125=6,BX180,IF($E$125=7,BX181,IF($E$125=8,BX182,0))))))))</f>
        <v>0</v>
      </c>
      <c r="BX137" s="49">
        <f>IF($E$125=1,BY175,IF($E$125=2,BY176,IF($E$125=3,BY177,IF($E$125=4,BY178,IF($E$125=5,BY179,IF($E$125=6,BY180,IF($E$125=7,BY181,IF($E$125=8,BY182,0))))))))</f>
        <v>0</v>
      </c>
      <c r="BY137" s="49">
        <f>IF($E$125=1,BZ175,IF($E$125=2,BZ176,IF($E$125=3,BZ177,IF($E$125=4,BZ178,IF($E$125=5,BZ179,IF($E$125=6,BZ180,IF($E$125=7,BZ181,IF($E$125=8,BZ182,0))))))))</f>
        <v>0</v>
      </c>
      <c r="BZ137" s="49">
        <f>IF($E$125=1,CC175,IF($E$125=2,CC176,IF($E$125=3,CC177,IF($E$125=4,CC178,IF($E$125=5,CC179,IF($E$125=6,CC180,IF($E$125=7,CC181,IF($E$125=8,CC182,0))))))))</f>
        <v>0</v>
      </c>
      <c r="CA137" s="49"/>
      <c r="CB137" s="49"/>
      <c r="CC137" s="49">
        <f>IF($E$125=1,CD175,IF($E$125=2,CD176,IF($E$125=3,CD177,IF($E$125=4,CD178,IF($E$125=5,CD179,IF($E$125=6,CD180,IF($E$125=7,CD181,IF($E$125=8,CD182,0))))))))</f>
        <v>0</v>
      </c>
      <c r="CD137" s="49">
        <f>IF($E$125=1,CE175,IF($E$125=2,CE176,IF($E$125=3,CE177,IF($E$125=4,CE178,IF($E$125=5,CE179,IF($E$125=6,CE180,IF($E$125=7,CE181,IF($E$125=8,CE182,0))))))))</f>
        <v>0</v>
      </c>
      <c r="CE137" s="49">
        <f>IF($E$125=1,CF175,IF($E$125=2,CF176,IF($E$125=3,CF177,IF($E$125=4,CF178,IF($E$125=5,CF179,IF($E$125=6,CF180,IF($E$125=7,CF181,IF($E$125=8,CF182,0))))))))</f>
        <v>0</v>
      </c>
      <c r="CF137" s="49">
        <f>IF($E$125=1,CG175,IF($E$125=2,CG176,IF($E$125=3,CG177,IF($E$125=4,CG178,IF($E$125=5,CG179,IF($E$125=6,CG180,IF($E$125=7,CG181,IF($E$125=8,CG182,0))))))))</f>
        <v>0</v>
      </c>
      <c r="CG137" s="49">
        <f>IF($E$125=1,CH175,IF($E$125=2,CH176,IF($E$125=3,CH177,IF($E$125=4,CH178,IF($E$125=5,CH179,IF($E$125=6,CH180,IF($E$125=7,CH181,IF($E$125=8,CH182,0))))))))</f>
        <v>1</v>
      </c>
      <c r="CH137" s="49"/>
      <c r="CI137" s="49" t="s">
        <v>407</v>
      </c>
      <c r="CJ137" s="49"/>
      <c r="CK137" s="186" t="str">
        <f>AF6</f>
        <v>土</v>
      </c>
      <c r="CL137" s="186" t="str">
        <f>AG6</f>
        <v>火</v>
      </c>
      <c r="CM137" s="186" t="str">
        <f>AH6</f>
        <v>火</v>
      </c>
      <c r="CN137" s="186" t="str">
        <f>AG7</f>
        <v>水</v>
      </c>
      <c r="CO137" s="186" t="str">
        <f>AG5</f>
        <v>火</v>
      </c>
      <c r="CP137" s="49" t="s">
        <v>250</v>
      </c>
      <c r="CQ137" s="49" t="s">
        <v>264</v>
      </c>
      <c r="CR137" s="49" t="s">
        <v>260</v>
      </c>
      <c r="CS137" s="49"/>
      <c r="CT137" s="155"/>
      <c r="CU137" s="155"/>
      <c r="CV137" s="155"/>
      <c r="CW137" s="155"/>
      <c r="CX137" s="155"/>
      <c r="CY137" s="155"/>
      <c r="CZ137" s="155"/>
      <c r="DA137" s="155"/>
      <c r="DB137" s="155"/>
      <c r="DC137" s="155"/>
      <c r="DD137" s="155"/>
      <c r="DE137" s="155"/>
      <c r="DF137" s="155"/>
      <c r="DG137" s="155"/>
      <c r="DH137" s="155"/>
      <c r="DI137" s="155"/>
      <c r="DJ137" s="155"/>
      <c r="DK137" s="155"/>
      <c r="DL137" s="155"/>
      <c r="DM137" s="155"/>
      <c r="DN137" s="155"/>
      <c r="DO137" s="155"/>
      <c r="DP137" s="155"/>
      <c r="DQ137" s="155"/>
      <c r="DR137" s="155"/>
      <c r="DS137" s="155"/>
      <c r="DT137" s="155"/>
      <c r="DU137" s="155"/>
      <c r="DV137" s="155"/>
      <c r="DW137" s="155"/>
      <c r="DX137" s="155"/>
    </row>
    <row r="138" spans="1:128" ht="18" customHeight="1">
      <c r="A138" s="155"/>
      <c r="B138" s="155"/>
      <c r="C138" s="155"/>
      <c r="D138" s="155"/>
      <c r="E138" s="155"/>
      <c r="F138" s="155"/>
      <c r="G138" s="155"/>
      <c r="H138" s="155"/>
      <c r="I138" s="155"/>
      <c r="J138" s="155"/>
      <c r="K138" s="155"/>
      <c r="L138" s="155"/>
      <c r="M138" s="155"/>
      <c r="N138" s="155"/>
      <c r="O138" s="155" t="s">
        <v>249</v>
      </c>
      <c r="P138" s="155">
        <f>IF($G$129=O138,VLOOKUP($O$138,AJ5:AK14,2,FALSE)-1,VLOOKUP($O$138,AJ5:AK14,2,FALSE))</f>
        <v>0</v>
      </c>
      <c r="Q138" s="155"/>
      <c r="R138" s="155"/>
      <c r="S138" s="155"/>
      <c r="T138" s="155"/>
      <c r="U138" s="158"/>
      <c r="V138" s="155"/>
      <c r="W138" s="155"/>
      <c r="X138" s="263"/>
      <c r="Y138" s="155"/>
      <c r="Z138" s="155"/>
      <c r="AA138" s="263"/>
      <c r="AB138" s="263"/>
      <c r="AC138" s="155"/>
      <c r="AD138" s="155"/>
      <c r="AE138" s="155"/>
      <c r="AF138" s="155"/>
      <c r="AG138" s="155"/>
      <c r="AH138" s="155"/>
      <c r="AI138" s="155"/>
      <c r="AJ138" s="155"/>
      <c r="AK138" s="155"/>
      <c r="AL138" s="155"/>
      <c r="AM138" s="253" t="str">
        <f>IF(AM137="ナシ","ナシ",IF(BT137=1,AO137,IF(AND(BT137=2,AO137=AP137),AO137,IF(AND(BT137=2,AO137&lt;&gt;AP137),AO137&amp;AP137,""))))</f>
        <v>司禄星</v>
      </c>
      <c r="AN138" s="155" t="str">
        <f>IF(BT137&lt;&gt;3,"",(IF(AP137=AO137,"〇","×")&amp;IF(AO137=AQ137,"〇","×")&amp;IF(AP137=AQ137,"〇","×")))</f>
        <v/>
      </c>
      <c r="AO138" s="253" t="str">
        <f>IF(AN138="","",IF(AN138="〇〇〇",AO137,IF(LEFT(AN138,1)="×",AO137&amp;AP137,IF(MID(AN138,2,1)="×",AO137&amp;AQ137,IF(RIGHT(AN138,1)="×",AP137&amp;AQ137)))))</f>
        <v/>
      </c>
      <c r="AP138" s="49" t="str">
        <f>IF(BT137&lt;&gt;4,"",(IF(AP137=AO137,"〇","×")&amp;IF(AO137=AQ137,"〇","×")&amp;IF(AO137=BQ137,"〇","×")&amp;IF(AP137=AQ137,"〇","×")&amp;IF(AP137=BQ137,"〇","×")&amp;IF(AQ137=BQ137,"〇","×")))</f>
        <v/>
      </c>
      <c r="AQ138" s="49"/>
      <c r="AR138" s="155"/>
      <c r="AS138" s="155"/>
      <c r="AT138" s="155"/>
      <c r="AU138" s="155"/>
      <c r="AV138" s="155"/>
      <c r="AW138" s="155"/>
      <c r="AX138" s="155"/>
      <c r="AY138" s="155"/>
      <c r="AZ138" s="49"/>
      <c r="BA138" s="49"/>
      <c r="BB138" s="49"/>
      <c r="BC138" s="49"/>
      <c r="BD138" s="49"/>
      <c r="BE138" s="49"/>
      <c r="BF138" s="49"/>
      <c r="BG138" s="49"/>
      <c r="BH138" s="49"/>
      <c r="BI138" s="155"/>
      <c r="BJ138" s="155"/>
      <c r="BK138" s="155"/>
      <c r="BL138" s="49"/>
      <c r="BM138" s="49"/>
      <c r="BN138" s="49"/>
      <c r="BO138" s="49"/>
      <c r="BP138" s="49"/>
      <c r="BQ138" s="249" t="str">
        <f>IF(AP138="","",IF(AP138="〇〇〇〇〇〇",AO137,IF(LEFT(AP138,1)="×",AO137&amp;AP137,IF(MID(AP138,2,1)="×",AO137&amp;AQ137,IF(MID(AP138,3,1)="×",AO137&amp;BQ137,IF(MID(AP138,4,1)="×",AP137&amp;AQ137,IF(MID(AP138,5,1)="×",AP137&amp;BQ137,IF(RIGHT(AP138,1)="×",AQ137&amp;BQ137))))))))</f>
        <v/>
      </c>
      <c r="BR138" s="249"/>
      <c r="BS138" s="249"/>
      <c r="BT138" s="249" t="str">
        <f>AM138&amp;AO138&amp;BQ138</f>
        <v>司禄星</v>
      </c>
      <c r="BU138" s="49"/>
      <c r="BV138" s="49">
        <f>IF($E$125=9,BW183,IF($E$125=10,BW184,IF($E$125=11,BW185,IF($E$125=12,BW186,0))))</f>
        <v>0</v>
      </c>
      <c r="BW138" s="49">
        <f>IF($E$125=9,BX183,IF($E$125=10,BX184,IF($E$125=11,BX185,IF($E$125=12,BX186,0))))</f>
        <v>0</v>
      </c>
      <c r="BX138" s="49">
        <f>IF($E$125=9,BY183,IF($E$125=10,BY184,IF($E$125=11,BY185,IF($E$125=12,BY186,0))))</f>
        <v>0</v>
      </c>
      <c r="BY138" s="49">
        <f>IF($E$125=9,BZ183,IF($E$125=10,BZ184,IF($E$125=11,BZ185,IF($E$125=12,BZ186,0))))</f>
        <v>0</v>
      </c>
      <c r="BZ138" s="49">
        <f>IF($E$125=9,CC183,IF($E$125=10,CC184,IF($E$125=11,CC185,IF($E$125=12,CC186,0))))</f>
        <v>0</v>
      </c>
      <c r="CA138" s="49"/>
      <c r="CB138" s="49"/>
      <c r="CC138" s="49">
        <f>IF($E$125=9,CD183,IF($E$125=10,CD184,IF($E$125=11,CD185,IF($E$125=12,CD186,0))))</f>
        <v>0</v>
      </c>
      <c r="CD138" s="49">
        <f>IF($E$125=9,CE183,IF($E$125=10,CE184,IF($E$125=11,CE185,IF($E$125=12,CE186,0))))</f>
        <v>0</v>
      </c>
      <c r="CE138" s="49">
        <f>IF($E$125=9,CF183,IF($E$125=10,CF184,IF($E$125=11,CF185,IF($E$125=12,CF186,0))))</f>
        <v>0</v>
      </c>
      <c r="CF138" s="49">
        <f>IF($E$125=9,CG183,IF($E$125=10,CG184,IF($E$125=11,CG185,IF($E$125=12,CG186,0))))</f>
        <v>0</v>
      </c>
      <c r="CG138" s="49">
        <f>IF($E$125=9,CH183,IF($E$125=10,CH184,IF($E$125=11,CH185,IF($E$125=12,CH186,0))))</f>
        <v>0</v>
      </c>
      <c r="CH138" s="49"/>
      <c r="CI138" s="49"/>
      <c r="CJ138" s="49"/>
      <c r="CK138" s="49" t="str">
        <f>VLOOKUP(CK137,$CP$137:$CR$141,2,FALSE)</f>
        <v>木</v>
      </c>
      <c r="CL138" s="49" t="str">
        <f>VLOOKUP(CL137,$CP$137:$CR$141,2,FALSE)</f>
        <v>水</v>
      </c>
      <c r="CM138" s="49" t="str">
        <f>VLOOKUP(CM137,$CP$137:$CR$141,2,FALSE)</f>
        <v>水</v>
      </c>
      <c r="CN138" s="49" t="str">
        <f>VLOOKUP(CN137,$CP$137:$CR$141,2,FALSE)</f>
        <v>土</v>
      </c>
      <c r="CO138" s="49" t="str">
        <f>VLOOKUP(CO137,$CP$137:$CR$141,2,FALSE)</f>
        <v>水</v>
      </c>
      <c r="CP138" s="49" t="s">
        <v>256</v>
      </c>
      <c r="CQ138" s="49" t="s">
        <v>268</v>
      </c>
      <c r="CR138" s="49" t="s">
        <v>264</v>
      </c>
      <c r="CS138" s="49"/>
      <c r="CT138" s="155"/>
      <c r="CU138" s="155"/>
      <c r="CV138" s="155"/>
      <c r="CW138" s="155"/>
      <c r="CX138" s="155"/>
      <c r="CY138" s="155"/>
      <c r="CZ138" s="155"/>
      <c r="DA138" s="155"/>
      <c r="DB138" s="155"/>
      <c r="DC138" s="155"/>
      <c r="DD138" s="155"/>
      <c r="DE138" s="155"/>
      <c r="DF138" s="155"/>
      <c r="DG138" s="155"/>
      <c r="DH138" s="155"/>
      <c r="DI138" s="155"/>
      <c r="DJ138" s="155"/>
      <c r="DK138" s="155"/>
      <c r="DL138" s="155"/>
      <c r="DM138" s="155"/>
      <c r="DN138" s="155"/>
      <c r="DO138" s="155"/>
      <c r="DP138" s="155"/>
      <c r="DQ138" s="155"/>
      <c r="DR138" s="155"/>
      <c r="DS138" s="155"/>
      <c r="DT138" s="155"/>
      <c r="DU138" s="155"/>
      <c r="DV138" s="155"/>
      <c r="DW138" s="155"/>
      <c r="DX138" s="155"/>
    </row>
    <row r="139" spans="1:128" ht="18" customHeight="1">
      <c r="A139" s="155"/>
      <c r="B139" s="155"/>
      <c r="C139" s="155"/>
      <c r="D139" s="155"/>
      <c r="E139" s="155" t="s">
        <v>452</v>
      </c>
      <c r="F139" s="155" t="str">
        <f>I3&amp;"/"&amp;K3&amp;"/"&amp;L3</f>
        <v>1981/9/7</v>
      </c>
      <c r="G139" s="155"/>
      <c r="H139" s="155"/>
      <c r="I139" s="155">
        <f>IF(MOD((F139-51),60)=0,60,MOD((F139-51),60))</f>
        <v>25</v>
      </c>
      <c r="J139" s="155"/>
      <c r="K139" s="155"/>
      <c r="L139" s="155"/>
      <c r="M139" s="155"/>
      <c r="N139" s="155"/>
      <c r="O139" s="155" t="s">
        <v>255</v>
      </c>
      <c r="P139" s="155">
        <f>IF($G$129=O139,VLOOKUP(O139,AJ5:AK14,2,FALSE)-1,VLOOKUP(O139,AJ5:AK14,2,FALSE))</f>
        <v>0</v>
      </c>
      <c r="Q139" s="155"/>
      <c r="R139" s="155"/>
      <c r="S139" s="155"/>
      <c r="T139" s="155"/>
      <c r="U139" s="158"/>
      <c r="V139" s="155"/>
      <c r="W139" s="155"/>
      <c r="X139" s="263"/>
      <c r="Y139" s="155"/>
      <c r="Z139" s="155"/>
      <c r="AA139" s="263"/>
      <c r="AB139" s="263"/>
      <c r="AC139" s="155"/>
      <c r="AD139" s="155"/>
      <c r="AE139" s="155"/>
      <c r="AF139" s="155"/>
      <c r="AG139" s="239" t="s">
        <v>453</v>
      </c>
      <c r="AH139" s="239" t="s">
        <v>201</v>
      </c>
      <c r="AI139" s="239" t="s">
        <v>445</v>
      </c>
      <c r="AJ139" s="239" t="s">
        <v>446</v>
      </c>
      <c r="AK139" s="239" t="s">
        <v>447</v>
      </c>
      <c r="AL139" s="239" t="s">
        <v>454</v>
      </c>
      <c r="AM139" s="239" t="s">
        <v>455</v>
      </c>
      <c r="AN139" s="155"/>
      <c r="AO139" s="268" t="s">
        <v>445</v>
      </c>
      <c r="AP139" s="269" t="s">
        <v>446</v>
      </c>
      <c r="AQ139" s="269" t="s">
        <v>447</v>
      </c>
      <c r="AR139" s="155"/>
      <c r="AS139" s="155"/>
      <c r="AT139" s="155"/>
      <c r="AU139" s="155"/>
      <c r="AV139" s="155"/>
      <c r="AW139" s="155"/>
      <c r="AX139" s="155"/>
      <c r="AY139" s="155"/>
      <c r="AZ139" s="49"/>
      <c r="BA139" s="49"/>
      <c r="BB139" s="49"/>
      <c r="BC139" s="49"/>
      <c r="BD139" s="49"/>
      <c r="BE139" s="49"/>
      <c r="BF139" s="49"/>
      <c r="BG139" s="49"/>
      <c r="BH139" s="49"/>
      <c r="BI139" s="155"/>
      <c r="BJ139" s="155"/>
      <c r="BK139" s="155"/>
      <c r="BL139" s="49"/>
      <c r="BM139" s="49"/>
      <c r="BN139" s="49"/>
      <c r="BO139" s="49"/>
      <c r="BP139" s="49"/>
      <c r="BQ139" s="49"/>
      <c r="BR139" s="49"/>
      <c r="BS139" s="49"/>
      <c r="BT139" s="49"/>
      <c r="BU139" s="49"/>
      <c r="BV139" s="49">
        <f>IF($F$125=1,BW175,IF($F$125=2,BW176,IF($F$125=3,BW177,IF($F$125=4,BW178,IF($F$125=5,BW179,IF($F$125=6,BW180,IF($F$125=7,BW181,IF($F$125=8,BW182,0))))))))</f>
        <v>0</v>
      </c>
      <c r="BW139" s="49">
        <f>IF($F$125=1,BX175,IF($F$125=2,BX176,IF($F$125=3,BX177,IF($F$125=4,BX178,IF($F$125=5,BX179,IF($F$125=6,BX180,IF($F$125=7,BX181,IF($F$125=8,BX182,0))))))))</f>
        <v>0</v>
      </c>
      <c r="BX139" s="49">
        <f>IF($F$125=1,BY175,IF($F$125=2,BY176,IF($F$125=3,BY177,IF($F$125=4,BY178,IF($F$125=5,BY179,IF($F$125=6,BY180,IF($F$125=7,BY181,IF($F$125=8,BY182,0))))))))</f>
        <v>0</v>
      </c>
      <c r="BY139" s="49">
        <f>IF($F$125=1,BZ175,IF($F$125=2,BZ176,IF($F$125=3,BZ177,IF($F$125=4,BZ178,IF($F$125=5,BZ179,IF($F$125=6,BZ180,IF($F$125=7,BZ181,IF($F$125=8,BZ182,0))))))))</f>
        <v>0</v>
      </c>
      <c r="BZ139" s="49">
        <f>IF($F$125=1,CC175,IF($F$125=2,CC176,IF($F$125=3,CC177,IF($F$125=4,CC178,IF($F$125=5,CC179,IF($F$125=6,CC180,IF($F$125=7,CC181,IF($F$125=8,CC182,0))))))))</f>
        <v>0</v>
      </c>
      <c r="CA139" s="49"/>
      <c r="CB139" s="49"/>
      <c r="CC139" s="49">
        <f>IF($F$125=1,CD175,IF($F$125=2,CD176,IF($F$125=3,CD177,IF($F$125=4,CD178,IF($F$125=5,CD179,IF($F$125=6,CD180,IF($F$125=7,CD181,IF($F$125=8,CD182,0))))))))</f>
        <v>0</v>
      </c>
      <c r="CD139" s="49">
        <f>IF($F$125=1,CE175,IF($F$125=2,CE176,IF($F$125=3,CE177,IF($F$125=4,CE178,IF($F$125=5,CE179,IF($F$125=6,CE180,IF($F$125=7,CE181,IF($F$125=8,CE182,0))))))))</f>
        <v>0</v>
      </c>
      <c r="CE139" s="49">
        <f>IF($F$125=1,CF175,IF($F$125=2,CF176,IF($F$125=3,CF177,IF($F$125=4,CF178,IF($F$125=5,CF179,IF($F$125=6,CF180,IF($F$125=7,CF181,IF($F$125=8,CF182,0))))))))</f>
        <v>0</v>
      </c>
      <c r="CF139" s="49">
        <f>IF($F$125=1,CG175,IF($F$125=2,CG176,IF($F$125=3,CG177,IF($F$125=4,CG178,IF($F$125=5,CG179,IF($F$125=6,CG180,IF($F$125=7,CG181,IF($F$125=8,CG182,0))))))))</f>
        <v>0</v>
      </c>
      <c r="CG139" s="49">
        <f>IF($F$125=1,CH175,IF($F$125=2,CH176,IF($F$125=3,CH177,IF($F$125=4,CH178,IF($F$125=5,CH179,IF($F$125=6,CH180,IF($F$125=7,CH181,IF($F$125=8,CH182,0))))))))</f>
        <v>0</v>
      </c>
      <c r="CH139" s="49"/>
      <c r="CI139" s="49"/>
      <c r="CJ139" s="49"/>
      <c r="CK139" s="49" t="str">
        <f>VLOOKUP(CK137,$CP$137:$CR$141,3,FALSE)</f>
        <v>水</v>
      </c>
      <c r="CL139" s="49" t="str">
        <f>VLOOKUP(CL137,$CP$137:$CR$141,3,FALSE)</f>
        <v>金</v>
      </c>
      <c r="CM139" s="49" t="str">
        <f>VLOOKUP(CM137,$CP$137:$CR$141,3,FALSE)</f>
        <v>金</v>
      </c>
      <c r="CN139" s="49" t="str">
        <f>VLOOKUP(CN137,$CP$137:$CR$141,3,FALSE)</f>
        <v>火</v>
      </c>
      <c r="CO139" s="49" t="str">
        <f>VLOOKUP(CO137,$CP$137:$CR$141,3,FALSE)</f>
        <v>金</v>
      </c>
      <c r="CP139" s="49" t="s">
        <v>260</v>
      </c>
      <c r="CQ139" s="49" t="s">
        <v>250</v>
      </c>
      <c r="CR139" s="49" t="s">
        <v>268</v>
      </c>
      <c r="CS139" s="49"/>
      <c r="CT139" s="155"/>
      <c r="CU139" s="155"/>
      <c r="CV139" s="155"/>
      <c r="CW139" s="155"/>
      <c r="CX139" s="155"/>
      <c r="CY139" s="155"/>
      <c r="CZ139" s="155"/>
      <c r="DA139" s="155"/>
      <c r="DB139" s="155"/>
      <c r="DC139" s="155"/>
      <c r="DD139" s="155"/>
      <c r="DE139" s="155"/>
      <c r="DF139" s="155"/>
      <c r="DG139" s="155"/>
      <c r="DH139" s="155"/>
      <c r="DI139" s="155"/>
      <c r="DJ139" s="155"/>
      <c r="DK139" s="155"/>
      <c r="DL139" s="155"/>
      <c r="DM139" s="155"/>
      <c r="DN139" s="155"/>
      <c r="DO139" s="155"/>
      <c r="DP139" s="155"/>
      <c r="DQ139" s="155"/>
      <c r="DR139" s="155"/>
      <c r="DS139" s="155"/>
      <c r="DT139" s="155"/>
      <c r="DU139" s="155"/>
      <c r="DV139" s="155"/>
      <c r="DW139" s="155"/>
      <c r="DX139" s="155"/>
    </row>
    <row r="140" spans="1:128" ht="18" customHeight="1">
      <c r="A140" s="155"/>
      <c r="B140" s="155"/>
      <c r="C140" s="155"/>
      <c r="D140" s="155"/>
      <c r="E140" s="155"/>
      <c r="F140" s="155"/>
      <c r="G140" s="155"/>
      <c r="H140" s="155"/>
      <c r="I140" s="155"/>
      <c r="J140" s="155"/>
      <c r="K140" s="155"/>
      <c r="L140" s="155"/>
      <c r="M140" s="155"/>
      <c r="N140" s="155"/>
      <c r="O140" s="155" t="s">
        <v>259</v>
      </c>
      <c r="P140" s="155">
        <f>IF($G$129=O140,VLOOKUP(O140,AJ5:AK14,2,FALSE)-1,VLOOKUP(O140,AJ5:AK14,2,FALSE))</f>
        <v>1</v>
      </c>
      <c r="Q140" s="155"/>
      <c r="R140" s="155"/>
      <c r="S140" s="155"/>
      <c r="T140" s="155"/>
      <c r="U140" s="158"/>
      <c r="V140" s="155"/>
      <c r="W140" s="155"/>
      <c r="X140" s="263"/>
      <c r="Y140" s="155"/>
      <c r="Z140" s="155"/>
      <c r="AA140" s="263"/>
      <c r="AB140" s="263"/>
      <c r="AC140" s="155"/>
      <c r="AD140" s="155"/>
      <c r="AE140" s="155"/>
      <c r="AF140" s="155"/>
      <c r="AG140" s="270">
        <v>1</v>
      </c>
      <c r="AH140" s="271" t="s">
        <v>249</v>
      </c>
      <c r="AI140" s="271"/>
      <c r="AJ140" s="271"/>
      <c r="AK140" s="271" t="s">
        <v>276</v>
      </c>
      <c r="AL140" s="271" t="s">
        <v>456</v>
      </c>
      <c r="AM140" s="270">
        <v>7</v>
      </c>
      <c r="AN140" s="155" t="s">
        <v>249</v>
      </c>
      <c r="AO140" s="272"/>
      <c r="AP140" s="273"/>
      <c r="AQ140" s="273" t="s">
        <v>276</v>
      </c>
      <c r="AR140" s="155"/>
      <c r="AS140" s="155"/>
      <c r="AT140" s="155"/>
      <c r="AU140" s="155"/>
      <c r="AV140" s="155"/>
      <c r="AW140" s="155"/>
      <c r="AX140" s="155"/>
      <c r="AY140" s="155"/>
      <c r="AZ140" s="49"/>
      <c r="BA140" s="49"/>
      <c r="BB140" s="49"/>
      <c r="BC140" s="49"/>
      <c r="BD140" s="49"/>
      <c r="BE140" s="49"/>
      <c r="BF140" s="49"/>
      <c r="BG140" s="49"/>
      <c r="BH140" s="49"/>
      <c r="BI140" s="155"/>
      <c r="BJ140" s="155"/>
      <c r="BK140" s="155"/>
      <c r="BL140" s="49"/>
      <c r="BM140" s="49"/>
      <c r="BN140" s="49"/>
      <c r="BO140" s="49"/>
      <c r="BP140" s="49"/>
      <c r="BQ140" s="49" t="s">
        <v>271</v>
      </c>
      <c r="BR140" s="49"/>
      <c r="BS140" s="49"/>
      <c r="BT140" s="49" t="s">
        <v>271</v>
      </c>
      <c r="BU140" s="49"/>
      <c r="BV140" s="49">
        <f>IF($F$125=9,BW183,IF($F$125=10,BW184,IF($F$125=11,BW185,IF($F$125=12,BW186,0))))</f>
        <v>0</v>
      </c>
      <c r="BW140" s="49">
        <f>IF($F$125=9,BX183,IF($F$125=10,BX184,IF($F$125=11,BX185,IF($F$125=12,BX186,0))))</f>
        <v>0</v>
      </c>
      <c r="BX140" s="49">
        <f>IF($F$125=9,BY183,IF($F$125=10,BY184,IF($F$125=11,BY185,IF($F$125=12,BY186,0))))</f>
        <v>0</v>
      </c>
      <c r="BY140" s="49">
        <f>IF($F$125=9,BZ183,IF($F$125=10,BZ184,IF($F$125=11,BZ185,IF($F$125=12,BZ186,0))))</f>
        <v>0</v>
      </c>
      <c r="BZ140" s="49">
        <f>IF($F$125=9,CC183,IF($F$125=10,CC184,IF($F$125=11,CC185,IF($F$125=12,CC186,0))))</f>
        <v>1</v>
      </c>
      <c r="CA140" s="49"/>
      <c r="CB140" s="49"/>
      <c r="CC140" s="49">
        <f>IF($F$125=9,CD183,IF($F$125=10,CD184,IF($F$125=11,CD185,IF($F$125=12,CD186,0))))</f>
        <v>0</v>
      </c>
      <c r="CD140" s="49">
        <f>IF($F$125=9,CE183,IF($F$125=10,CE184,IF($F$125=11,CE185,IF($F$125=12,CE186,0))))</f>
        <v>1</v>
      </c>
      <c r="CE140" s="49">
        <f>IF($F$125=9,CF183,IF($F$125=10,CF184,IF($F$125=11,CF185,IF($F$125=12,CF186,0))))</f>
        <v>0</v>
      </c>
      <c r="CF140" s="49">
        <f>IF($F$125=9,CG183,IF($F$125=10,CG184,IF($F$125=11,CG185,IF($F$125=12,CG186,0))))</f>
        <v>1</v>
      </c>
      <c r="CG140" s="49">
        <f>IF($F$125=9,CH183,IF($F$125=10,CH184,IF($F$125=11,CH185,IF($F$125=12,CH186,0))))</f>
        <v>0</v>
      </c>
      <c r="CH140" s="49"/>
      <c r="CI140" s="49"/>
      <c r="CJ140" s="49"/>
      <c r="CK140" s="49">
        <f>IF(CK138=$CL$137,1.1,0)+IF(CK138=$CM$137,1.1,0)+IF(CK138=$CN$137,1.1,0)+IF(CK138=$CO$137,1.1,0)+IF(CK138=$CK$137,1.1,0)</f>
        <v>0</v>
      </c>
      <c r="CL140" s="49">
        <f>IF(CL138=$CL$137,1.1,0)+IF(CL138=$CM$137,1.1,0)+IF(CL138=$CN$137,1.1,0)+IF(CL138=$CO$137,1.1,0)+IF(CL138=$CK$137,1.1,0)</f>
        <v>1.1000000000000001</v>
      </c>
      <c r="CM140" s="49">
        <f>IF(CM138=$CL$137,1.1,0)+IF(CM138=$CM$137,1.1,0)+IF(CM138=$CN$137,1.1,0)+IF(CM138=$CO$137,1.1,0)+IF(CM138=$CK$137,1.1,0)</f>
        <v>1.1000000000000001</v>
      </c>
      <c r="CN140" s="49">
        <f>IF(CN138=$CL$137,1.1,0)+IF(CN138=$CM$137,1.1,0)+IF(CN138=$CN$137,1.1,0)+IF(CN138=$CO$137,1.1,0)+IF(CN138=$CK$137,1.1,0)</f>
        <v>1.1000000000000001</v>
      </c>
      <c r="CO140" s="49">
        <f>IF(CO138=$CL$137,1.1,0)+IF(CO138=$CM$137,1.1,0)+IF(CO138=$CN$137,1.1,0)+IF(CO138=$CO$137,1.1,0)+IF(CO138=$CK$137,1.1,0)</f>
        <v>1.1000000000000001</v>
      </c>
      <c r="CP140" s="49" t="s">
        <v>264</v>
      </c>
      <c r="CQ140" s="49" t="s">
        <v>256</v>
      </c>
      <c r="CR140" s="49" t="s">
        <v>250</v>
      </c>
      <c r="CS140" s="49"/>
      <c r="CT140" s="155"/>
      <c r="CU140" s="155"/>
      <c r="CV140" s="155"/>
      <c r="CW140" s="155"/>
      <c r="CX140" s="155"/>
      <c r="CY140" s="155"/>
      <c r="CZ140" s="155"/>
      <c r="DA140" s="155"/>
      <c r="DB140" s="155"/>
      <c r="DC140" s="155"/>
      <c r="DD140" s="155"/>
      <c r="DE140" s="155"/>
      <c r="DF140" s="155"/>
      <c r="DG140" s="155"/>
      <c r="DH140" s="155"/>
      <c r="DI140" s="155"/>
      <c r="DJ140" s="155"/>
      <c r="DK140" s="155"/>
      <c r="DL140" s="155"/>
      <c r="DM140" s="155"/>
      <c r="DN140" s="155"/>
      <c r="DO140" s="155"/>
      <c r="DP140" s="155"/>
      <c r="DQ140" s="155"/>
      <c r="DR140" s="155"/>
      <c r="DS140" s="155"/>
      <c r="DT140" s="155"/>
      <c r="DU140" s="155"/>
      <c r="DV140" s="155"/>
      <c r="DW140" s="155"/>
      <c r="DX140" s="155"/>
    </row>
    <row r="141" spans="1:128" ht="18" customHeight="1">
      <c r="A141" s="155"/>
      <c r="B141" s="155"/>
      <c r="C141" s="155"/>
      <c r="D141" s="155"/>
      <c r="E141" s="155" t="s">
        <v>457</v>
      </c>
      <c r="F141" s="155">
        <f>IF(L3&lt;MID(G141,K3,1)*1,-1,0)</f>
        <v>-1</v>
      </c>
      <c r="G141" s="113" t="str">
        <f>IF(I3&gt;2200,"646566888987",VLOOKUP(I3,$E$142:$H$418,2,FALSE))</f>
        <v>546556778877</v>
      </c>
      <c r="H141" s="155" t="str">
        <f>MID(G141,K3,1)</f>
        <v>8</v>
      </c>
      <c r="I141" s="265">
        <f>IF(MOD(1+K3+MOD((I3+1),5)*12,60)+F141=0,60,IF(MOD(1+K3+MOD((I3+1),5)*12,60)=0,60,MOD(1+K3+MOD((I3+1),5)*12,60))+F141)</f>
        <v>33</v>
      </c>
      <c r="J141" s="155"/>
      <c r="K141" s="265">
        <f>L3-H141</f>
        <v>-1</v>
      </c>
      <c r="L141" s="155"/>
      <c r="M141" s="155" t="str">
        <f>F6&amp;F7</f>
        <v>戊子</v>
      </c>
      <c r="N141" s="155" t="str">
        <f>F6&amp;H7</f>
        <v>戊酉</v>
      </c>
      <c r="O141" s="155" t="s">
        <v>263</v>
      </c>
      <c r="P141" s="155">
        <f>IF($G$129=O141,VLOOKUP(O141,AJ5:AK14,2,FALSE)-1,VLOOKUP(O141,AJ5:AK14,2,FALSE))</f>
        <v>0</v>
      </c>
      <c r="Q141" s="155"/>
      <c r="R141" s="155"/>
      <c r="S141" s="155"/>
      <c r="T141" s="155"/>
      <c r="U141" s="158"/>
      <c r="V141" s="155"/>
      <c r="W141" s="155"/>
      <c r="X141" s="263"/>
      <c r="Y141" s="155"/>
      <c r="Z141" s="155"/>
      <c r="AA141" s="263"/>
      <c r="AB141" s="263"/>
      <c r="AC141" s="155"/>
      <c r="AD141" s="155"/>
      <c r="AE141" s="155"/>
      <c r="AF141" s="155"/>
      <c r="AG141" s="270">
        <v>2</v>
      </c>
      <c r="AH141" s="271" t="s">
        <v>255</v>
      </c>
      <c r="AI141" s="271" t="s">
        <v>276</v>
      </c>
      <c r="AJ141" s="271" t="s">
        <v>274</v>
      </c>
      <c r="AK141" s="271" t="s">
        <v>271</v>
      </c>
      <c r="AL141" s="271" t="s">
        <v>458</v>
      </c>
      <c r="AM141" s="270">
        <v>8</v>
      </c>
      <c r="AN141" s="155" t="s">
        <v>255</v>
      </c>
      <c r="AO141" s="272" t="s">
        <v>276</v>
      </c>
      <c r="AP141" s="273" t="s">
        <v>274</v>
      </c>
      <c r="AQ141" s="273" t="s">
        <v>271</v>
      </c>
      <c r="AR141" s="155"/>
      <c r="AS141" s="155"/>
      <c r="AT141" s="155"/>
      <c r="AU141" s="155"/>
      <c r="AV141" s="155"/>
      <c r="AW141" s="155"/>
      <c r="AX141" s="155"/>
      <c r="AY141" s="155"/>
      <c r="AZ141" s="49"/>
      <c r="BA141" s="49"/>
      <c r="BB141" s="49"/>
      <c r="BC141" s="49"/>
      <c r="BD141" s="49"/>
      <c r="BE141" s="49"/>
      <c r="BF141" s="49"/>
      <c r="BG141" s="49"/>
      <c r="BH141" s="49"/>
      <c r="BI141" s="155"/>
      <c r="BJ141" s="155"/>
      <c r="BK141" s="155"/>
      <c r="BL141" s="49"/>
      <c r="BM141" s="49"/>
      <c r="BN141" s="49"/>
      <c r="BO141" s="49"/>
      <c r="BP141" s="49"/>
      <c r="BQ141" s="49" t="s">
        <v>273</v>
      </c>
      <c r="BR141" s="49"/>
      <c r="BS141" s="49"/>
      <c r="BT141" s="49" t="s">
        <v>273</v>
      </c>
      <c r="BU141" s="49"/>
      <c r="BV141" s="49">
        <f>IF($G$125=1,BW175,IF($G$125=2,BW176,IF($G$125=3,BW177,IF($G$125=4,BW178,IF($G$125=5,BW179,IF($G$125=6,BW180,IF($G$125=7,BW181,IF($G$125=8,BW182,0))))))))</f>
        <v>0</v>
      </c>
      <c r="BW141" s="49">
        <f>IF($G$125=1,BX175,IF($G$125=2,BX176,IF($G$125=3,BX177,IF($G$125=4,BX178,IF($G$125=5,BX179,IF($G$125=6,BX180,IF($G$125=7,BX181,IF($G$125=8,BX182,0))))))))</f>
        <v>0</v>
      </c>
      <c r="BX141" s="49">
        <f>IF($G$125=1,BY175,IF($G$125=2,BY176,IF($G$125=3,BY177,IF($G$125=4,BY178,IF($G$125=5,BY179,IF($G$125=6,BY180,IF($G$125=7,BY181,IF($G$125=8,BY182,0))))))))</f>
        <v>0</v>
      </c>
      <c r="BY141" s="49">
        <f>IF($G$125=1,BZ175,IF($G$125=2,BZ176,IF($G$125=3,BZ177,IF($G$125=4,BZ178,IF($G$125=5,BZ179,IF($G$125=6,BZ180,IF($G$125=7,BZ181,IF($G$125=8,BZ182,0))))))))</f>
        <v>0</v>
      </c>
      <c r="BZ141" s="49">
        <f>IF($G$125=1,CC175,IF($G$125=2,CC176,IF($G$125=3,CC177,IF($G$125=4,CC178,IF($G$125=5,CC179,IF($G$125=6,CC180,IF($G$125=7,CC181,IF($G$125=8,CC182,0))))))))</f>
        <v>0</v>
      </c>
      <c r="CA141" s="49"/>
      <c r="CB141" s="49"/>
      <c r="CC141" s="49">
        <f>IF($G$125=1,CD175,IF($G$125=2,CD176,IF($G$125=3,CD177,IF($G$125=4,CD178,IF($G$125=5,CD179,IF($G$125=6,CD180,IF($G$125=7,CD181,IF($G$125=8,CD182,0))))))))</f>
        <v>0</v>
      </c>
      <c r="CD141" s="49">
        <f>IF($G$125=1,CE175,IF($G$125=2,CE176,IF($G$125=3,CE177,IF($G$125=4,CE178,IF($G$125=5,CE179,IF($G$125=6,CE180,IF($G$125=7,CE181,IF($G$125=8,CE182,0))))))))</f>
        <v>0</v>
      </c>
      <c r="CE141" s="49">
        <f>IF($G$125=1,CF175,IF($G$125=2,CF176,IF($G$125=3,CF177,IF($G$125=4,CF178,IF($G$125=5,CF179,IF($G$125=6,CF180,IF($G$125=7,CF181,IF($G$125=8,CF182,0))))))))</f>
        <v>0</v>
      </c>
      <c r="CF141" s="49">
        <f>IF($G$125=1,CG175,IF($G$125=2,CG176,IF($G$125=3,CG177,IF($G$125=4,CG178,IF($G$125=5,CG179,IF($G$125=6,CG180,IF($G$125=7,CG181,IF($G$125=8,CG182,0))))))))</f>
        <v>0</v>
      </c>
      <c r="CG141" s="49">
        <f>IF($G$125=1,CH175,IF($G$125=2,CH176,IF($G$125=3,CH177,IF($G$125=4,CH178,IF($G$125=5,CH179,IF($G$125=6,CH180,IF($G$125=7,CH181,IF($G$125=8,CH182,0))))))))</f>
        <v>0</v>
      </c>
      <c r="CH141" s="49"/>
      <c r="CI141" s="49"/>
      <c r="CJ141" s="49"/>
      <c r="CK141" s="49">
        <f>IF(CK139=$CL$137,1,0)+IF(CK139=$CM$137,1,0)+IF(CK139=$CN$137,1,0)+IF(CK139=$CO$137,1,0)+IF(CK139=$CK$137,1,0)</f>
        <v>1</v>
      </c>
      <c r="CL141" s="49">
        <f>IF(CL139=$CL$137,1,0)+IF(CL139=$CM$137,1,0)+IF(CL139=$CN$137,1,0)+IF(CL139=$CO$137,1,0)+IF(CL139=$CK$137,1,0)</f>
        <v>0</v>
      </c>
      <c r="CM141" s="49">
        <f>IF(CM139=$CL$137,1,0)+IF(CM139=$CM$137,1,0)+IF(CM139=$CN$137,1,0)+IF(CM139=$CO$137,1,0)+IF(CM139=$CK$137,1,0)</f>
        <v>0</v>
      </c>
      <c r="CN141" s="49">
        <f>IF(CN139=$CL$137,1,0)+IF(CN139=$CM$137,1,0)+IF(CN139=$CN$137,1,0)+IF(CN139=$CO$137,1,0)+IF(CN139=$CK$137,1,0)</f>
        <v>3</v>
      </c>
      <c r="CO141" s="49">
        <f>IF(CO139=$CL$137,1,0)+IF(CO139=$CM$137,1,0)+IF(CO139=$CN$137,1,0)+IF(CO139=$CO$137,1,0)+IF(CO139=$CK$137,1,0)</f>
        <v>0</v>
      </c>
      <c r="CP141" s="49" t="s">
        <v>268</v>
      </c>
      <c r="CQ141" s="49" t="s">
        <v>260</v>
      </c>
      <c r="CR141" s="49" t="s">
        <v>256</v>
      </c>
      <c r="CS141" s="49"/>
      <c r="CT141" s="155"/>
      <c r="CU141" s="155"/>
      <c r="CV141" s="155"/>
      <c r="CW141" s="155"/>
      <c r="CX141" s="155"/>
      <c r="CY141" s="155"/>
      <c r="CZ141" s="155"/>
      <c r="DA141" s="155"/>
      <c r="DB141" s="155"/>
      <c r="DC141" s="155"/>
      <c r="DD141" s="155"/>
      <c r="DE141" s="155"/>
      <c r="DF141" s="155"/>
      <c r="DG141" s="155"/>
      <c r="DH141" s="155"/>
      <c r="DI141" s="155"/>
      <c r="DJ141" s="155"/>
      <c r="DK141" s="155"/>
      <c r="DL141" s="155"/>
      <c r="DM141" s="155"/>
      <c r="DN141" s="155"/>
      <c r="DO141" s="155"/>
      <c r="DP141" s="155"/>
      <c r="DQ141" s="155"/>
      <c r="DR141" s="155"/>
      <c r="DS141" s="155"/>
      <c r="DT141" s="155"/>
      <c r="DU141" s="155"/>
      <c r="DV141" s="155"/>
      <c r="DW141" s="155"/>
      <c r="DX141" s="155"/>
    </row>
    <row r="142" spans="1:128" ht="18" customHeight="1">
      <c r="A142" s="155"/>
      <c r="B142" s="155"/>
      <c r="C142" s="155"/>
      <c r="D142" s="155"/>
      <c r="E142" s="155">
        <v>1900</v>
      </c>
      <c r="F142" s="155">
        <v>646566888987</v>
      </c>
      <c r="G142" s="155"/>
      <c r="H142" s="155"/>
      <c r="I142" s="155"/>
      <c r="J142" s="155"/>
      <c r="K142" s="155"/>
      <c r="L142" s="155"/>
      <c r="M142" s="155"/>
      <c r="N142" s="155"/>
      <c r="O142" s="155" t="s">
        <v>267</v>
      </c>
      <c r="P142" s="155">
        <f>IF($G$129=O142,VLOOKUP(O142,AJ5:AK14,2,FALSE)-1,VLOOKUP(O142,AJ5:AK14,2,FALSE))</f>
        <v>1</v>
      </c>
      <c r="Q142" s="155"/>
      <c r="R142" s="155"/>
      <c r="S142" s="155"/>
      <c r="T142" s="155"/>
      <c r="U142" s="158"/>
      <c r="V142" s="155"/>
      <c r="W142" s="155"/>
      <c r="X142" s="263"/>
      <c r="Y142" s="155"/>
      <c r="Z142" s="155"/>
      <c r="AA142" s="263"/>
      <c r="AB142" s="263"/>
      <c r="AC142" s="155"/>
      <c r="AD142" s="155"/>
      <c r="AE142" s="155"/>
      <c r="AF142" s="155"/>
      <c r="AG142" s="270">
        <v>3</v>
      </c>
      <c r="AH142" s="271" t="s">
        <v>259</v>
      </c>
      <c r="AI142" s="271" t="s">
        <v>267</v>
      </c>
      <c r="AJ142" s="271" t="s">
        <v>259</v>
      </c>
      <c r="AK142" s="271" t="s">
        <v>249</v>
      </c>
      <c r="AL142" s="271" t="s">
        <v>459</v>
      </c>
      <c r="AM142" s="270">
        <v>9</v>
      </c>
      <c r="AN142" s="155" t="s">
        <v>259</v>
      </c>
      <c r="AO142" s="272" t="s">
        <v>267</v>
      </c>
      <c r="AP142" s="273" t="s">
        <v>259</v>
      </c>
      <c r="AQ142" s="273" t="s">
        <v>249</v>
      </c>
      <c r="AR142" s="155"/>
      <c r="AS142" s="155"/>
      <c r="AT142" s="155"/>
      <c r="AU142" s="155"/>
      <c r="AV142" s="155"/>
      <c r="AW142" s="155"/>
      <c r="AX142" s="155"/>
      <c r="AY142" s="155"/>
      <c r="AZ142" s="49"/>
      <c r="BA142" s="49"/>
      <c r="BB142" s="49"/>
      <c r="BC142" s="49"/>
      <c r="BD142" s="49"/>
      <c r="BE142" s="49"/>
      <c r="BF142" s="49"/>
      <c r="BG142" s="49"/>
      <c r="BH142" s="49"/>
      <c r="BI142" s="155"/>
      <c r="BJ142" s="155"/>
      <c r="BK142" s="155"/>
      <c r="BL142" s="49"/>
      <c r="BM142" s="49"/>
      <c r="BN142" s="49"/>
      <c r="BO142" s="49"/>
      <c r="BP142" s="49"/>
      <c r="BQ142" s="49" t="s">
        <v>274</v>
      </c>
      <c r="BR142" s="49"/>
      <c r="BS142" s="49"/>
      <c r="BT142" s="49" t="s">
        <v>276</v>
      </c>
      <c r="BU142" s="49"/>
      <c r="BV142" s="49">
        <f>IF($G$125=9,BW183,IF($G$125=10,BW184,IF($G$125=11,BW185,IF($G$125=12,BW186,0))))</f>
        <v>0</v>
      </c>
      <c r="BW142" s="49">
        <f>IF($G$125=9,BX183,IF($G$125=10,BX184,IF($G$125=11,BX185,IF($G$125=12,BX186,0))))</f>
        <v>0</v>
      </c>
      <c r="BX142" s="49">
        <f>IF($G$125=9,BY183,IF($G$125=10,BY184,IF($G$125=11,BY185,IF($G$125=12,BY186,0))))</f>
        <v>0</v>
      </c>
      <c r="BY142" s="49">
        <f>IF($G$125=9,BZ183,IF($G$125=10,BZ184,IF($G$125=11,BZ185,IF($G$125=12,BZ186,0))))</f>
        <v>0</v>
      </c>
      <c r="BZ142" s="49">
        <f>IF($G$125=9,CC183,IF($G$125=10,CC184,IF($G$125=11,CC185,IF($G$125=12,CC186,0))))</f>
        <v>0</v>
      </c>
      <c r="CA142" s="49"/>
      <c r="CB142" s="49"/>
      <c r="CC142" s="49">
        <f>IF($G$125=9,CD183,IF($G$125=10,CD184,IF($G$125=11,CD185,IF($G$125=12,CD186,0))))</f>
        <v>0</v>
      </c>
      <c r="CD142" s="49">
        <f>IF($G$125=9,CE183,IF($G$125=10,CE184,IF($G$125=11,CE185,IF($G$125=12,CE186,0))))</f>
        <v>0</v>
      </c>
      <c r="CE142" s="49">
        <f>IF($G$125=9,CF183,IF($G$125=10,CF184,IF($G$125=11,CF185,IF($G$125=12,CF186,0))))</f>
        <v>1</v>
      </c>
      <c r="CF142" s="49">
        <f>IF($G$125=9,CG183,IF($G$125=10,CG184,IF($G$125=11,CG185,IF($G$125=12,CG186,0))))</f>
        <v>0</v>
      </c>
      <c r="CG142" s="49">
        <f>IF($G$125=9,CH183,IF($G$125=10,CH184,IF($G$125=11,CH185,IF($G$125=12,CH186,0))))</f>
        <v>0</v>
      </c>
      <c r="CH142" s="49"/>
      <c r="CI142" s="49"/>
      <c r="CJ142" s="49"/>
      <c r="CK142" s="49">
        <f>IF(CK140+CK141=0,"",CK140+CK141)</f>
        <v>1</v>
      </c>
      <c r="CL142" s="49">
        <f>IF(CL140+CL141=0,"",CL140+CL141)</f>
        <v>1.1000000000000001</v>
      </c>
      <c r="CM142" s="49">
        <f>IF(CM140+CM141=0,"",CM140+CM141)</f>
        <v>1.1000000000000001</v>
      </c>
      <c r="CN142" s="49">
        <f>IF(CN140+CN141=0,"",CN140+CN141)</f>
        <v>4.0999999999999996</v>
      </c>
      <c r="CO142" s="49">
        <f>IF(CO140+CO141=0,"",CO140+CO141)</f>
        <v>1.1000000000000001</v>
      </c>
      <c r="CP142" s="49"/>
      <c r="CQ142" s="49"/>
      <c r="CR142" s="49"/>
      <c r="CS142" s="49"/>
      <c r="CT142" s="155"/>
      <c r="CU142" s="155"/>
      <c r="CV142" s="155"/>
      <c r="CW142" s="155"/>
      <c r="CX142" s="155"/>
      <c r="CY142" s="155"/>
      <c r="CZ142" s="155"/>
      <c r="DA142" s="155"/>
      <c r="DB142" s="155"/>
      <c r="DC142" s="155"/>
      <c r="DD142" s="155"/>
      <c r="DE142" s="155"/>
      <c r="DF142" s="155"/>
      <c r="DG142" s="155"/>
      <c r="DH142" s="155"/>
      <c r="DI142" s="155"/>
      <c r="DJ142" s="155"/>
      <c r="DK142" s="155"/>
      <c r="DL142" s="155"/>
      <c r="DM142" s="155"/>
      <c r="DN142" s="155"/>
      <c r="DO142" s="155"/>
      <c r="DP142" s="155"/>
      <c r="DQ142" s="155"/>
      <c r="DR142" s="155"/>
      <c r="DS142" s="155"/>
      <c r="DT142" s="155"/>
      <c r="DU142" s="155"/>
      <c r="DV142" s="155"/>
      <c r="DW142" s="155"/>
      <c r="DX142" s="155"/>
    </row>
    <row r="143" spans="1:128" ht="18" customHeight="1">
      <c r="A143" s="155"/>
      <c r="B143" s="63" t="s">
        <v>460</v>
      </c>
      <c r="C143" s="155"/>
      <c r="D143" s="155"/>
      <c r="E143" s="49">
        <v>1901</v>
      </c>
      <c r="F143" s="49" t="s">
        <v>461</v>
      </c>
      <c r="G143" s="155"/>
      <c r="H143" s="155"/>
      <c r="I143" s="270"/>
      <c r="J143" s="270" t="s">
        <v>462</v>
      </c>
      <c r="K143" s="270" t="s">
        <v>463</v>
      </c>
      <c r="L143" s="270"/>
      <c r="M143" s="270" t="str">
        <f>VLOOKUP(M141,J169:K288,2,FALSE)</f>
        <v>Ｃ</v>
      </c>
      <c r="N143" s="270" t="str">
        <f>VLOOKUP(N141,J169:K288,2,FALSE)</f>
        <v>Ｂ</v>
      </c>
      <c r="O143" s="155" t="s">
        <v>271</v>
      </c>
      <c r="P143" s="155">
        <f>IF($G$129=O143,VLOOKUP(O143,AJ5:AK14,2,FALSE)-1,VLOOKUP(O143,AJ5:AK14,2,FALSE))</f>
        <v>0</v>
      </c>
      <c r="Q143" s="155"/>
      <c r="R143" s="155"/>
      <c r="S143" s="155"/>
      <c r="T143" s="155"/>
      <c r="U143" s="158"/>
      <c r="V143" s="155"/>
      <c r="W143" s="155"/>
      <c r="X143" s="263"/>
      <c r="Y143" s="155"/>
      <c r="Z143" s="155"/>
      <c r="AA143" s="263"/>
      <c r="AB143" s="263"/>
      <c r="AC143" s="155"/>
      <c r="AD143" s="155"/>
      <c r="AE143" s="155"/>
      <c r="AF143" s="155"/>
      <c r="AG143" s="270">
        <v>4</v>
      </c>
      <c r="AH143" s="271" t="s">
        <v>263</v>
      </c>
      <c r="AI143" s="271"/>
      <c r="AJ143" s="271"/>
      <c r="AK143" s="271" t="s">
        <v>255</v>
      </c>
      <c r="AL143" s="271" t="s">
        <v>464</v>
      </c>
      <c r="AM143" s="270">
        <v>4</v>
      </c>
      <c r="AN143" s="155" t="s">
        <v>263</v>
      </c>
      <c r="AO143" s="272"/>
      <c r="AP143" s="273"/>
      <c r="AQ143" s="273" t="s">
        <v>255</v>
      </c>
      <c r="AR143" s="155"/>
      <c r="AS143" s="155"/>
      <c r="AT143" s="155"/>
      <c r="AU143" s="155"/>
      <c r="AV143" s="155"/>
      <c r="AW143" s="155"/>
      <c r="AX143" s="155"/>
      <c r="AY143" s="155"/>
      <c r="AZ143" s="49"/>
      <c r="BA143" s="49"/>
      <c r="BB143" s="49"/>
      <c r="BC143" s="49"/>
      <c r="BD143" s="49"/>
      <c r="BE143" s="49"/>
      <c r="BF143" s="49"/>
      <c r="BG143" s="49"/>
      <c r="BH143" s="49"/>
      <c r="BI143" s="155"/>
      <c r="BJ143" s="155"/>
      <c r="BK143" s="155"/>
      <c r="BL143" s="49"/>
      <c r="BM143" s="49"/>
      <c r="BN143" s="49"/>
      <c r="BO143" s="49"/>
      <c r="BP143" s="49"/>
      <c r="BQ143" s="49" t="s">
        <v>275</v>
      </c>
      <c r="BR143" s="49"/>
      <c r="BS143" s="49"/>
      <c r="BT143" s="49" t="s">
        <v>249</v>
      </c>
      <c r="BU143" s="49"/>
      <c r="BV143" s="49">
        <f>IF(RIGHT(F5,1)="1",1,0)</f>
        <v>0</v>
      </c>
      <c r="BW143" s="49">
        <f>IF(RIGHT(F5,1)="2",1,0)</f>
        <v>0</v>
      </c>
      <c r="BX143" s="49">
        <f>IF(RIGHT(F5,1)="3",1,0)</f>
        <v>0</v>
      </c>
      <c r="BY143" s="49">
        <f>IF(RIGHT(F5,1)="4",1,0)</f>
        <v>0</v>
      </c>
      <c r="BZ143" s="49">
        <f>IF(RIGHT(F5,1)="5",1,0)</f>
        <v>1</v>
      </c>
      <c r="CA143" s="49"/>
      <c r="CB143" s="49"/>
      <c r="CC143" s="49">
        <f>IF(RIGHT(F5,1)="6",1,0)</f>
        <v>0</v>
      </c>
      <c r="CD143" s="49">
        <f>IF(RIGHT(F5,1)="7",1,0)</f>
        <v>0</v>
      </c>
      <c r="CE143" s="49">
        <f>IF(RIGHT(F5,1)="8",1,0)</f>
        <v>0</v>
      </c>
      <c r="CF143" s="49">
        <f>IF(RIGHT(F5,1)="9",1,0)</f>
        <v>0</v>
      </c>
      <c r="CG143" s="49">
        <f>IF(RIGHT(F5,1)="0",1,0)</f>
        <v>0</v>
      </c>
      <c r="CH143" s="49"/>
      <c r="CI143" s="49"/>
      <c r="CJ143" s="49"/>
      <c r="CK143" s="49" t="str">
        <f>N120</f>
        <v>司禄星</v>
      </c>
      <c r="CL143" s="49" t="str">
        <f>O120</f>
        <v>鳳閣星</v>
      </c>
      <c r="CM143" s="49" t="str">
        <f>P120</f>
        <v>調舒星</v>
      </c>
      <c r="CN143" s="49" t="str">
        <f>O121</f>
        <v>龍高星</v>
      </c>
      <c r="CO143" s="49" t="str">
        <f>O119</f>
        <v>調舒星</v>
      </c>
      <c r="CP143" s="49"/>
      <c r="CQ143" s="49"/>
      <c r="CR143" s="49"/>
      <c r="CS143" s="49"/>
      <c r="CT143" s="155"/>
      <c r="CU143" s="155"/>
      <c r="CV143" s="155"/>
      <c r="CW143" s="155"/>
      <c r="CX143" s="155"/>
      <c r="CY143" s="155"/>
      <c r="CZ143" s="155"/>
      <c r="DA143" s="155"/>
      <c r="DB143" s="155"/>
      <c r="DC143" s="155"/>
      <c r="DD143" s="155"/>
      <c r="DE143" s="155"/>
      <c r="DF143" s="155"/>
      <c r="DG143" s="155"/>
      <c r="DH143" s="155"/>
      <c r="DI143" s="155"/>
      <c r="DJ143" s="155"/>
      <c r="DK143" s="155"/>
      <c r="DL143" s="155"/>
      <c r="DM143" s="155"/>
      <c r="DN143" s="155"/>
      <c r="DO143" s="155"/>
      <c r="DP143" s="155"/>
      <c r="DQ143" s="155"/>
      <c r="DR143" s="155"/>
      <c r="DS143" s="155"/>
      <c r="DT143" s="155"/>
      <c r="DU143" s="155"/>
      <c r="DV143" s="155"/>
      <c r="DW143" s="155"/>
      <c r="DX143" s="155"/>
    </row>
    <row r="144" spans="1:128" ht="18" customHeight="1">
      <c r="A144" s="155"/>
      <c r="B144" s="63" t="s">
        <v>465</v>
      </c>
      <c r="C144" s="155"/>
      <c r="D144" s="155"/>
      <c r="E144" s="49">
        <v>1902</v>
      </c>
      <c r="F144" s="49" t="s">
        <v>466</v>
      </c>
      <c r="G144" s="155"/>
      <c r="H144" s="155"/>
      <c r="I144" s="270"/>
      <c r="J144" s="270" t="s">
        <v>467</v>
      </c>
      <c r="K144" s="270" t="s">
        <v>468</v>
      </c>
      <c r="L144" s="270"/>
      <c r="M144" s="270"/>
      <c r="N144" s="270"/>
      <c r="O144" s="155" t="s">
        <v>273</v>
      </c>
      <c r="P144" s="155">
        <f>IF($G$129=O144,VLOOKUP(O144,AJ5:AK14,2,FALSE)-1,VLOOKUP(O144,AJ5:AK14,2,FALSE))</f>
        <v>1</v>
      </c>
      <c r="Q144" s="155"/>
      <c r="R144" s="155"/>
      <c r="S144" s="155"/>
      <c r="T144" s="155"/>
      <c r="U144" s="158"/>
      <c r="V144" s="155"/>
      <c r="W144" s="155"/>
      <c r="X144" s="263"/>
      <c r="Y144" s="155"/>
      <c r="Z144" s="155"/>
      <c r="AA144" s="263"/>
      <c r="AB144" s="263"/>
      <c r="AC144" s="155"/>
      <c r="AD144" s="155"/>
      <c r="AE144" s="155"/>
      <c r="AF144" s="155"/>
      <c r="AG144" s="270">
        <v>5</v>
      </c>
      <c r="AH144" s="271" t="s">
        <v>267</v>
      </c>
      <c r="AI144" s="271" t="s">
        <v>255</v>
      </c>
      <c r="AJ144" s="271" t="s">
        <v>276</v>
      </c>
      <c r="AK144" s="271" t="s">
        <v>267</v>
      </c>
      <c r="AL144" s="271" t="s">
        <v>469</v>
      </c>
      <c r="AM144" s="270">
        <v>10</v>
      </c>
      <c r="AN144" s="155" t="s">
        <v>267</v>
      </c>
      <c r="AO144" s="272" t="s">
        <v>255</v>
      </c>
      <c r="AP144" s="273" t="s">
        <v>276</v>
      </c>
      <c r="AQ144" s="273" t="s">
        <v>267</v>
      </c>
      <c r="AR144" s="155"/>
      <c r="AS144" s="155"/>
      <c r="AT144" s="155"/>
      <c r="AU144" s="155"/>
      <c r="AV144" s="155"/>
      <c r="AW144" s="155"/>
      <c r="AX144" s="155"/>
      <c r="AY144" s="155"/>
      <c r="AZ144" s="49"/>
      <c r="BA144" s="49"/>
      <c r="BB144" s="49"/>
      <c r="BC144" s="49"/>
      <c r="BD144" s="49"/>
      <c r="BE144" s="49"/>
      <c r="BF144" s="49"/>
      <c r="BG144" s="49"/>
      <c r="BH144" s="49"/>
      <c r="BI144" s="155"/>
      <c r="BJ144" s="155"/>
      <c r="BK144" s="155"/>
      <c r="BL144" s="49"/>
      <c r="BM144" s="49"/>
      <c r="BN144" s="49"/>
      <c r="BO144" s="49"/>
      <c r="BP144" s="49"/>
      <c r="BQ144" s="49" t="s">
        <v>276</v>
      </c>
      <c r="BR144" s="49"/>
      <c r="BS144" s="49"/>
      <c r="BT144" s="49" t="s">
        <v>263</v>
      </c>
      <c r="BU144" s="49"/>
      <c r="BV144" s="192">
        <f>IF(RIGHT(G5,1)="1",1,0)</f>
        <v>0</v>
      </c>
      <c r="BW144" s="49">
        <f>IF(RIGHT(G5,1)="2",1,0)</f>
        <v>0</v>
      </c>
      <c r="BX144" s="49">
        <f>IF(RIGHT(G5,1)="3",1,0)</f>
        <v>1</v>
      </c>
      <c r="BY144" s="49">
        <f>IF(RIGHT(G5,1)="4",1,0)</f>
        <v>0</v>
      </c>
      <c r="BZ144" s="49">
        <f>IF(RIGHT(G5,1)="5",1,0)</f>
        <v>0</v>
      </c>
      <c r="CA144" s="49"/>
      <c r="CB144" s="49"/>
      <c r="CC144" s="49">
        <f>IF(RIGHT(G5,1)="6",1,0)</f>
        <v>0</v>
      </c>
      <c r="CD144" s="49">
        <f>IF(RIGHT(G5,1)="7",1,0)</f>
        <v>0</v>
      </c>
      <c r="CE144" s="49">
        <f>IF(RIGHT(G5,1)="8",1,0)</f>
        <v>0</v>
      </c>
      <c r="CF144" s="49">
        <f>IF(RIGHT(G5,1)="9",1,0)</f>
        <v>0</v>
      </c>
      <c r="CG144" s="49">
        <f>IF(RIGHT(G5,1)="0",1,0)</f>
        <v>0</v>
      </c>
      <c r="CH144" s="49"/>
      <c r="CI144" s="49"/>
      <c r="CJ144" s="49"/>
      <c r="CK144" s="49">
        <f>MAX(CK142:CO142)</f>
        <v>4.0999999999999996</v>
      </c>
      <c r="CL144" s="49" t="str">
        <f>IF(CK144=CK142,CK136,"")&amp;IF(CK144=CL142,CL136,"")&amp;IF(CK144=CM142,CM136,"")&amp;IF(CK144=CN142,CN136,"")&amp;IF(CK144=CO142,CO136,"")&amp;IF(CK144=0,L130,"")</f>
        <v>南</v>
      </c>
      <c r="CM144" s="49" t="str">
        <f>IFERROR(HLOOKUP(LEFT(CL144,1),CK136:CO143,8,FALSE),"")</f>
        <v>龍高星</v>
      </c>
      <c r="CN144" s="49" t="str">
        <f>IFERROR(HLOOKUP(MID(CL144,2,1),CK136:CO143,8,FALSE),"")</f>
        <v/>
      </c>
      <c r="CO144" s="49" t="str">
        <f>IFERROR(HLOOKUP(MID(CL144,3,1),CK136:CO143,8,FALSE),"")</f>
        <v/>
      </c>
      <c r="CP144" s="49" t="str">
        <f>IFERROR(HLOOKUP(MID(CL144,4,1),CK136:CO143,8,FALSE),"")</f>
        <v/>
      </c>
      <c r="CQ144" s="49" t="str">
        <f>IFERROR(HLOOKUP(MID(CL144,5,1),CK136:CO143,8,FALSE),"")</f>
        <v/>
      </c>
      <c r="CR144" s="49"/>
      <c r="CS144" s="49"/>
      <c r="CT144" s="155"/>
      <c r="CU144" s="155"/>
      <c r="CV144" s="155"/>
      <c r="CW144" s="155"/>
      <c r="CX144" s="155"/>
      <c r="CY144" s="155"/>
      <c r="CZ144" s="155"/>
      <c r="DA144" s="155"/>
      <c r="DB144" s="155"/>
      <c r="DC144" s="155"/>
      <c r="DD144" s="155"/>
      <c r="DE144" s="155"/>
      <c r="DF144" s="155"/>
      <c r="DG144" s="155"/>
      <c r="DH144" s="155"/>
      <c r="DI144" s="155"/>
      <c r="DJ144" s="155"/>
      <c r="DK144" s="155"/>
      <c r="DL144" s="155"/>
      <c r="DM144" s="155"/>
      <c r="DN144" s="155"/>
      <c r="DO144" s="155"/>
      <c r="DP144" s="155"/>
      <c r="DQ144" s="155"/>
      <c r="DR144" s="155"/>
      <c r="DS144" s="155"/>
      <c r="DT144" s="155"/>
      <c r="DU144" s="155"/>
      <c r="DV144" s="155"/>
      <c r="DW144" s="155"/>
      <c r="DX144" s="155"/>
    </row>
    <row r="145" spans="1:128" ht="18" customHeight="1">
      <c r="A145" s="155"/>
      <c r="B145" s="63" t="s">
        <v>435</v>
      </c>
      <c r="C145" s="155"/>
      <c r="D145" s="155"/>
      <c r="E145" s="49">
        <v>1903</v>
      </c>
      <c r="F145" s="49" t="s">
        <v>470</v>
      </c>
      <c r="G145" s="155"/>
      <c r="H145" s="155"/>
      <c r="I145" s="270"/>
      <c r="J145" s="270" t="s">
        <v>471</v>
      </c>
      <c r="K145" s="270" t="s">
        <v>472</v>
      </c>
      <c r="L145" s="270"/>
      <c r="M145" s="216" t="s">
        <v>473</v>
      </c>
      <c r="N145" s="216" t="s">
        <v>474</v>
      </c>
      <c r="O145" s="155" t="s">
        <v>274</v>
      </c>
      <c r="P145" s="155">
        <f>IF($G$129=O145,VLOOKUP(O145,AJ5:AK14,2,FALSE)-1,VLOOKUP(O145,AJ5:AK14,2,FALSE))</f>
        <v>2</v>
      </c>
      <c r="Q145" s="155"/>
      <c r="R145" s="155"/>
      <c r="S145" s="155"/>
      <c r="T145" s="155"/>
      <c r="U145" s="158"/>
      <c r="V145" s="155"/>
      <c r="W145" s="155"/>
      <c r="X145" s="263"/>
      <c r="Y145" s="155"/>
      <c r="Z145" s="155"/>
      <c r="AA145" s="263"/>
      <c r="AB145" s="263"/>
      <c r="AC145" s="155"/>
      <c r="AD145" s="155"/>
      <c r="AE145" s="155"/>
      <c r="AF145" s="155"/>
      <c r="AG145" s="270">
        <v>6</v>
      </c>
      <c r="AH145" s="271" t="s">
        <v>271</v>
      </c>
      <c r="AI145" s="271" t="s">
        <v>267</v>
      </c>
      <c r="AJ145" s="271" t="s">
        <v>273</v>
      </c>
      <c r="AK145" s="271" t="s">
        <v>259</v>
      </c>
      <c r="AL145" s="271" t="s">
        <v>475</v>
      </c>
      <c r="AM145" s="270">
        <v>12</v>
      </c>
      <c r="AN145" s="155" t="s">
        <v>271</v>
      </c>
      <c r="AO145" s="272" t="s">
        <v>267</v>
      </c>
      <c r="AP145" s="273" t="s">
        <v>273</v>
      </c>
      <c r="AQ145" s="273" t="s">
        <v>259</v>
      </c>
      <c r="AR145" s="155"/>
      <c r="AS145" s="155"/>
      <c r="AT145" s="155"/>
      <c r="AU145" s="155"/>
      <c r="AV145" s="155"/>
      <c r="AW145" s="155"/>
      <c r="AX145" s="155"/>
      <c r="AY145" s="155"/>
      <c r="AZ145" s="49"/>
      <c r="BA145" s="49"/>
      <c r="BB145" s="49"/>
      <c r="BC145" s="49"/>
      <c r="BD145" s="49"/>
      <c r="BE145" s="49"/>
      <c r="BF145" s="49"/>
      <c r="BG145" s="49"/>
      <c r="BH145" s="49"/>
      <c r="BI145" s="155"/>
      <c r="BJ145" s="155"/>
      <c r="BK145" s="155"/>
      <c r="BL145" s="49"/>
      <c r="BM145" s="49"/>
      <c r="BN145" s="49"/>
      <c r="BO145" s="49"/>
      <c r="BP145" s="49"/>
      <c r="BQ145" s="49" t="s">
        <v>249</v>
      </c>
      <c r="BR145" s="49"/>
      <c r="BS145" s="49"/>
      <c r="BT145" s="49" t="s">
        <v>267</v>
      </c>
      <c r="BU145" s="49"/>
      <c r="BV145" s="49">
        <f>IF(RIGHT(H5,1)="1",1,0)</f>
        <v>0</v>
      </c>
      <c r="BW145" s="49">
        <f>IF(RIGHT(H5,1)="2",1,0)</f>
        <v>0</v>
      </c>
      <c r="BX145" s="49">
        <f>IF(RIGHT(H5,1)="3",1,0)</f>
        <v>0</v>
      </c>
      <c r="BY145" s="49">
        <f>IF(RIGHT(H5,1)="4",1,0)</f>
        <v>0</v>
      </c>
      <c r="BZ145" s="49">
        <f>IF(RIGHT(H5,1)="5",1,0)</f>
        <v>0</v>
      </c>
      <c r="CA145" s="49"/>
      <c r="CB145" s="49"/>
      <c r="CC145" s="49">
        <f>IF(RIGHT(H5,1)="6",1,0)</f>
        <v>0</v>
      </c>
      <c r="CD145" s="49">
        <f>IF(RIGHT(H5,1)="7",1,0)</f>
        <v>0</v>
      </c>
      <c r="CE145" s="49">
        <f>IF(RIGHT(H5,1)="8",1,0)</f>
        <v>1</v>
      </c>
      <c r="CF145" s="49">
        <f>IF(RIGHT(H5,1)="9",1,0)</f>
        <v>0</v>
      </c>
      <c r="CG145" s="49">
        <f>IF(RIGHT(H5,1)="0",1,0)</f>
        <v>0</v>
      </c>
      <c r="CH145" s="49"/>
      <c r="CI145" s="49"/>
      <c r="CJ145" s="49"/>
      <c r="CK145" s="49" t="str">
        <f>CM144&amp;IF(CN144&lt;&gt;CM144,CN144,"")&amp;IF(AND(CO144&lt;&gt;CM144,CO144&lt;&gt;CN144),CO144,"")&amp;IF(AND(CP144&lt;&gt;CM144,CP144&lt;&gt;CN144,CP144&lt;&gt;CO144),CP144,"")&amp;IF(AND(CQ144&lt;&gt;CM144,CQ144&lt;&gt;CN144,CQ144&lt;&gt;CO144,CQ144&lt;&gt;CP144),CQ144,"")</f>
        <v>龍高星</v>
      </c>
      <c r="CL145" s="49"/>
      <c r="CM145" s="49"/>
      <c r="CN145" s="49"/>
      <c r="CO145" s="49"/>
      <c r="CP145" s="49"/>
      <c r="CQ145" s="49"/>
      <c r="CR145" s="49"/>
      <c r="CS145" s="49"/>
      <c r="CT145" s="155"/>
      <c r="CU145" s="155"/>
      <c r="CV145" s="155"/>
      <c r="CW145" s="155"/>
      <c r="CX145" s="155"/>
      <c r="CY145" s="155"/>
      <c r="CZ145" s="155"/>
      <c r="DA145" s="155"/>
      <c r="DB145" s="155"/>
      <c r="DC145" s="155"/>
      <c r="DD145" s="155"/>
      <c r="DE145" s="155"/>
      <c r="DF145" s="155"/>
      <c r="DG145" s="155"/>
      <c r="DH145" s="155"/>
      <c r="DI145" s="155"/>
      <c r="DJ145" s="155"/>
      <c r="DK145" s="155"/>
      <c r="DL145" s="155"/>
      <c r="DM145" s="155"/>
      <c r="DN145" s="155"/>
      <c r="DO145" s="155"/>
      <c r="DP145" s="155"/>
      <c r="DQ145" s="155"/>
      <c r="DR145" s="155"/>
      <c r="DS145" s="155"/>
      <c r="DT145" s="155"/>
      <c r="DU145" s="155"/>
      <c r="DV145" s="155"/>
      <c r="DW145" s="155"/>
      <c r="DX145" s="155"/>
    </row>
    <row r="146" spans="1:128" ht="18" customHeight="1">
      <c r="A146" s="155"/>
      <c r="B146" s="63" t="s">
        <v>434</v>
      </c>
      <c r="C146" s="155"/>
      <c r="D146" s="155"/>
      <c r="E146" s="49">
        <v>1904</v>
      </c>
      <c r="F146" s="49" t="s">
        <v>476</v>
      </c>
      <c r="G146" s="155"/>
      <c r="H146" s="155"/>
      <c r="I146" s="270"/>
      <c r="J146" s="270" t="s">
        <v>477</v>
      </c>
      <c r="K146" s="270" t="s">
        <v>478</v>
      </c>
      <c r="L146" s="270"/>
      <c r="M146" s="216" t="s">
        <v>479</v>
      </c>
      <c r="N146" s="216" t="s">
        <v>480</v>
      </c>
      <c r="O146" s="155" t="s">
        <v>275</v>
      </c>
      <c r="P146" s="155">
        <f>IF($G$129=O146,VLOOKUP(O146,AJ5:AK14,2,FALSE)-1,VLOOKUP(O146,AJ5:AK14,2,FALSE))</f>
        <v>1</v>
      </c>
      <c r="Q146" s="155"/>
      <c r="R146" s="155"/>
      <c r="S146" s="155"/>
      <c r="T146" s="155"/>
      <c r="U146" s="158"/>
      <c r="V146" s="155"/>
      <c r="W146" s="155"/>
      <c r="X146" s="263"/>
      <c r="Y146" s="155"/>
      <c r="Z146" s="155"/>
      <c r="AA146" s="263"/>
      <c r="AB146" s="263"/>
      <c r="AC146" s="155"/>
      <c r="AD146" s="155"/>
      <c r="AE146" s="155"/>
      <c r="AF146" s="155"/>
      <c r="AG146" s="270">
        <v>7</v>
      </c>
      <c r="AH146" s="271" t="s">
        <v>273</v>
      </c>
      <c r="AI146" s="271"/>
      <c r="AJ146" s="271" t="s">
        <v>271</v>
      </c>
      <c r="AK146" s="271" t="s">
        <v>263</v>
      </c>
      <c r="AL146" s="271" t="s">
        <v>481</v>
      </c>
      <c r="AM146" s="270">
        <v>7</v>
      </c>
      <c r="AN146" s="155" t="s">
        <v>273</v>
      </c>
      <c r="AO146" s="272"/>
      <c r="AP146" s="273" t="s">
        <v>271</v>
      </c>
      <c r="AQ146" s="273" t="s">
        <v>263</v>
      </c>
      <c r="AR146" s="155"/>
      <c r="AS146" s="155"/>
      <c r="AT146" s="155"/>
      <c r="AU146" s="155"/>
      <c r="AV146" s="155"/>
      <c r="AW146" s="155"/>
      <c r="AX146" s="155"/>
      <c r="AY146" s="155"/>
      <c r="AZ146" s="49"/>
      <c r="BA146" s="49"/>
      <c r="BB146" s="49"/>
      <c r="BC146" s="49"/>
      <c r="BD146" s="49"/>
      <c r="BE146" s="49"/>
      <c r="BF146" s="49"/>
      <c r="BG146" s="49"/>
      <c r="BH146" s="49"/>
      <c r="BI146" s="155"/>
      <c r="BJ146" s="155"/>
      <c r="BK146" s="155"/>
      <c r="BL146" s="49"/>
      <c r="BM146" s="49"/>
      <c r="BN146" s="49"/>
      <c r="BO146" s="49"/>
      <c r="BP146" s="49"/>
      <c r="BQ146" s="49" t="s">
        <v>255</v>
      </c>
      <c r="BR146" s="49"/>
      <c r="BS146" s="49"/>
      <c r="BT146" s="49" t="s">
        <v>274</v>
      </c>
      <c r="BU146" s="49"/>
      <c r="BV146" s="49">
        <f>SUM(BV137:BV145)</f>
        <v>0</v>
      </c>
      <c r="BW146" s="49">
        <f>SUM(BW137:BW145)</f>
        <v>0</v>
      </c>
      <c r="BX146" s="49">
        <f>SUM(BX137:BX145)</f>
        <v>1</v>
      </c>
      <c r="BY146" s="49">
        <f>SUM(BY137:BY145)</f>
        <v>0</v>
      </c>
      <c r="BZ146" s="49">
        <f>SUM(BZ137:BZ145)</f>
        <v>2</v>
      </c>
      <c r="CA146" s="49"/>
      <c r="CB146" s="49"/>
      <c r="CC146" s="49">
        <f>SUM(CC137:CC145)</f>
        <v>0</v>
      </c>
      <c r="CD146" s="49">
        <f>SUM(CD137:CD145)</f>
        <v>1</v>
      </c>
      <c r="CE146" s="49">
        <f>SUM(CE137:CE145)</f>
        <v>2</v>
      </c>
      <c r="CF146" s="49">
        <f>SUM(CF137:CF145)</f>
        <v>1</v>
      </c>
      <c r="CG146" s="49">
        <f>SUM(CG137:CG145)</f>
        <v>1</v>
      </c>
      <c r="CH146" s="49"/>
      <c r="CI146" s="49"/>
      <c r="CJ146" s="49"/>
      <c r="CK146" s="49" t="str">
        <f>IF(AND(LEN(CL144)&gt;1,COUNTIF(CL144,"*南*")=1),L132,IF(AND(LEN(CL144)&gt;1,COUNTIF(CL144,"*北*")=1),L130,IF(AND(LEN(CL144)&gt;1,COUNTIF(CL144,"*中*")=1),L131,LEFT(CM144,3))))</f>
        <v>龍高星</v>
      </c>
      <c r="CL146" s="49"/>
      <c r="CM146" s="49"/>
      <c r="CN146" s="49"/>
      <c r="CO146" s="49"/>
      <c r="CP146" s="49"/>
      <c r="CQ146" s="49"/>
      <c r="CR146" s="49"/>
      <c r="CS146" s="49"/>
      <c r="CT146" s="155"/>
      <c r="CU146" s="155"/>
      <c r="CV146" s="155"/>
      <c r="CW146" s="155"/>
      <c r="CX146" s="155"/>
      <c r="CY146" s="155"/>
      <c r="CZ146" s="155"/>
      <c r="DA146" s="155"/>
      <c r="DB146" s="155"/>
      <c r="DC146" s="155"/>
      <c r="DD146" s="155"/>
      <c r="DE146" s="155"/>
      <c r="DF146" s="155"/>
      <c r="DG146" s="155"/>
      <c r="DH146" s="155"/>
      <c r="DI146" s="155"/>
      <c r="DJ146" s="155"/>
      <c r="DK146" s="155"/>
      <c r="DL146" s="155"/>
      <c r="DM146" s="155"/>
      <c r="DN146" s="155"/>
      <c r="DO146" s="155"/>
      <c r="DP146" s="155"/>
      <c r="DQ146" s="155"/>
      <c r="DR146" s="155"/>
      <c r="DS146" s="155"/>
      <c r="DT146" s="155"/>
      <c r="DU146" s="155"/>
      <c r="DV146" s="155"/>
      <c r="DW146" s="155"/>
      <c r="DX146" s="155"/>
    </row>
    <row r="147" spans="1:128" ht="18" customHeight="1">
      <c r="A147" s="155"/>
      <c r="B147" s="63" t="s">
        <v>432</v>
      </c>
      <c r="C147" s="155"/>
      <c r="D147" s="155"/>
      <c r="E147" s="49">
        <v>1905</v>
      </c>
      <c r="F147" s="49" t="s">
        <v>461</v>
      </c>
      <c r="G147" s="155"/>
      <c r="H147" s="155"/>
      <c r="I147" s="270"/>
      <c r="J147" s="270" t="s">
        <v>482</v>
      </c>
      <c r="K147" s="270" t="s">
        <v>483</v>
      </c>
      <c r="L147" s="270"/>
      <c r="M147" s="216" t="s">
        <v>484</v>
      </c>
      <c r="N147" s="216" t="s">
        <v>485</v>
      </c>
      <c r="O147" s="155" t="s">
        <v>276</v>
      </c>
      <c r="P147" s="155">
        <f>IF($G$129=O147,VLOOKUP(O147,AJ5:AK14,2,FALSE)-1,VLOOKUP(O147,AJ5:AK14,2,FALSE))</f>
        <v>1</v>
      </c>
      <c r="Q147" s="155"/>
      <c r="R147" s="155"/>
      <c r="S147" s="155"/>
      <c r="T147" s="155"/>
      <c r="U147" s="158"/>
      <c r="V147" s="155"/>
      <c r="W147" s="155"/>
      <c r="X147" s="263"/>
      <c r="Y147" s="155"/>
      <c r="Z147" s="155"/>
      <c r="AA147" s="263"/>
      <c r="AB147" s="263"/>
      <c r="AC147" s="155"/>
      <c r="AD147" s="155"/>
      <c r="AE147" s="155"/>
      <c r="AF147" s="155"/>
      <c r="AG147" s="270">
        <v>8</v>
      </c>
      <c r="AH147" s="271" t="s">
        <v>274</v>
      </c>
      <c r="AI147" s="271" t="s">
        <v>263</v>
      </c>
      <c r="AJ147" s="271" t="s">
        <v>255</v>
      </c>
      <c r="AK147" s="271" t="s">
        <v>271</v>
      </c>
      <c r="AL147" s="271" t="s">
        <v>486</v>
      </c>
      <c r="AM147" s="270">
        <v>8</v>
      </c>
      <c r="AN147" s="155" t="s">
        <v>274</v>
      </c>
      <c r="AO147" s="272" t="s">
        <v>263</v>
      </c>
      <c r="AP147" s="273" t="s">
        <v>255</v>
      </c>
      <c r="AQ147" s="273" t="s">
        <v>271</v>
      </c>
      <c r="AR147" s="155"/>
      <c r="AS147" s="155"/>
      <c r="AT147" s="155"/>
      <c r="AU147" s="155"/>
      <c r="AV147" s="155"/>
      <c r="AW147" s="155"/>
      <c r="AX147" s="155"/>
      <c r="AY147" s="155"/>
      <c r="AZ147" s="49"/>
      <c r="BA147" s="49"/>
      <c r="BB147" s="49"/>
      <c r="BC147" s="49"/>
      <c r="BD147" s="49"/>
      <c r="BE147" s="49"/>
      <c r="BF147" s="49"/>
      <c r="BG147" s="49"/>
      <c r="BH147" s="49"/>
      <c r="BI147" s="155"/>
      <c r="BJ147" s="155"/>
      <c r="BK147" s="155"/>
      <c r="BL147" s="49"/>
      <c r="BM147" s="49"/>
      <c r="BN147" s="49"/>
      <c r="BO147" s="49"/>
      <c r="BP147" s="49"/>
      <c r="BQ147" s="49" t="s">
        <v>259</v>
      </c>
      <c r="BR147" s="49"/>
      <c r="BS147" s="49"/>
      <c r="BT147" s="49" t="s">
        <v>275</v>
      </c>
      <c r="BU147" s="49"/>
      <c r="BV147" s="63" t="s">
        <v>249</v>
      </c>
      <c r="BW147" s="63" t="s">
        <v>255</v>
      </c>
      <c r="BX147" s="63" t="s">
        <v>259</v>
      </c>
      <c r="BY147" s="63" t="s">
        <v>263</v>
      </c>
      <c r="BZ147" s="63" t="s">
        <v>267</v>
      </c>
      <c r="CA147" s="63"/>
      <c r="CB147" s="63"/>
      <c r="CC147" s="63" t="s">
        <v>271</v>
      </c>
      <c r="CD147" s="63" t="s">
        <v>273</v>
      </c>
      <c r="CE147" s="63" t="s">
        <v>274</v>
      </c>
      <c r="CF147" s="63" t="s">
        <v>275</v>
      </c>
      <c r="CG147" s="63" t="s">
        <v>276</v>
      </c>
      <c r="CH147" s="49"/>
      <c r="CI147" s="49"/>
      <c r="CJ147" s="49"/>
      <c r="CK147" s="49"/>
      <c r="CL147" s="49"/>
      <c r="CM147" s="49"/>
      <c r="CN147" s="49"/>
      <c r="CO147" s="49"/>
      <c r="CP147" s="49"/>
      <c r="CQ147" s="49"/>
      <c r="CR147" s="49"/>
      <c r="CS147" s="49"/>
      <c r="CT147" s="155"/>
      <c r="CU147" s="155"/>
      <c r="CV147" s="155"/>
      <c r="CW147" s="155"/>
      <c r="CX147" s="155"/>
      <c r="CY147" s="155"/>
      <c r="CZ147" s="155"/>
      <c r="DA147" s="155"/>
      <c r="DB147" s="155"/>
      <c r="DC147" s="155"/>
      <c r="DD147" s="155"/>
      <c r="DE147" s="155"/>
      <c r="DF147" s="155"/>
      <c r="DG147" s="155"/>
      <c r="DH147" s="155"/>
      <c r="DI147" s="155"/>
      <c r="DJ147" s="155"/>
      <c r="DK147" s="155"/>
      <c r="DL147" s="155"/>
      <c r="DM147" s="155"/>
      <c r="DN147" s="155"/>
      <c r="DO147" s="155"/>
      <c r="DP147" s="155"/>
      <c r="DQ147" s="155"/>
      <c r="DR147" s="155"/>
      <c r="DS147" s="155"/>
      <c r="DT147" s="155"/>
      <c r="DU147" s="155"/>
      <c r="DV147" s="155"/>
      <c r="DW147" s="155"/>
      <c r="DX147" s="155"/>
    </row>
    <row r="148" spans="1:128" ht="18" customHeight="1">
      <c r="A148" s="155"/>
      <c r="B148" s="63" t="s">
        <v>433</v>
      </c>
      <c r="C148" s="155"/>
      <c r="D148" s="155"/>
      <c r="E148" s="49">
        <v>1906</v>
      </c>
      <c r="F148" s="49" t="s">
        <v>466</v>
      </c>
      <c r="G148" s="155"/>
      <c r="H148" s="155"/>
      <c r="I148" s="270"/>
      <c r="J148" s="270" t="s">
        <v>487</v>
      </c>
      <c r="K148" s="270" t="s">
        <v>488</v>
      </c>
      <c r="L148" s="270"/>
      <c r="M148" s="216" t="s">
        <v>489</v>
      </c>
      <c r="N148" s="216" t="s">
        <v>490</v>
      </c>
      <c r="O148" s="155"/>
      <c r="P148" s="155"/>
      <c r="Q148" s="155"/>
      <c r="R148" s="155"/>
      <c r="S148" s="155"/>
      <c r="T148" s="155"/>
      <c r="U148" s="158"/>
      <c r="V148" s="155"/>
      <c r="W148" s="155"/>
      <c r="X148" s="263"/>
      <c r="Y148" s="155"/>
      <c r="Z148" s="155"/>
      <c r="AA148" s="263"/>
      <c r="AB148" s="263"/>
      <c r="AC148" s="155"/>
      <c r="AD148" s="155"/>
      <c r="AE148" s="155"/>
      <c r="AF148" s="155"/>
      <c r="AG148" s="270">
        <v>9</v>
      </c>
      <c r="AH148" s="271" t="s">
        <v>275</v>
      </c>
      <c r="AI148" s="271" t="s">
        <v>267</v>
      </c>
      <c r="AJ148" s="271" t="s">
        <v>275</v>
      </c>
      <c r="AK148" s="271" t="s">
        <v>273</v>
      </c>
      <c r="AL148" s="271" t="s">
        <v>491</v>
      </c>
      <c r="AM148" s="270">
        <v>9</v>
      </c>
      <c r="AN148" s="155" t="s">
        <v>275</v>
      </c>
      <c r="AO148" s="272" t="s">
        <v>267</v>
      </c>
      <c r="AP148" s="273" t="s">
        <v>275</v>
      </c>
      <c r="AQ148" s="273" t="s">
        <v>273</v>
      </c>
      <c r="AR148" s="155"/>
      <c r="AS148" s="155"/>
      <c r="AT148" s="155"/>
      <c r="AU148" s="155"/>
      <c r="AV148" s="155"/>
      <c r="AW148" s="155"/>
      <c r="AX148" s="155"/>
      <c r="AY148" s="155"/>
      <c r="AZ148" s="49"/>
      <c r="BA148" s="49"/>
      <c r="BB148" s="49"/>
      <c r="BC148" s="49"/>
      <c r="BD148" s="49"/>
      <c r="BE148" s="49"/>
      <c r="BF148" s="49"/>
      <c r="BG148" s="49"/>
      <c r="BH148" s="49"/>
      <c r="BI148" s="155"/>
      <c r="BJ148" s="155"/>
      <c r="BK148" s="155"/>
      <c r="BL148" s="49"/>
      <c r="BM148" s="49"/>
      <c r="BN148" s="49"/>
      <c r="BO148" s="49"/>
      <c r="BP148" s="49"/>
      <c r="BQ148" s="49" t="s">
        <v>263</v>
      </c>
      <c r="BR148" s="49"/>
      <c r="BS148" s="49"/>
      <c r="BT148" s="49" t="s">
        <v>255</v>
      </c>
      <c r="BU148" s="49"/>
      <c r="BV148" s="49">
        <f>IF($E$125=1,BW160,IF($E$125=2,BW161,IF($E$125=3,BW162,IF($E$125=4,BW163,IF($E$125=5,BW164,IF($E$125=6,BW165,IF($E$125=7,BW166,IF($E$125=8,BW167,0))))))))</f>
        <v>7</v>
      </c>
      <c r="BW148" s="49">
        <f>IF($E$125=1,BX160,IF($E$125=2,BX161,IF($E$125=3,BX162,IF($E$125=4,BX163,IF($E$125=5,BX164,IF($E$125=6,BX165,IF($E$125=7,BX166,IF($E$125=8,BX167,0))))))))</f>
        <v>4</v>
      </c>
      <c r="BX148" s="49">
        <f>IF($E$125=1,BY160,IF($E$125=2,BY161,IF($E$125=3,BY162,IF($E$125=4,BY163,IF($E$125=5,BY164,IF($E$125=6,BY165,IF($E$125=7,BY166,IF($E$125=8,BY167,0))))))))</f>
        <v>3</v>
      </c>
      <c r="BY148" s="49">
        <f>IF($E$125=1,BZ160,IF($E$125=2,BZ161,IF($E$125=3,BZ162,IF($E$125=4,BZ163,IF($E$125=5,BZ164,IF($E$125=6,BZ165,IF($E$125=7,BZ166,IF($E$125=8,BZ167,0))))))))</f>
        <v>1</v>
      </c>
      <c r="BZ148" s="49">
        <f>IF($E$125=1,CC160,IF($E$125=2,CC161,IF($E$125=3,CC162,IF($E$125=4,CC163,IF($E$125=5,CC164,IF($E$125=6,CC165,IF($E$125=7,CC166,IF($E$125=8,CC167,0))))))))</f>
        <v>3</v>
      </c>
      <c r="CA148" s="49"/>
      <c r="CB148" s="49"/>
      <c r="CC148" s="49">
        <f>IF($E$125=1,CD160,IF($E$125=2,CD161,IF($E$125=3,CD162,IF($E$125=4,CD163,IF($E$125=5,CD164,IF($E$125=6,CD165,IF($E$125=7,CD166,IF($E$125=8,CD167,0))))))))</f>
        <v>1</v>
      </c>
      <c r="CD148" s="49">
        <f>IF($E$125=1,CE160,IF($E$125=2,CE161,IF($E$125=3,CE162,IF($E$125=4,CE163,IF($E$125=5,CE164,IF($E$125=6,CE165,IF($E$125=7,CE166,IF($E$125=8,CE167,0))))))))</f>
        <v>2</v>
      </c>
      <c r="CE148" s="49">
        <f>IF($E$125=1,CF160,IF($E$125=2,CF161,IF($E$125=3,CF162,IF($E$125=4,CF163,IF($E$125=5,CF164,IF($E$125=6,CF165,IF($E$125=7,CF166,IF($E$125=8,CF167,0))))))))</f>
        <v>9</v>
      </c>
      <c r="CF148" s="49">
        <f>IF($E$125=1,CG160,IF($E$125=2,CG161,IF($E$125=3,CG162,IF($E$125=4,CG163,IF($E$125=5,CG164,IF($E$125=6,CG165,IF($E$125=7,CG166,IF($E$125=8,CG167,0))))))))</f>
        <v>12</v>
      </c>
      <c r="CG148" s="49">
        <f>IF($E$125=1,CH160,IF($E$125=2,CH161,IF($E$125=3,CH162,IF($E$125=4,CH163,IF($E$125=5,CH164,IF($E$125=6,CH165,IF($E$125=7,CH166,IF($E$125=8,CH167,0))))))))</f>
        <v>11</v>
      </c>
      <c r="CH148" s="49"/>
      <c r="CI148" s="49"/>
      <c r="CJ148" s="49"/>
      <c r="CK148" s="49" t="str">
        <f>IF(COUNTIF(CK149,"*Excel*"),"○","")</f>
        <v/>
      </c>
      <c r="CL148" s="49"/>
      <c r="CM148" s="49"/>
      <c r="CN148" s="49"/>
      <c r="CO148" s="49"/>
      <c r="CP148" s="49"/>
      <c r="CQ148" s="49"/>
      <c r="CR148" s="49"/>
      <c r="CS148" s="49"/>
      <c r="CT148" s="155"/>
      <c r="CU148" s="155"/>
      <c r="CV148" s="155"/>
      <c r="CW148" s="155"/>
      <c r="CX148" s="155"/>
      <c r="CY148" s="155"/>
      <c r="CZ148" s="155"/>
      <c r="DA148" s="155"/>
      <c r="DB148" s="155"/>
      <c r="DC148" s="155"/>
      <c r="DD148" s="155"/>
      <c r="DE148" s="155"/>
      <c r="DF148" s="155"/>
      <c r="DG148" s="155"/>
      <c r="DH148" s="155"/>
      <c r="DI148" s="155"/>
      <c r="DJ148" s="155"/>
      <c r="DK148" s="155"/>
      <c r="DL148" s="155"/>
      <c r="DM148" s="155"/>
      <c r="DN148" s="155"/>
      <c r="DO148" s="155"/>
      <c r="DP148" s="155"/>
      <c r="DQ148" s="155"/>
      <c r="DR148" s="155"/>
      <c r="DS148" s="155"/>
      <c r="DT148" s="155"/>
      <c r="DU148" s="155"/>
      <c r="DV148" s="155"/>
      <c r="DW148" s="155"/>
      <c r="DX148" s="155"/>
    </row>
    <row r="149" spans="1:128" ht="18" customHeight="1">
      <c r="A149" s="155"/>
      <c r="B149" s="63" t="s">
        <v>492</v>
      </c>
      <c r="C149" s="155"/>
      <c r="D149" s="155"/>
      <c r="E149" s="49">
        <v>1907</v>
      </c>
      <c r="F149" s="49" t="s">
        <v>470</v>
      </c>
      <c r="G149" s="155"/>
      <c r="H149" s="155"/>
      <c r="I149" s="270"/>
      <c r="J149" s="270" t="s">
        <v>493</v>
      </c>
      <c r="K149" s="270" t="s">
        <v>494</v>
      </c>
      <c r="L149" s="270"/>
      <c r="M149" s="216" t="s">
        <v>495</v>
      </c>
      <c r="N149" s="216" t="s">
        <v>496</v>
      </c>
      <c r="O149" s="155" t="s">
        <v>497</v>
      </c>
      <c r="P149" s="155">
        <f>P138</f>
        <v>0</v>
      </c>
      <c r="Q149" s="155"/>
      <c r="R149" s="155"/>
      <c r="S149" s="155"/>
      <c r="T149" s="155"/>
      <c r="U149" s="158"/>
      <c r="V149" s="155"/>
      <c r="W149" s="155"/>
      <c r="X149" s="263"/>
      <c r="Y149" s="155"/>
      <c r="Z149" s="155"/>
      <c r="AA149" s="263"/>
      <c r="AB149" s="263"/>
      <c r="AC149" s="155"/>
      <c r="AD149" s="155"/>
      <c r="AE149" s="155"/>
      <c r="AF149" s="143" t="str">
        <f>IF(P138&lt;&gt;0,"甲",IF(P139&lt;&gt;0,"乙",H10))</f>
        <v>辛</v>
      </c>
      <c r="AG149" s="270">
        <v>10</v>
      </c>
      <c r="AH149" s="271" t="s">
        <v>276</v>
      </c>
      <c r="AI149" s="271"/>
      <c r="AJ149" s="271"/>
      <c r="AK149" s="271" t="s">
        <v>274</v>
      </c>
      <c r="AL149" s="271" t="s">
        <v>498</v>
      </c>
      <c r="AM149" s="270">
        <v>4</v>
      </c>
      <c r="AN149" s="155" t="s">
        <v>276</v>
      </c>
      <c r="AO149" s="272"/>
      <c r="AP149" s="273"/>
      <c r="AQ149" s="273" t="s">
        <v>274</v>
      </c>
      <c r="AR149" s="155"/>
      <c r="AS149" s="155"/>
      <c r="AT149" s="155"/>
      <c r="AU149" s="155"/>
      <c r="AV149" s="155"/>
      <c r="AW149" s="155"/>
      <c r="AX149" s="155"/>
      <c r="AY149" s="155"/>
      <c r="AZ149" s="49"/>
      <c r="BA149" s="49"/>
      <c r="BB149" s="49"/>
      <c r="BC149" s="49"/>
      <c r="BD149" s="49"/>
      <c r="BE149" s="49"/>
      <c r="BF149" s="49"/>
      <c r="BG149" s="49"/>
      <c r="BH149" s="49"/>
      <c r="BI149" s="155"/>
      <c r="BJ149" s="155"/>
      <c r="BK149" s="155"/>
      <c r="BL149" s="49"/>
      <c r="BM149" s="49"/>
      <c r="BN149" s="49"/>
      <c r="BO149" s="49"/>
      <c r="BP149" s="49"/>
      <c r="BQ149" s="49" t="s">
        <v>267</v>
      </c>
      <c r="BR149" s="49"/>
      <c r="BS149" s="49"/>
      <c r="BT149" s="49" t="s">
        <v>259</v>
      </c>
      <c r="BU149" s="49"/>
      <c r="BV149" s="49">
        <f>IF($E$125=9,BW168,IF($E$125=10,BW169,IF($E$125=11,BW170,IF($E$125=12,BW171,0))))</f>
        <v>0</v>
      </c>
      <c r="BW149" s="49">
        <f>IF($E$125=9,BX168,IF($E$125=10,BX169,IF($E$125=11,BX170,IF($E$125=12,BX171,0))))</f>
        <v>0</v>
      </c>
      <c r="BX149" s="49">
        <f>IF($E$125=9,BY168,IF($E$125=10,BY169,IF($E$125=11,BY170,IF($E$125=12,BY171,0))))</f>
        <v>0</v>
      </c>
      <c r="BY149" s="49">
        <f>IF($E$125=9,BZ168,IF($E$125=10,BZ169,IF($E$125=11,BZ170,IF($E$125=12,BZ171,0))))</f>
        <v>0</v>
      </c>
      <c r="BZ149" s="49">
        <f>IF($E$125=9,CC168,IF($E$125=10,CC169,IF($E$125=11,CC170,IF($E$125=12,CC171,0))))</f>
        <v>0</v>
      </c>
      <c r="CA149" s="49"/>
      <c r="CB149" s="49"/>
      <c r="CC149" s="49">
        <f>IF($E$125=9,CD168,IF($E$125=10,CD169,IF($E$125=11,CD170,IF($E$125=12,CD171,0))))</f>
        <v>0</v>
      </c>
      <c r="CD149" s="49">
        <f>IF($E$125=9,CE168,IF($E$125=10,CE169,IF($E$125=11,CE170,IF($E$125=12,CE171,0))))</f>
        <v>0</v>
      </c>
      <c r="CE149" s="192">
        <f>IF($E$125=9,CF168,IF($E$125=10,CF169,IF($E$125=11,CF170,IF($E$125=12,CF171,0))))</f>
        <v>0</v>
      </c>
      <c r="CF149" s="49">
        <f>IF($E$125=9,CG168,IF($E$125=10,CG169,IF($E$125=11,CG170,IF($E$125=12,CG171,0))))</f>
        <v>0</v>
      </c>
      <c r="CG149" s="192">
        <f>IF($E$125=9,CH168,IF($E$125=10,CH169,IF($E$125=11,CH170,IF($E$125=12,CH171,0))))</f>
        <v>0</v>
      </c>
      <c r="CH149" s="49"/>
      <c r="CI149" s="49"/>
      <c r="CJ149" s="49"/>
      <c r="CK149" s="49"/>
      <c r="CL149" s="274"/>
      <c r="CM149" s="49"/>
      <c r="CN149" s="49"/>
      <c r="CO149" s="49"/>
      <c r="CP149" s="49"/>
      <c r="CQ149" s="49"/>
      <c r="CR149" s="49"/>
      <c r="CS149" s="49"/>
      <c r="CT149" s="155"/>
      <c r="CU149" s="155"/>
      <c r="CV149" s="155"/>
      <c r="CW149" s="155"/>
      <c r="CX149" s="155"/>
      <c r="CY149" s="155"/>
      <c r="CZ149" s="155"/>
      <c r="DA149" s="155"/>
      <c r="DB149" s="155"/>
      <c r="DC149" s="155"/>
      <c r="DD149" s="155"/>
      <c r="DE149" s="155"/>
      <c r="DF149" s="155"/>
      <c r="DG149" s="155"/>
      <c r="DH149" s="155"/>
      <c r="DI149" s="155"/>
      <c r="DJ149" s="155"/>
      <c r="DK149" s="155"/>
      <c r="DL149" s="155"/>
      <c r="DM149" s="155"/>
      <c r="DN149" s="155"/>
      <c r="DO149" s="155"/>
      <c r="DP149" s="155"/>
      <c r="DQ149" s="155"/>
      <c r="DR149" s="155"/>
      <c r="DS149" s="155"/>
      <c r="DT149" s="155"/>
      <c r="DU149" s="155"/>
      <c r="DV149" s="155"/>
      <c r="DW149" s="155"/>
      <c r="DX149" s="155"/>
    </row>
    <row r="150" spans="1:128" ht="18" customHeight="1">
      <c r="A150" s="155"/>
      <c r="B150" s="63" t="s">
        <v>499</v>
      </c>
      <c r="C150" s="155"/>
      <c r="D150" s="155"/>
      <c r="E150" s="49">
        <v>1908</v>
      </c>
      <c r="F150" s="49" t="s">
        <v>476</v>
      </c>
      <c r="G150" s="155"/>
      <c r="H150" s="155"/>
      <c r="I150" s="270"/>
      <c r="J150" s="270" t="s">
        <v>500</v>
      </c>
      <c r="K150" s="270" t="s">
        <v>501</v>
      </c>
      <c r="L150" s="270"/>
      <c r="M150" s="216" t="s">
        <v>502</v>
      </c>
      <c r="N150" s="216" t="s">
        <v>503</v>
      </c>
      <c r="O150" s="155" t="s">
        <v>504</v>
      </c>
      <c r="P150" s="155">
        <f>P139</f>
        <v>0</v>
      </c>
      <c r="Q150" s="155"/>
      <c r="R150" s="155"/>
      <c r="S150" s="155"/>
      <c r="T150" s="155"/>
      <c r="U150" s="158"/>
      <c r="V150" s="155"/>
      <c r="W150" s="155"/>
      <c r="X150" s="263"/>
      <c r="Y150" s="155"/>
      <c r="Z150" s="155"/>
      <c r="AA150" s="263"/>
      <c r="AB150" s="263"/>
      <c r="AC150" s="155"/>
      <c r="AD150" s="155"/>
      <c r="AE150" s="155"/>
      <c r="AF150" s="143" t="str">
        <f>IF(P139&lt;&gt;0,"乙",IF(P138&lt;&gt;0,"甲",H10))</f>
        <v>辛</v>
      </c>
      <c r="AG150" s="270">
        <v>11</v>
      </c>
      <c r="AH150" s="271" t="s">
        <v>249</v>
      </c>
      <c r="AI150" s="271" t="s">
        <v>274</v>
      </c>
      <c r="AJ150" s="271" t="s">
        <v>263</v>
      </c>
      <c r="AK150" s="271" t="s">
        <v>267</v>
      </c>
      <c r="AL150" s="271" t="s">
        <v>505</v>
      </c>
      <c r="AM150" s="270">
        <v>6</v>
      </c>
      <c r="AN150" s="155" t="s">
        <v>249</v>
      </c>
      <c r="AO150" s="272" t="s">
        <v>274</v>
      </c>
      <c r="AP150" s="273" t="s">
        <v>263</v>
      </c>
      <c r="AQ150" s="273" t="s">
        <v>267</v>
      </c>
      <c r="AR150" s="155"/>
      <c r="AS150" s="155"/>
      <c r="AT150" s="155"/>
      <c r="AU150" s="155"/>
      <c r="AV150" s="155"/>
      <c r="AW150" s="155"/>
      <c r="AX150" s="155"/>
      <c r="AY150" s="155"/>
      <c r="AZ150" s="49"/>
      <c r="BA150" s="49"/>
      <c r="BB150" s="49"/>
      <c r="BC150" s="49"/>
      <c r="BD150" s="49"/>
      <c r="BE150" s="49"/>
      <c r="BF150" s="49"/>
      <c r="BG150" s="49"/>
      <c r="BH150" s="49"/>
      <c r="BI150" s="155"/>
      <c r="BJ150" s="155"/>
      <c r="BK150" s="155"/>
      <c r="BL150" s="49"/>
      <c r="BM150" s="49"/>
      <c r="BN150" s="49"/>
      <c r="BO150" s="49"/>
      <c r="BP150" s="49"/>
      <c r="BQ150" s="49"/>
      <c r="BR150" s="49"/>
      <c r="BS150" s="49"/>
      <c r="BT150" s="49"/>
      <c r="BU150" s="49"/>
      <c r="BV150" s="49">
        <f>IF($F$125=1,BW160,IF($F$125=2,BW161,IF($F$125=3,BW162,IF($F$125=4,BW163,IF($F$125=5,BW164,IF($F$125=6,BW165,IF($F$125=7,BW166,IF($F$125=8,BW167,0))))))))</f>
        <v>0</v>
      </c>
      <c r="BW150" s="49">
        <f>IF($F$125=1,BX160,IF($F$125=2,BX161,IF($F$125=3,BX162,IF($F$125=4,BX163,IF($F$125=5,BX164,IF($F$125=6,BX165,IF($F$125=7,BX166,IF($F$125=8,BX167,0))))))))</f>
        <v>0</v>
      </c>
      <c r="BX150" s="49">
        <f>IF($F$125=1,BY160,IF($F$125=2,BY161,IF($F$125=3,BY162,IF($F$125=4,BY163,IF($F$125=5,BY164,IF($F$125=6,BY165,IF($F$125=7,BY166,IF($F$125=8,BY167,0))))))))</f>
        <v>0</v>
      </c>
      <c r="BY150" s="49">
        <f>IF($F$125=1,BZ160,IF($F$125=2,BZ161,IF($F$125=3,BZ162,IF($F$125=4,BZ163,IF($F$125=5,BZ164,IF($F$125=6,BZ165,IF($F$125=7,BZ166,IF($F$125=8,BZ167,0))))))))</f>
        <v>0</v>
      </c>
      <c r="BZ150" s="49">
        <f>IF($F$125=1,CC160,IF($F$125=2,CC161,IF($F$125=3,CC162,IF($F$125=4,CC163,IF($F$125=5,CC164,IF($F$125=6,CC165,IF($F$125=7,CC166,IF($F$125=8,CC167,0))))))))</f>
        <v>0</v>
      </c>
      <c r="CA150" s="49"/>
      <c r="CB150" s="49"/>
      <c r="CC150" s="49">
        <f>IF($F$125=1,CD160,IF($F$125=2,CD161,IF($F$125=3,CD162,IF($F$125=4,CD163,IF($F$125=5,CD164,IF($F$125=6,CD165,IF($F$125=7,CD166,IF($F$125=8,CD167,0))))))))</f>
        <v>0</v>
      </c>
      <c r="CD150" s="49">
        <f>IF($F$125=1,CE160,IF($F$125=2,CE161,IF($F$125=3,CE162,IF($F$125=4,CE163,IF($F$125=5,CE164,IF($F$125=6,CE165,IF($F$125=7,CE166,IF($F$125=8,CE167,0))))))))</f>
        <v>0</v>
      </c>
      <c r="CE150" s="49">
        <f>IF($F$125=1,CF160,IF($F$125=2,CF161,IF($F$125=3,CF162,IF($F$125=4,CF163,IF($F$125=5,CF164,IF($F$125=6,CF165,IF($F$125=7,CF166,IF($F$125=8,CF167,0))))))))</f>
        <v>0</v>
      </c>
      <c r="CF150" s="49">
        <f>IF($F$125=1,CG160,IF($F$125=2,CG161,IF($F$125=3,CG162,IF($F$125=4,CG163,IF($F$125=5,CG164,IF($F$125=6,CG165,IF($F$125=7,CG166,IF($F$125=8,CG167,0))))))))</f>
        <v>0</v>
      </c>
      <c r="CG150" s="49">
        <f>IF($F$125=1,CH160,IF($F$125=2,CH161,IF($F$125=3,CH162,IF($F$125=4,CH163,IF($F$125=5,CH164,IF($F$125=6,CH165,IF($F$125=7,CH166,IF($F$125=8,CH167,0))))))))</f>
        <v>0</v>
      </c>
      <c r="CH150" s="49"/>
      <c r="CI150" s="49"/>
      <c r="CJ150" s="49"/>
      <c r="CK150" s="49"/>
      <c r="CL150" s="274"/>
      <c r="CM150" s="49"/>
      <c r="CN150" s="49"/>
      <c r="CO150" s="49"/>
      <c r="CP150" s="49"/>
      <c r="CQ150" s="49"/>
      <c r="CR150" s="49"/>
      <c r="CS150" s="49"/>
      <c r="CT150" s="155"/>
      <c r="CU150" s="155"/>
      <c r="CV150" s="155"/>
      <c r="CW150" s="155"/>
      <c r="CX150" s="155"/>
      <c r="CY150" s="155"/>
      <c r="CZ150" s="155"/>
      <c r="DA150" s="155"/>
      <c r="DB150" s="155"/>
      <c r="DC150" s="155"/>
      <c r="DD150" s="155"/>
      <c r="DE150" s="155"/>
      <c r="DF150" s="155"/>
      <c r="DG150" s="155"/>
      <c r="DH150" s="155"/>
      <c r="DI150" s="155"/>
      <c r="DJ150" s="155"/>
      <c r="DK150" s="155"/>
      <c r="DL150" s="155"/>
      <c r="DM150" s="155"/>
      <c r="DN150" s="155"/>
      <c r="DO150" s="155"/>
      <c r="DP150" s="155"/>
      <c r="DQ150" s="155"/>
      <c r="DR150" s="155"/>
      <c r="DS150" s="155"/>
      <c r="DT150" s="155"/>
      <c r="DU150" s="155"/>
      <c r="DV150" s="155"/>
      <c r="DW150" s="155"/>
      <c r="DX150" s="155"/>
    </row>
    <row r="151" spans="1:128" ht="18" customHeight="1">
      <c r="A151" s="155"/>
      <c r="B151" s="63" t="s">
        <v>431</v>
      </c>
      <c r="C151" s="155"/>
      <c r="D151" s="155"/>
      <c r="E151" s="49">
        <v>1909</v>
      </c>
      <c r="F151" s="49" t="s">
        <v>461</v>
      </c>
      <c r="G151" s="155"/>
      <c r="H151" s="155"/>
      <c r="I151" s="270"/>
      <c r="J151" s="270" t="s">
        <v>506</v>
      </c>
      <c r="K151" s="270" t="s">
        <v>507</v>
      </c>
      <c r="L151" s="270"/>
      <c r="M151" s="216" t="s">
        <v>508</v>
      </c>
      <c r="N151" s="216" t="s">
        <v>509</v>
      </c>
      <c r="O151" s="155"/>
      <c r="P151" s="155"/>
      <c r="Q151" s="155"/>
      <c r="R151" s="155"/>
      <c r="S151" s="155"/>
      <c r="T151" s="155"/>
      <c r="U151" s="158"/>
      <c r="V151" s="155"/>
      <c r="W151" s="155"/>
      <c r="X151" s="263"/>
      <c r="Y151" s="155"/>
      <c r="Z151" s="155"/>
      <c r="AA151" s="263"/>
      <c r="AB151" s="263"/>
      <c r="AC151" s="155"/>
      <c r="AD151" s="155"/>
      <c r="AE151" s="155"/>
      <c r="AF151" s="155"/>
      <c r="AG151" s="270">
        <v>12</v>
      </c>
      <c r="AH151" s="271" t="s">
        <v>255</v>
      </c>
      <c r="AI151" s="271"/>
      <c r="AJ151" s="271" t="s">
        <v>249</v>
      </c>
      <c r="AK151" s="271" t="s">
        <v>275</v>
      </c>
      <c r="AL151" s="271" t="s">
        <v>510</v>
      </c>
      <c r="AM151" s="270">
        <v>2</v>
      </c>
      <c r="AN151" s="155" t="s">
        <v>255</v>
      </c>
      <c r="AO151" s="272"/>
      <c r="AP151" s="273" t="s">
        <v>249</v>
      </c>
      <c r="AQ151" s="273" t="s">
        <v>275</v>
      </c>
      <c r="AR151" s="155"/>
      <c r="AS151" s="155"/>
      <c r="AT151" s="155"/>
      <c r="AU151" s="155"/>
      <c r="AV151" s="155"/>
      <c r="AW151" s="155"/>
      <c r="AX151" s="155"/>
      <c r="AY151" s="155"/>
      <c r="AZ151" s="49"/>
      <c r="BA151" s="49"/>
      <c r="BB151" s="49"/>
      <c r="BC151" s="49"/>
      <c r="BD151" s="49"/>
      <c r="BE151" s="49"/>
      <c r="BF151" s="49"/>
      <c r="BG151" s="49"/>
      <c r="BH151" s="49"/>
      <c r="BI151" s="155"/>
      <c r="BJ151" s="155"/>
      <c r="BK151" s="155"/>
      <c r="BL151" s="49"/>
      <c r="BM151" s="49"/>
      <c r="BN151" s="49"/>
      <c r="BO151" s="49"/>
      <c r="BP151" s="49"/>
      <c r="BQ151" s="49"/>
      <c r="BR151" s="49"/>
      <c r="BS151" s="49"/>
      <c r="BT151" s="49"/>
      <c r="BU151" s="49"/>
      <c r="BV151" s="49">
        <f>IF($F$125=9,BW168,IF($F$125=10,BW169,IF($F$125=11,BW170,IF($F$125=12,BW171,0))))</f>
        <v>1</v>
      </c>
      <c r="BW151" s="49">
        <f>IF($F$125=9,BX168,IF($F$125=10,BX169,IF($F$125=11,BX170,IF($F$125=12,BX171,0))))</f>
        <v>3</v>
      </c>
      <c r="BX151" s="49">
        <f>IF($F$125=9,BY168,IF($F$125=10,BY169,IF($F$125=11,BY170,IF($F$125=12,BY171,0))))</f>
        <v>4</v>
      </c>
      <c r="BY151" s="49">
        <f>IF($F$125=9,BZ168,IF($F$125=10,BZ169,IF($F$125=11,BZ170,IF($F$125=12,BZ171,0))))</f>
        <v>7</v>
      </c>
      <c r="BZ151" s="49">
        <f>IF($F$125=9,CC168,IF($F$125=10,CC169,IF($F$125=11,CC170,IF($F$125=12,CC171,0))))</f>
        <v>4</v>
      </c>
      <c r="CA151" s="49"/>
      <c r="CB151" s="49"/>
      <c r="CC151" s="49">
        <f>IF($F$125=9,CD168,IF($F$125=10,CD169,IF($F$125=11,CD170,IF($F$125=12,CD171,0))))</f>
        <v>7</v>
      </c>
      <c r="CD151" s="49">
        <f>IF($F$125=9,CE168,IF($F$125=10,CE169,IF($F$125=11,CE170,IF($F$125=12,CE171,0))))</f>
        <v>11</v>
      </c>
      <c r="CE151" s="49">
        <f>IF($F$125=9,CF168,IF($F$125=10,CF169,IF($F$125=11,CF170,IF($F$125=12,CF171,0))))</f>
        <v>12</v>
      </c>
      <c r="CF151" s="49">
        <f>IF($F$125=9,CG168,IF($F$125=10,CG169,IF($F$125=11,CG170,IF($F$125=12,CG171,0))))</f>
        <v>9</v>
      </c>
      <c r="CG151" s="49">
        <f>IF($F$125=9,CH168,IF($F$125=10,CH169,IF($F$125=11,CH170,IF($F$125=12,CH171,0))))</f>
        <v>2</v>
      </c>
      <c r="CH151" s="49"/>
      <c r="CI151" s="49"/>
      <c r="CJ151" s="49"/>
      <c r="CK151" s="49"/>
      <c r="CL151" s="274"/>
      <c r="CM151" s="49"/>
      <c r="CN151" s="49"/>
      <c r="CO151" s="49"/>
      <c r="CP151" s="49"/>
      <c r="CQ151" s="49"/>
      <c r="CR151" s="49"/>
      <c r="CS151" s="49"/>
      <c r="CT151" s="155"/>
      <c r="CU151" s="155"/>
      <c r="CV151" s="155"/>
      <c r="CW151" s="155"/>
      <c r="CX151" s="155"/>
      <c r="CY151" s="155"/>
      <c r="CZ151" s="155"/>
      <c r="DA151" s="155"/>
      <c r="DB151" s="155"/>
      <c r="DC151" s="155"/>
      <c r="DD151" s="155"/>
      <c r="DE151" s="155"/>
      <c r="DF151" s="155"/>
      <c r="DG151" s="155"/>
      <c r="DH151" s="155"/>
      <c r="DI151" s="155"/>
      <c r="DJ151" s="155"/>
      <c r="DK151" s="155"/>
      <c r="DL151" s="155"/>
      <c r="DM151" s="155"/>
      <c r="DN151" s="155"/>
      <c r="DO151" s="155"/>
      <c r="DP151" s="155"/>
      <c r="DQ151" s="155"/>
      <c r="DR151" s="155"/>
      <c r="DS151" s="155"/>
      <c r="DT151" s="155"/>
      <c r="DU151" s="155"/>
      <c r="DV151" s="155"/>
      <c r="DW151" s="155"/>
      <c r="DX151" s="155"/>
    </row>
    <row r="152" spans="1:128" ht="18" customHeight="1">
      <c r="A152" s="155"/>
      <c r="B152" s="63" t="s">
        <v>436</v>
      </c>
      <c r="C152" s="155"/>
      <c r="D152" s="155"/>
      <c r="E152" s="49">
        <v>1910</v>
      </c>
      <c r="F152" s="49" t="s">
        <v>511</v>
      </c>
      <c r="G152" s="155"/>
      <c r="H152" s="155"/>
      <c r="I152" s="270"/>
      <c r="J152" s="270" t="s">
        <v>512</v>
      </c>
      <c r="K152" s="270" t="s">
        <v>513</v>
      </c>
      <c r="L152" s="270"/>
      <c r="M152" s="216" t="s">
        <v>514</v>
      </c>
      <c r="N152" s="216" t="s">
        <v>515</v>
      </c>
      <c r="O152" s="155" t="s">
        <v>516</v>
      </c>
      <c r="P152" s="155">
        <f>P140</f>
        <v>1</v>
      </c>
      <c r="Q152" s="155"/>
      <c r="R152" s="155"/>
      <c r="S152" s="155"/>
      <c r="T152" s="155"/>
      <c r="U152" s="158"/>
      <c r="V152" s="155"/>
      <c r="W152" s="155"/>
      <c r="X152" s="263"/>
      <c r="Y152" s="155"/>
      <c r="Z152" s="155"/>
      <c r="AA152" s="263"/>
      <c r="AB152" s="263"/>
      <c r="AC152" s="155"/>
      <c r="AD152" s="155"/>
      <c r="AE152" s="155"/>
      <c r="AF152" s="143" t="str">
        <f>IF(P140&lt;&gt;0,"丙",IF(P141&lt;&gt;0,"丁",H10))</f>
        <v>丙</v>
      </c>
      <c r="AG152" s="270">
        <v>13</v>
      </c>
      <c r="AH152" s="271" t="s">
        <v>259</v>
      </c>
      <c r="AI152" s="271"/>
      <c r="AJ152" s="271"/>
      <c r="AK152" s="271" t="s">
        <v>276</v>
      </c>
      <c r="AL152" s="271" t="s">
        <v>456</v>
      </c>
      <c r="AM152" s="270">
        <v>3</v>
      </c>
      <c r="AN152" s="155" t="s">
        <v>259</v>
      </c>
      <c r="AO152" s="272"/>
      <c r="AP152" s="273"/>
      <c r="AQ152" s="273" t="s">
        <v>276</v>
      </c>
      <c r="AR152" s="155"/>
      <c r="AS152" s="155"/>
      <c r="AT152" s="155"/>
      <c r="AU152" s="155"/>
      <c r="AV152" s="155"/>
      <c r="AW152" s="155"/>
      <c r="AX152" s="155"/>
      <c r="AY152" s="155"/>
      <c r="AZ152" s="49"/>
      <c r="BA152" s="49"/>
      <c r="BB152" s="49"/>
      <c r="BC152" s="49"/>
      <c r="BD152" s="49"/>
      <c r="BE152" s="49"/>
      <c r="BF152" s="49"/>
      <c r="BG152" s="49"/>
      <c r="BH152" s="49"/>
      <c r="BI152" s="155"/>
      <c r="BJ152" s="155"/>
      <c r="BK152" s="155"/>
      <c r="BL152" s="49"/>
      <c r="BM152" s="49"/>
      <c r="BN152" s="49"/>
      <c r="BO152" s="49"/>
      <c r="BP152" s="49"/>
      <c r="BQ152" s="49"/>
      <c r="BR152" s="49"/>
      <c r="BS152" s="49"/>
      <c r="BT152" s="49"/>
      <c r="BU152" s="49"/>
      <c r="BV152" s="49">
        <f>IF($G$125=1,BW160,IF($G$125=2,BW161,IF($G$125=3,BW162,IF($G$125=4,BW163,IF($G$125=5,BW164,IF($G$125=6,BW165,IF($G$125=7,BW166,IF($G$125=8,BW167,0))))))))</f>
        <v>0</v>
      </c>
      <c r="BW152" s="49">
        <f>IF($G$125=1,BX160,IF($G$125=2,BX161,IF($G$125=3,BX162,IF($G$125=4,BX163,IF($G$125=5,BX164,IF($G$125=6,BX165,IF($G$125=7,BX166,IF($G$125=8,BX167,0))))))))</f>
        <v>0</v>
      </c>
      <c r="BX152" s="49">
        <f>IF($G$125=1,BY160,IF($G$125=2,BY161,IF($G$125=3,BY162,IF($G$125=4,BY163,IF($G$125=5,BY164,IF($G$125=6,BY165,IF($G$125=7,BY166,IF($G$125=8,BY167,0))))))))</f>
        <v>0</v>
      </c>
      <c r="BY152" s="49">
        <f>IF($G$125=1,BZ160,IF($G$125=2,BZ161,IF($G$125=3,BZ162,IF($G$125=4,BZ163,IF($G$125=5,BZ164,IF($G$125=6,BZ165,IF($G$125=7,BZ166,IF($G$125=8,BZ167,0))))))))</f>
        <v>0</v>
      </c>
      <c r="BZ152" s="49">
        <f>IF($G$125=1,CC160,IF($G$125=2,CC161,IF($G$125=3,CC162,IF($G$125=4,CC163,IF($G$125=5,CC164,IF($G$125=6,CC165,IF($G$125=7,CC166,IF($G$125=8,CC167,0))))))))</f>
        <v>0</v>
      </c>
      <c r="CA152" s="49"/>
      <c r="CB152" s="49"/>
      <c r="CC152" s="49">
        <f>IF($G$125=1,CD160,IF($G$125=2,CD161,IF($G$125=3,CD162,IF($G$125=4,CD163,IF($G$125=5,CD164,IF($G$125=6,CD165,IF($G$125=7,CD166,IF($G$125=8,CD167,0))))))))</f>
        <v>0</v>
      </c>
      <c r="CD152" s="49">
        <f>IF($G$125=1,CE160,IF($G$125=2,CE161,IF($G$125=3,CE162,IF($G$125=4,CE163,IF($G$125=5,CE164,IF($G$125=6,CE165,IF($G$125=7,CE166,IF($G$125=8,CE167,0))))))))</f>
        <v>0</v>
      </c>
      <c r="CE152" s="49">
        <f>IF($G$125=1,CF160,IF($G$125=2,CF161,IF($G$125=3,CF162,IF($G$125=4,CF163,IF($G$125=5,CF164,IF($G$125=6,CF165,IF($G$125=7,CF166,IF($G$125=8,CF167,0))))))))</f>
        <v>0</v>
      </c>
      <c r="CF152" s="49">
        <f>IF($G$125=1,CG160,IF($G$125=2,CG161,IF($G$125=3,CG162,IF($G$125=4,CG163,IF($G$125=5,CG164,IF($G$125=6,CG165,IF($G$125=7,CG166,IF($G$125=8,CG167,0))))))))</f>
        <v>0</v>
      </c>
      <c r="CG152" s="49">
        <f>IF($G$125=1,CH160,IF($G$125=2,CH161,IF($G$125=3,CH162,IF($G$125=4,CH163,IF($G$125=5,CH164,IF($G$125=6,CH165,IF($G$125=7,CH166,IF($G$125=8,CH167,0))))))))</f>
        <v>0</v>
      </c>
      <c r="CH152" s="49"/>
      <c r="CI152" s="49"/>
      <c r="CJ152" s="49"/>
      <c r="CK152" s="49"/>
      <c r="CL152" s="274"/>
      <c r="CM152" s="49"/>
      <c r="CN152" s="49"/>
      <c r="CO152" s="49"/>
      <c r="CP152" s="49"/>
      <c r="CQ152" s="49"/>
      <c r="CR152" s="49"/>
      <c r="CS152" s="49"/>
      <c r="CT152" s="155"/>
      <c r="CU152" s="155"/>
      <c r="CV152" s="155"/>
      <c r="CW152" s="155"/>
      <c r="CX152" s="155"/>
      <c r="CY152" s="155"/>
      <c r="CZ152" s="155"/>
      <c r="DA152" s="155"/>
      <c r="DB152" s="155"/>
      <c r="DC152" s="155"/>
      <c r="DD152" s="155"/>
      <c r="DE152" s="155"/>
      <c r="DF152" s="155"/>
      <c r="DG152" s="155"/>
      <c r="DH152" s="155"/>
      <c r="DI152" s="155"/>
      <c r="DJ152" s="155"/>
      <c r="DK152" s="155"/>
      <c r="DL152" s="155"/>
      <c r="DM152" s="155"/>
      <c r="DN152" s="155"/>
      <c r="DO152" s="155"/>
      <c r="DP152" s="155"/>
      <c r="DQ152" s="155"/>
      <c r="DR152" s="155"/>
      <c r="DS152" s="155"/>
      <c r="DT152" s="155"/>
      <c r="DU152" s="155"/>
      <c r="DV152" s="155"/>
      <c r="DW152" s="155"/>
      <c r="DX152" s="155"/>
    </row>
    <row r="153" spans="1:128" ht="18" customHeight="1">
      <c r="A153" s="155"/>
      <c r="B153" s="155"/>
      <c r="C153" s="155"/>
      <c r="D153" s="155"/>
      <c r="E153" s="49">
        <v>1911</v>
      </c>
      <c r="F153" s="49" t="s">
        <v>470</v>
      </c>
      <c r="G153" s="155"/>
      <c r="H153" s="155"/>
      <c r="I153" s="270"/>
      <c r="J153" s="270" t="s">
        <v>517</v>
      </c>
      <c r="K153" s="270" t="s">
        <v>518</v>
      </c>
      <c r="L153" s="270"/>
      <c r="M153" s="216" t="s">
        <v>519</v>
      </c>
      <c r="N153" s="216" t="s">
        <v>520</v>
      </c>
      <c r="O153" s="155" t="s">
        <v>521</v>
      </c>
      <c r="P153" s="155">
        <f>P141</f>
        <v>0</v>
      </c>
      <c r="Q153" s="155"/>
      <c r="R153" s="155"/>
      <c r="S153" s="155"/>
      <c r="T153" s="155"/>
      <c r="U153" s="158"/>
      <c r="V153" s="155"/>
      <c r="W153" s="155"/>
      <c r="X153" s="263"/>
      <c r="Y153" s="155"/>
      <c r="Z153" s="155"/>
      <c r="AA153" s="263"/>
      <c r="AB153" s="263"/>
      <c r="AC153" s="155"/>
      <c r="AD153" s="155"/>
      <c r="AE153" s="155"/>
      <c r="AF153" s="143" t="str">
        <f>IF(P141&lt;&gt;0,"丁",IF(P140&lt;&gt;0,"丙",H10))</f>
        <v>丙</v>
      </c>
      <c r="AG153" s="270">
        <v>14</v>
      </c>
      <c r="AH153" s="271" t="s">
        <v>263</v>
      </c>
      <c r="AI153" s="271" t="s">
        <v>276</v>
      </c>
      <c r="AJ153" s="271" t="s">
        <v>274</v>
      </c>
      <c r="AK153" s="271" t="s">
        <v>271</v>
      </c>
      <c r="AL153" s="271" t="s">
        <v>458</v>
      </c>
      <c r="AM153" s="270">
        <v>5</v>
      </c>
      <c r="AN153" s="155" t="s">
        <v>263</v>
      </c>
      <c r="AO153" s="272" t="s">
        <v>276</v>
      </c>
      <c r="AP153" s="273" t="s">
        <v>274</v>
      </c>
      <c r="AQ153" s="273" t="s">
        <v>271</v>
      </c>
      <c r="AR153" s="155"/>
      <c r="AS153" s="155"/>
      <c r="AT153" s="155"/>
      <c r="AU153" s="155"/>
      <c r="AV153" s="155"/>
      <c r="AW153" s="155"/>
      <c r="AX153" s="155"/>
      <c r="AY153" s="155"/>
      <c r="AZ153" s="49"/>
      <c r="BA153" s="49"/>
      <c r="BB153" s="49"/>
      <c r="BC153" s="49"/>
      <c r="BD153" s="49"/>
      <c r="BE153" s="49"/>
      <c r="BF153" s="49"/>
      <c r="BG153" s="49"/>
      <c r="BH153" s="49"/>
      <c r="BI153" s="155"/>
      <c r="BJ153" s="155"/>
      <c r="BK153" s="155"/>
      <c r="BL153" s="49"/>
      <c r="BM153" s="49"/>
      <c r="BN153" s="49"/>
      <c r="BO153" s="49"/>
      <c r="BP153" s="49"/>
      <c r="BQ153" s="49"/>
      <c r="BR153" s="49"/>
      <c r="BS153" s="49"/>
      <c r="BT153" s="49"/>
      <c r="BU153" s="49"/>
      <c r="BV153" s="49">
        <f>IF($G$125=9,BW168,IF($G$125=10,BW169,IF($G$125=11,BW170,IF($G$125=12,BW171,0))))</f>
        <v>3</v>
      </c>
      <c r="BW153" s="49">
        <f>IF($G$125=9,BX168,IF($G$125=10,BX169,IF($G$125=11,BX170,IF($G$125=12,BX171,0))))</f>
        <v>1</v>
      </c>
      <c r="BX153" s="49">
        <f>IF($G$125=9,BY168,IF($G$125=10,BY169,IF($G$125=11,BY170,IF($G$125=12,BY171,0))))</f>
        <v>2</v>
      </c>
      <c r="BY153" s="49">
        <f>IF($G$125=9,BZ168,IF($G$125=10,BZ169,IF($G$125=11,BZ170,IF($G$125=12,BZ171,0))))</f>
        <v>9</v>
      </c>
      <c r="BZ153" s="192">
        <f>IF($G$125=9,CC168,IF($G$125=10,CC169,IF($G$125=11,CC170,IF($G$125=12,CC171,0))))</f>
        <v>2</v>
      </c>
      <c r="CA153" s="49"/>
      <c r="CB153" s="49"/>
      <c r="CC153" s="49">
        <f>IF($G$125=9,CD168,IF($G$125=10,CD169,IF($G$125=11,CD170,IF($G$125=12,CD171,0))))</f>
        <v>9</v>
      </c>
      <c r="CD153" s="49">
        <f>IF($G$125=9,CE168,IF($G$125=10,CE169,IF($G$125=11,CE170,IF($G$125=12,CE171,0))))</f>
        <v>12</v>
      </c>
      <c r="CE153" s="49">
        <f>IF($G$125=9,CF168,IF($G$125=10,CF169,IF($G$125=11,CF170,IF($G$125=12,CF171,0))))</f>
        <v>11</v>
      </c>
      <c r="CF153" s="49">
        <f>IF($G$125=9,CG168,IF($G$125=10,CG169,IF($G$125=11,CG170,IF($G$125=12,CG171,0))))</f>
        <v>7</v>
      </c>
      <c r="CG153" s="49">
        <f>IF($G$125=9,CH168,IF($G$125=10,CH169,IF($G$125=11,CH170,IF($G$125=12,CH171,0))))</f>
        <v>4</v>
      </c>
      <c r="CH153" s="49"/>
      <c r="CI153" s="49"/>
      <c r="CJ153" s="49"/>
      <c r="CK153" s="49"/>
      <c r="CL153" s="274"/>
      <c r="CM153" s="49"/>
      <c r="CN153" s="49"/>
      <c r="CO153" s="49"/>
      <c r="CP153" s="49"/>
      <c r="CQ153" s="49"/>
      <c r="CR153" s="49"/>
      <c r="CS153" s="49"/>
      <c r="CT153" s="155"/>
      <c r="CU153" s="155"/>
      <c r="CV153" s="155"/>
      <c r="CW153" s="155"/>
      <c r="CX153" s="155"/>
      <c r="CY153" s="155"/>
      <c r="CZ153" s="155"/>
      <c r="DA153" s="155"/>
      <c r="DB153" s="155"/>
      <c r="DC153" s="155"/>
      <c r="DD153" s="155"/>
      <c r="DE153" s="155"/>
      <c r="DF153" s="155"/>
      <c r="DG153" s="155"/>
      <c r="DH153" s="155"/>
      <c r="DI153" s="155"/>
      <c r="DJ153" s="155"/>
      <c r="DK153" s="155"/>
      <c r="DL153" s="155"/>
      <c r="DM153" s="155"/>
      <c r="DN153" s="155"/>
      <c r="DO153" s="155"/>
      <c r="DP153" s="155"/>
      <c r="DQ153" s="155"/>
      <c r="DR153" s="155"/>
      <c r="DS153" s="155"/>
      <c r="DT153" s="155"/>
      <c r="DU153" s="155"/>
      <c r="DV153" s="155"/>
      <c r="DW153" s="155"/>
      <c r="DX153" s="155"/>
    </row>
    <row r="154" spans="1:128" ht="18" customHeight="1">
      <c r="A154" s="155"/>
      <c r="B154" s="155"/>
      <c r="C154" s="155"/>
      <c r="D154" s="155"/>
      <c r="E154" s="49">
        <v>1912</v>
      </c>
      <c r="F154" s="49" t="s">
        <v>476</v>
      </c>
      <c r="G154" s="155"/>
      <c r="H154" s="155"/>
      <c r="I154" s="270"/>
      <c r="J154" s="270" t="s">
        <v>522</v>
      </c>
      <c r="K154" s="270" t="s">
        <v>523</v>
      </c>
      <c r="L154" s="270"/>
      <c r="M154" s="216" t="s">
        <v>524</v>
      </c>
      <c r="N154" s="216" t="s">
        <v>525</v>
      </c>
      <c r="O154" s="155"/>
      <c r="P154" s="143"/>
      <c r="Q154" s="143"/>
      <c r="R154" s="143"/>
      <c r="S154" s="143"/>
      <c r="T154" s="155"/>
      <c r="U154" s="158"/>
      <c r="V154" s="155"/>
      <c r="W154" s="155"/>
      <c r="X154" s="263"/>
      <c r="Y154" s="155"/>
      <c r="Z154" s="155"/>
      <c r="AA154" s="263"/>
      <c r="AB154" s="263"/>
      <c r="AC154" s="155"/>
      <c r="AD154" s="155"/>
      <c r="AE154" s="155"/>
      <c r="AF154" s="155"/>
      <c r="AG154" s="270">
        <v>15</v>
      </c>
      <c r="AH154" s="271" t="s">
        <v>267</v>
      </c>
      <c r="AI154" s="271" t="s">
        <v>267</v>
      </c>
      <c r="AJ154" s="271" t="s">
        <v>259</v>
      </c>
      <c r="AK154" s="271" t="s">
        <v>249</v>
      </c>
      <c r="AL154" s="271" t="s">
        <v>459</v>
      </c>
      <c r="AM154" s="270">
        <v>9</v>
      </c>
      <c r="AN154" s="155" t="s">
        <v>267</v>
      </c>
      <c r="AO154" s="272" t="s">
        <v>267</v>
      </c>
      <c r="AP154" s="273" t="s">
        <v>259</v>
      </c>
      <c r="AQ154" s="273" t="s">
        <v>249</v>
      </c>
      <c r="AR154" s="143"/>
      <c r="AS154" s="143"/>
      <c r="AT154" s="143"/>
      <c r="AU154" s="155"/>
      <c r="AV154" s="155"/>
      <c r="AW154" s="155"/>
      <c r="AX154" s="155"/>
      <c r="AY154" s="155"/>
      <c r="AZ154" s="49"/>
      <c r="BA154" s="49"/>
      <c r="BB154" s="49"/>
      <c r="BC154" s="49"/>
      <c r="BD154" s="49"/>
      <c r="BE154" s="49"/>
      <c r="BF154" s="49"/>
      <c r="BG154" s="49"/>
      <c r="BH154" s="49"/>
      <c r="BI154" s="143"/>
      <c r="BJ154" s="143"/>
      <c r="BK154" s="143"/>
      <c r="BL154" s="49"/>
      <c r="BM154" s="49"/>
      <c r="BN154" s="49"/>
      <c r="BO154" s="49"/>
      <c r="BP154" s="49"/>
      <c r="BQ154" s="49"/>
      <c r="BR154" s="49"/>
      <c r="BS154" s="49"/>
      <c r="BT154" s="49"/>
      <c r="BU154" s="49"/>
      <c r="BV154" s="49">
        <f>SUM(BV148:BV153)</f>
        <v>11</v>
      </c>
      <c r="BW154" s="186">
        <f>SUM(BW148:BW153)</f>
        <v>8</v>
      </c>
      <c r="BX154" s="49">
        <f>SUM(BX148:BX153)</f>
        <v>9</v>
      </c>
      <c r="BY154" s="49">
        <f>SUM(BY148:BY153)</f>
        <v>17</v>
      </c>
      <c r="BZ154" s="49">
        <f>SUM(BZ148:BZ153)</f>
        <v>9</v>
      </c>
      <c r="CA154" s="49"/>
      <c r="CB154" s="49"/>
      <c r="CC154" s="49">
        <f>SUM(CC148:CC153)</f>
        <v>17</v>
      </c>
      <c r="CD154" s="49">
        <f>SUM(CD148:CD153)</f>
        <v>25</v>
      </c>
      <c r="CE154" s="49">
        <f>SUM(CE148:CE153)</f>
        <v>32</v>
      </c>
      <c r="CF154" s="49">
        <f>SUM(CF148:CF153)</f>
        <v>28</v>
      </c>
      <c r="CG154" s="49">
        <f>SUM(CG148:CG153)</f>
        <v>17</v>
      </c>
      <c r="CH154" s="49"/>
      <c r="CI154" s="49"/>
      <c r="CJ154" s="49"/>
      <c r="CK154" s="49"/>
      <c r="CL154" s="274"/>
      <c r="CM154" s="49"/>
      <c r="CN154" s="49"/>
      <c r="CO154" s="49"/>
      <c r="CP154" s="49"/>
      <c r="CQ154" s="49"/>
      <c r="CR154" s="49"/>
      <c r="CS154" s="49"/>
      <c r="CT154" s="155"/>
      <c r="CU154" s="155"/>
      <c r="CV154" s="155"/>
      <c r="CW154" s="155"/>
      <c r="CX154" s="155"/>
      <c r="CY154" s="155"/>
      <c r="CZ154" s="155"/>
      <c r="DA154" s="155"/>
      <c r="DB154" s="155"/>
      <c r="DC154" s="155"/>
      <c r="DD154" s="155"/>
      <c r="DE154" s="155"/>
      <c r="DF154" s="155"/>
      <c r="DG154" s="155"/>
      <c r="DH154" s="155"/>
      <c r="DI154" s="155"/>
      <c r="DJ154" s="155"/>
      <c r="DK154" s="155"/>
      <c r="DL154" s="155"/>
      <c r="DM154" s="155"/>
      <c r="DN154" s="155"/>
      <c r="DO154" s="155"/>
      <c r="DP154" s="155"/>
      <c r="DQ154" s="155"/>
      <c r="DR154" s="155"/>
      <c r="DS154" s="155"/>
      <c r="DT154" s="155"/>
      <c r="DU154" s="155"/>
      <c r="DV154" s="155"/>
      <c r="DW154" s="155"/>
      <c r="DX154" s="155"/>
    </row>
    <row r="155" spans="1:128" ht="18" customHeight="1">
      <c r="A155" s="271" t="str">
        <f t="shared" ref="A155:A254" si="46">C155&amp;LEFT(B155,1)</f>
        <v>鳳閣星丙</v>
      </c>
      <c r="B155" s="271" t="s">
        <v>526</v>
      </c>
      <c r="C155" s="271" t="s">
        <v>434</v>
      </c>
      <c r="D155" s="155" t="str">
        <f t="shared" ref="D155:D254" si="47">RIGHT(B155,1)</f>
        <v>戊</v>
      </c>
      <c r="E155" s="49">
        <v>1913</v>
      </c>
      <c r="F155" s="49" t="s">
        <v>461</v>
      </c>
      <c r="G155" s="155"/>
      <c r="H155" s="155"/>
      <c r="I155" s="270"/>
      <c r="J155" s="270" t="s">
        <v>527</v>
      </c>
      <c r="K155" s="270" t="s">
        <v>528</v>
      </c>
      <c r="L155" s="270"/>
      <c r="M155" s="216" t="s">
        <v>529</v>
      </c>
      <c r="N155" s="216" t="s">
        <v>530</v>
      </c>
      <c r="O155" s="155" t="s">
        <v>531</v>
      </c>
      <c r="P155" s="155">
        <f>P142</f>
        <v>1</v>
      </c>
      <c r="Q155" s="155"/>
      <c r="R155" s="155"/>
      <c r="S155" s="155"/>
      <c r="T155" s="155"/>
      <c r="U155" s="158"/>
      <c r="V155" s="155"/>
      <c r="W155" s="155"/>
      <c r="X155" s="263"/>
      <c r="Y155" s="155"/>
      <c r="Z155" s="155"/>
      <c r="AA155" s="263"/>
      <c r="AB155" s="263"/>
      <c r="AC155" s="155"/>
      <c r="AD155" s="155"/>
      <c r="AE155" s="155"/>
      <c r="AF155" s="143" t="str">
        <f>IF(P142&lt;&gt;0,"戊",IF(P143&lt;&gt;0,"己",H10))</f>
        <v>戊</v>
      </c>
      <c r="AG155" s="270">
        <v>16</v>
      </c>
      <c r="AH155" s="271" t="s">
        <v>271</v>
      </c>
      <c r="AI155" s="271"/>
      <c r="AJ155" s="271"/>
      <c r="AK155" s="271" t="s">
        <v>255</v>
      </c>
      <c r="AL155" s="271" t="s">
        <v>464</v>
      </c>
      <c r="AM155" s="270">
        <v>4</v>
      </c>
      <c r="AN155" s="155" t="s">
        <v>271</v>
      </c>
      <c r="AO155" s="272"/>
      <c r="AP155" s="273"/>
      <c r="AQ155" s="273" t="s">
        <v>255</v>
      </c>
      <c r="AR155" s="155"/>
      <c r="AS155" s="155"/>
      <c r="AT155" s="155"/>
      <c r="AU155" s="155"/>
      <c r="AV155" s="155"/>
      <c r="AW155" s="155"/>
      <c r="AX155" s="155"/>
      <c r="AY155" s="155"/>
      <c r="AZ155" s="49"/>
      <c r="BA155" s="49"/>
      <c r="BB155" s="49"/>
      <c r="BC155" s="49"/>
      <c r="BD155" s="49"/>
      <c r="BE155" s="49"/>
      <c r="BF155" s="49"/>
      <c r="BG155" s="49"/>
      <c r="BH155" s="49"/>
      <c r="BI155" s="155"/>
      <c r="BJ155" s="155"/>
      <c r="BK155" s="155"/>
      <c r="BL155" s="49"/>
      <c r="BM155" s="49"/>
      <c r="BN155" s="49"/>
      <c r="BO155" s="49"/>
      <c r="BP155" s="49"/>
      <c r="BQ155" s="49"/>
      <c r="BR155" s="49"/>
      <c r="BS155" s="49"/>
      <c r="BT155" s="49"/>
      <c r="BU155" s="49"/>
      <c r="BV155" s="49">
        <f>BV156*BV154</f>
        <v>0</v>
      </c>
      <c r="BW155" s="49">
        <f>BW156*BW154</f>
        <v>0</v>
      </c>
      <c r="BX155" s="49">
        <f>BX156*BX154</f>
        <v>9</v>
      </c>
      <c r="BY155" s="49">
        <f>BY156*BY154</f>
        <v>0</v>
      </c>
      <c r="BZ155" s="49">
        <f>BZ156*BZ154</f>
        <v>9</v>
      </c>
      <c r="CA155" s="49"/>
      <c r="CB155" s="49"/>
      <c r="CC155" s="49">
        <f>CC156*CC154</f>
        <v>0</v>
      </c>
      <c r="CD155" s="49">
        <f>CD156*CD154</f>
        <v>25</v>
      </c>
      <c r="CE155" s="49">
        <f>CE156*CE154</f>
        <v>64</v>
      </c>
      <c r="CF155" s="49">
        <f>CF156*CF154</f>
        <v>28</v>
      </c>
      <c r="CG155" s="49">
        <f>CG156*CG154</f>
        <v>17</v>
      </c>
      <c r="CH155" s="49">
        <f>SUM(BV155:CG155)</f>
        <v>152</v>
      </c>
      <c r="CI155" s="49"/>
      <c r="CJ155" s="49"/>
      <c r="CK155" s="49"/>
      <c r="CL155" s="274"/>
      <c r="CM155" s="49"/>
      <c r="CN155" s="49"/>
      <c r="CO155" s="49"/>
      <c r="CP155" s="49"/>
      <c r="CQ155" s="49"/>
      <c r="CR155" s="49"/>
      <c r="CS155" s="49"/>
      <c r="CT155" s="155"/>
      <c r="CU155" s="155"/>
      <c r="CV155" s="155"/>
      <c r="CW155" s="155"/>
      <c r="CX155" s="155"/>
      <c r="CY155" s="155"/>
      <c r="CZ155" s="155"/>
      <c r="DA155" s="155"/>
      <c r="DB155" s="155"/>
      <c r="DC155" s="155"/>
      <c r="DD155" s="155"/>
      <c r="DE155" s="155"/>
      <c r="DF155" s="155"/>
      <c r="DG155" s="155"/>
      <c r="DH155" s="155"/>
      <c r="DI155" s="155"/>
      <c r="DJ155" s="155"/>
      <c r="DK155" s="155"/>
      <c r="DL155" s="155"/>
      <c r="DM155" s="155"/>
      <c r="DN155" s="155"/>
      <c r="DO155" s="155"/>
      <c r="DP155" s="155"/>
      <c r="DQ155" s="155"/>
      <c r="DR155" s="155"/>
      <c r="DS155" s="155"/>
      <c r="DT155" s="155"/>
      <c r="DU155" s="155"/>
      <c r="DV155" s="155"/>
      <c r="DW155" s="155"/>
      <c r="DX155" s="155"/>
    </row>
    <row r="156" spans="1:128" ht="18" customHeight="1">
      <c r="A156" s="271" t="str">
        <f t="shared" si="46"/>
        <v>鳳閣星丁</v>
      </c>
      <c r="B156" s="271" t="s">
        <v>532</v>
      </c>
      <c r="C156" s="271" t="s">
        <v>434</v>
      </c>
      <c r="D156" s="155" t="str">
        <f t="shared" si="47"/>
        <v>己</v>
      </c>
      <c r="E156" s="49">
        <v>1914</v>
      </c>
      <c r="F156" s="49" t="s">
        <v>511</v>
      </c>
      <c r="G156" s="155"/>
      <c r="H156" s="155"/>
      <c r="I156" s="270"/>
      <c r="J156" s="270" t="s">
        <v>533</v>
      </c>
      <c r="K156" s="270" t="s">
        <v>534</v>
      </c>
      <c r="L156" s="270"/>
      <c r="M156" s="216" t="s">
        <v>535</v>
      </c>
      <c r="N156" s="216" t="s">
        <v>536</v>
      </c>
      <c r="O156" s="155" t="s">
        <v>537</v>
      </c>
      <c r="P156" s="155">
        <f>P143</f>
        <v>0</v>
      </c>
      <c r="Q156" s="155"/>
      <c r="R156" s="155"/>
      <c r="S156" s="155"/>
      <c r="T156" s="155"/>
      <c r="U156" s="158"/>
      <c r="V156" s="155"/>
      <c r="W156" s="155"/>
      <c r="X156" s="263"/>
      <c r="Y156" s="155"/>
      <c r="Z156" s="155"/>
      <c r="AA156" s="263"/>
      <c r="AB156" s="263"/>
      <c r="AC156" s="155"/>
      <c r="AD156" s="155"/>
      <c r="AE156" s="155"/>
      <c r="AF156" s="143" t="str">
        <f>IF(P143&lt;&gt;0,"己",IF(P142&lt;&gt;0,"戊",H10))</f>
        <v>戊</v>
      </c>
      <c r="AG156" s="270">
        <v>17</v>
      </c>
      <c r="AH156" s="271" t="s">
        <v>273</v>
      </c>
      <c r="AI156" s="271" t="s">
        <v>255</v>
      </c>
      <c r="AJ156" s="271" t="s">
        <v>276</v>
      </c>
      <c r="AK156" s="271" t="s">
        <v>267</v>
      </c>
      <c r="AL156" s="271" t="s">
        <v>469</v>
      </c>
      <c r="AM156" s="270">
        <v>6</v>
      </c>
      <c r="AN156" s="155" t="s">
        <v>273</v>
      </c>
      <c r="AO156" s="272" t="s">
        <v>255</v>
      </c>
      <c r="AP156" s="273" t="s">
        <v>276</v>
      </c>
      <c r="AQ156" s="273" t="s">
        <v>267</v>
      </c>
      <c r="AR156" s="155"/>
      <c r="AS156" s="155"/>
      <c r="AT156" s="155"/>
      <c r="AU156" s="155"/>
      <c r="AV156" s="155"/>
      <c r="AW156" s="155"/>
      <c r="AX156" s="155"/>
      <c r="AY156" s="155"/>
      <c r="AZ156" s="49"/>
      <c r="BA156" s="49"/>
      <c r="BB156" s="49"/>
      <c r="BC156" s="49"/>
      <c r="BD156" s="49"/>
      <c r="BE156" s="49"/>
      <c r="BF156" s="49"/>
      <c r="BG156" s="49"/>
      <c r="BH156" s="49"/>
      <c r="BI156" s="155"/>
      <c r="BJ156" s="155"/>
      <c r="BK156" s="155"/>
      <c r="BL156" s="49"/>
      <c r="BM156" s="49"/>
      <c r="BN156" s="49"/>
      <c r="BO156" s="49"/>
      <c r="BP156" s="49"/>
      <c r="BQ156" s="49"/>
      <c r="BR156" s="49"/>
      <c r="BS156" s="49"/>
      <c r="BT156" s="49"/>
      <c r="BU156" s="49"/>
      <c r="BV156" s="49">
        <f>IF(VLOOKUP($F$6&amp;BV147,$B$155:$D$254,2,FALSE)="貫索星",BV146-1,BV146)</f>
        <v>0</v>
      </c>
      <c r="BW156" s="49">
        <f>IF(VLOOKUP($F$6&amp;BW147,$B$155:$D$254,2,FALSE)="貫索星",BW146-1,BW146)</f>
        <v>0</v>
      </c>
      <c r="BX156" s="49">
        <f>IF(VLOOKUP($F$6&amp;BX147,$B$155:$D$254,2,FALSE)="貫索星",BX146-1,BX146)</f>
        <v>1</v>
      </c>
      <c r="BY156" s="49">
        <f>IF(VLOOKUP($F$6&amp;BY147,$B$155:$D$254,2,FALSE)="貫索星",BY146-1,BY146)</f>
        <v>0</v>
      </c>
      <c r="BZ156" s="49">
        <f>IF(VLOOKUP($F$6&amp;BZ147,$B$155:$D$254,2,FALSE)="貫索星",BZ146-1,BZ146)</f>
        <v>1</v>
      </c>
      <c r="CA156" s="49"/>
      <c r="CB156" s="49"/>
      <c r="CC156" s="49">
        <f>IF(VLOOKUP($F$6&amp;CC147,$B$155:$D$254,2,FALSE)="貫索星",CC146-1,CC146)</f>
        <v>0</v>
      </c>
      <c r="CD156" s="49">
        <f>IF(VLOOKUP($F$6&amp;CD147,$B$155:$D$254,2,FALSE)="貫索星",CD146-1,CD146)</f>
        <v>1</v>
      </c>
      <c r="CE156" s="49">
        <f>IF(VLOOKUP($F$6&amp;CE147,$B$155:$D$254,2,FALSE)="貫索星",CE146-1,CE146)</f>
        <v>2</v>
      </c>
      <c r="CF156" s="49">
        <f>IF(VLOOKUP($F$6&amp;CF147,$B$155:$D$254,2,FALSE)="貫索星",CF146-1,CF146)</f>
        <v>1</v>
      </c>
      <c r="CG156" s="49">
        <f>IF(VLOOKUP($F$6&amp;CG147,$B$155:$D$254,2,FALSE)="貫索星",CG146-1,CG146)</f>
        <v>1</v>
      </c>
      <c r="CH156" s="49"/>
      <c r="CI156" s="49"/>
      <c r="CJ156" s="49"/>
      <c r="CK156" s="49"/>
      <c r="CL156" s="274"/>
      <c r="CM156" s="49"/>
      <c r="CN156" s="49"/>
      <c r="CO156" s="49"/>
      <c r="CP156" s="49"/>
      <c r="CQ156" s="49"/>
      <c r="CR156" s="49"/>
      <c r="CS156" s="49"/>
      <c r="CT156" s="155"/>
      <c r="CU156" s="155"/>
      <c r="CV156" s="155"/>
      <c r="CW156" s="155"/>
      <c r="CX156" s="155"/>
      <c r="CY156" s="155"/>
      <c r="CZ156" s="155"/>
      <c r="DA156" s="155"/>
      <c r="DB156" s="155"/>
      <c r="DC156" s="155"/>
      <c r="DD156" s="155"/>
      <c r="DE156" s="155"/>
      <c r="DF156" s="155"/>
      <c r="DG156" s="155"/>
      <c r="DH156" s="155"/>
      <c r="DI156" s="155"/>
      <c r="DJ156" s="155"/>
      <c r="DK156" s="155"/>
      <c r="DL156" s="155"/>
      <c r="DM156" s="155"/>
      <c r="DN156" s="155"/>
      <c r="DO156" s="155"/>
      <c r="DP156" s="155"/>
      <c r="DQ156" s="155"/>
      <c r="DR156" s="155"/>
      <c r="DS156" s="155"/>
      <c r="DT156" s="155"/>
      <c r="DU156" s="155"/>
      <c r="DV156" s="155"/>
      <c r="DW156" s="155"/>
      <c r="DX156" s="155"/>
    </row>
    <row r="157" spans="1:128" ht="18" customHeight="1">
      <c r="A157" s="271" t="str">
        <f t="shared" si="46"/>
        <v>鳳閣星庚</v>
      </c>
      <c r="B157" s="271" t="s">
        <v>538</v>
      </c>
      <c r="C157" s="271" t="s">
        <v>434</v>
      </c>
      <c r="D157" s="155" t="str">
        <f t="shared" si="47"/>
        <v>壬</v>
      </c>
      <c r="E157" s="49">
        <v>1915</v>
      </c>
      <c r="F157" s="49" t="s">
        <v>470</v>
      </c>
      <c r="G157" s="155"/>
      <c r="H157" s="155"/>
      <c r="I157" s="270"/>
      <c r="J157" s="270" t="s">
        <v>539</v>
      </c>
      <c r="K157" s="270" t="s">
        <v>540</v>
      </c>
      <c r="L157" s="270"/>
      <c r="M157" s="216" t="s">
        <v>541</v>
      </c>
      <c r="N157" s="216" t="s">
        <v>542</v>
      </c>
      <c r="O157" s="155"/>
      <c r="P157" s="155"/>
      <c r="Q157" s="155"/>
      <c r="R157" s="155"/>
      <c r="S157" s="155"/>
      <c r="T157" s="155"/>
      <c r="U157" s="158"/>
      <c r="V157" s="155"/>
      <c r="W157" s="155"/>
      <c r="X157" s="263"/>
      <c r="Y157" s="155"/>
      <c r="Z157" s="155"/>
      <c r="AA157" s="263"/>
      <c r="AB157" s="263"/>
      <c r="AC157" s="155"/>
      <c r="AD157" s="155"/>
      <c r="AE157" s="155"/>
      <c r="AF157" s="155"/>
      <c r="AG157" s="270">
        <v>18</v>
      </c>
      <c r="AH157" s="271" t="s">
        <v>274</v>
      </c>
      <c r="AI157" s="271" t="s">
        <v>267</v>
      </c>
      <c r="AJ157" s="271" t="s">
        <v>273</v>
      </c>
      <c r="AK157" s="271" t="s">
        <v>259</v>
      </c>
      <c r="AL157" s="271" t="s">
        <v>475</v>
      </c>
      <c r="AM157" s="270">
        <v>2</v>
      </c>
      <c r="AN157" s="155" t="s">
        <v>274</v>
      </c>
      <c r="AO157" s="272" t="s">
        <v>267</v>
      </c>
      <c r="AP157" s="273" t="s">
        <v>273</v>
      </c>
      <c r="AQ157" s="273" t="s">
        <v>259</v>
      </c>
      <c r="AR157" s="155"/>
      <c r="AS157" s="155"/>
      <c r="AT157" s="155"/>
      <c r="AU157" s="155"/>
      <c r="AV157" s="155"/>
      <c r="AW157" s="155"/>
      <c r="AX157" s="155"/>
      <c r="AY157" s="155"/>
      <c r="AZ157" s="49"/>
      <c r="BA157" s="49"/>
      <c r="BB157" s="49"/>
      <c r="BC157" s="49"/>
      <c r="BD157" s="49"/>
      <c r="BE157" s="49"/>
      <c r="BF157" s="49"/>
      <c r="BG157" s="49"/>
      <c r="BH157" s="49"/>
      <c r="BI157" s="155"/>
      <c r="BJ157" s="155"/>
      <c r="BK157" s="155"/>
      <c r="BL157" s="49"/>
      <c r="BM157" s="49"/>
      <c r="BN157" s="49"/>
      <c r="BO157" s="49"/>
      <c r="BP157" s="49"/>
      <c r="BQ157" s="49"/>
      <c r="BR157" s="49"/>
      <c r="BS157" s="49"/>
      <c r="BT157" s="49"/>
      <c r="BU157" s="49"/>
      <c r="BV157" s="49">
        <f>BV146*BV154</f>
        <v>0</v>
      </c>
      <c r="BW157" s="49">
        <f>BW146*BW154</f>
        <v>0</v>
      </c>
      <c r="BX157" s="49">
        <f>BX146*BX154</f>
        <v>9</v>
      </c>
      <c r="BY157" s="49">
        <f>BY146*BY154</f>
        <v>0</v>
      </c>
      <c r="BZ157" s="49">
        <f>BZ146*BZ154</f>
        <v>18</v>
      </c>
      <c r="CA157" s="49"/>
      <c r="CB157" s="49"/>
      <c r="CC157" s="49">
        <f>CC146*CC154</f>
        <v>0</v>
      </c>
      <c r="CD157" s="49">
        <f>CD146*CD154</f>
        <v>25</v>
      </c>
      <c r="CE157" s="49">
        <f>CE146*CE154</f>
        <v>64</v>
      </c>
      <c r="CF157" s="49">
        <f>CF146*CF154</f>
        <v>28</v>
      </c>
      <c r="CG157" s="49">
        <f>CG146*CG154</f>
        <v>17</v>
      </c>
      <c r="CH157" s="49">
        <f>SUM(BV157:CG157)</f>
        <v>161</v>
      </c>
      <c r="CI157" s="49"/>
      <c r="CJ157" s="49"/>
      <c r="CK157" s="49"/>
      <c r="CL157" s="274"/>
      <c r="CM157" s="49"/>
      <c r="CN157" s="49"/>
      <c r="CO157" s="49"/>
      <c r="CP157" s="49"/>
      <c r="CQ157" s="49"/>
      <c r="CR157" s="49"/>
      <c r="CS157" s="49"/>
      <c r="CT157" s="155"/>
      <c r="CU157" s="155"/>
      <c r="CV157" s="155"/>
      <c r="CW157" s="155"/>
      <c r="CX157" s="155"/>
      <c r="CY157" s="155"/>
      <c r="CZ157" s="155"/>
      <c r="DA157" s="155"/>
      <c r="DB157" s="155"/>
      <c r="DC157" s="155"/>
      <c r="DD157" s="155"/>
      <c r="DE157" s="155"/>
      <c r="DF157" s="155"/>
      <c r="DG157" s="155"/>
      <c r="DH157" s="155"/>
      <c r="DI157" s="155"/>
      <c r="DJ157" s="155"/>
      <c r="DK157" s="155"/>
      <c r="DL157" s="155"/>
      <c r="DM157" s="155"/>
      <c r="DN157" s="155"/>
      <c r="DO157" s="155"/>
      <c r="DP157" s="155"/>
      <c r="DQ157" s="155"/>
      <c r="DR157" s="155"/>
      <c r="DS157" s="155"/>
      <c r="DT157" s="155"/>
      <c r="DU157" s="155"/>
      <c r="DV157" s="155"/>
      <c r="DW157" s="155"/>
      <c r="DX157" s="155"/>
    </row>
    <row r="158" spans="1:128" ht="18" customHeight="1">
      <c r="A158" s="271" t="str">
        <f t="shared" si="46"/>
        <v>鳳閣星辛</v>
      </c>
      <c r="B158" s="271" t="s">
        <v>543</v>
      </c>
      <c r="C158" s="271" t="s">
        <v>434</v>
      </c>
      <c r="D158" s="155" t="str">
        <f t="shared" si="47"/>
        <v>癸</v>
      </c>
      <c r="E158" s="49">
        <v>1916</v>
      </c>
      <c r="F158" s="49" t="s">
        <v>476</v>
      </c>
      <c r="G158" s="155"/>
      <c r="H158" s="155"/>
      <c r="I158" s="270"/>
      <c r="J158" s="270" t="s">
        <v>544</v>
      </c>
      <c r="K158" s="270" t="s">
        <v>545</v>
      </c>
      <c r="L158" s="270"/>
      <c r="M158" s="216" t="s">
        <v>546</v>
      </c>
      <c r="N158" s="216" t="s">
        <v>547</v>
      </c>
      <c r="O158" s="155" t="s">
        <v>548</v>
      </c>
      <c r="P158" s="155">
        <f>P144</f>
        <v>1</v>
      </c>
      <c r="Q158" s="155"/>
      <c r="R158" s="155"/>
      <c r="S158" s="155"/>
      <c r="T158" s="155"/>
      <c r="U158" s="158"/>
      <c r="V158" s="155"/>
      <c r="W158" s="155"/>
      <c r="X158" s="263"/>
      <c r="Y158" s="155"/>
      <c r="Z158" s="155"/>
      <c r="AA158" s="263"/>
      <c r="AB158" s="263"/>
      <c r="AC158" s="155"/>
      <c r="AD158" s="155"/>
      <c r="AE158" s="155"/>
      <c r="AF158" s="143" t="str">
        <f>IF(P144&lt;&gt;0,"庚",IF(P145&lt;&gt;0,"辛",H10))</f>
        <v>庚</v>
      </c>
      <c r="AG158" s="270">
        <v>19</v>
      </c>
      <c r="AH158" s="271" t="s">
        <v>275</v>
      </c>
      <c r="AI158" s="271"/>
      <c r="AJ158" s="271" t="s">
        <v>271</v>
      </c>
      <c r="AK158" s="271" t="s">
        <v>263</v>
      </c>
      <c r="AL158" s="271" t="s">
        <v>481</v>
      </c>
      <c r="AM158" s="270">
        <v>3</v>
      </c>
      <c r="AN158" s="155" t="s">
        <v>275</v>
      </c>
      <c r="AO158" s="272"/>
      <c r="AP158" s="273" t="s">
        <v>271</v>
      </c>
      <c r="AQ158" s="273" t="s">
        <v>263</v>
      </c>
      <c r="AR158" s="155"/>
      <c r="AS158" s="155"/>
      <c r="AT158" s="155"/>
      <c r="AU158" s="155"/>
      <c r="AV158" s="155"/>
      <c r="AW158" s="155"/>
      <c r="AX158" s="155"/>
      <c r="AY158" s="155"/>
      <c r="AZ158" s="49"/>
      <c r="BA158" s="49"/>
      <c r="BB158" s="49"/>
      <c r="BC158" s="49"/>
      <c r="BD158" s="49"/>
      <c r="BE158" s="49"/>
      <c r="BF158" s="49"/>
      <c r="BG158" s="49"/>
      <c r="BH158" s="49"/>
      <c r="BI158" s="155"/>
      <c r="BJ158" s="155"/>
      <c r="BK158" s="155"/>
      <c r="BL158" s="49"/>
      <c r="BM158" s="49"/>
      <c r="BN158" s="49"/>
      <c r="BO158" s="49"/>
      <c r="BP158" s="49"/>
      <c r="BQ158" s="49"/>
      <c r="BR158" s="49"/>
      <c r="BS158" s="49"/>
      <c r="BT158" s="49"/>
      <c r="BU158" s="49"/>
      <c r="BV158" s="49"/>
      <c r="BW158" s="49" t="s">
        <v>249</v>
      </c>
      <c r="BX158" s="49" t="s">
        <v>255</v>
      </c>
      <c r="BY158" s="49" t="s">
        <v>259</v>
      </c>
      <c r="BZ158" s="49" t="s">
        <v>263</v>
      </c>
      <c r="CA158" s="49"/>
      <c r="CB158" s="49"/>
      <c r="CC158" s="49" t="s">
        <v>267</v>
      </c>
      <c r="CD158" s="49" t="s">
        <v>271</v>
      </c>
      <c r="CE158" s="49" t="s">
        <v>273</v>
      </c>
      <c r="CF158" s="49" t="s">
        <v>274</v>
      </c>
      <c r="CG158" s="49" t="s">
        <v>275</v>
      </c>
      <c r="CH158" s="49" t="s">
        <v>276</v>
      </c>
      <c r="CI158" s="49"/>
      <c r="CJ158" s="49"/>
      <c r="CK158" s="49"/>
      <c r="CL158" s="274"/>
      <c r="CM158" s="49"/>
      <c r="CN158" s="49"/>
      <c r="CO158" s="49"/>
      <c r="CP158" s="49"/>
      <c r="CQ158" s="49"/>
      <c r="CR158" s="49"/>
      <c r="CS158" s="49"/>
      <c r="CT158" s="155"/>
      <c r="CU158" s="155"/>
      <c r="CV158" s="155"/>
      <c r="CW158" s="155"/>
      <c r="CX158" s="155"/>
      <c r="CY158" s="155"/>
      <c r="CZ158" s="155"/>
      <c r="DA158" s="155"/>
      <c r="DB158" s="155"/>
      <c r="DC158" s="155"/>
      <c r="DD158" s="155"/>
      <c r="DE158" s="155"/>
      <c r="DF158" s="155"/>
      <c r="DG158" s="155"/>
      <c r="DH158" s="155"/>
      <c r="DI158" s="155"/>
      <c r="DJ158" s="155"/>
      <c r="DK158" s="155"/>
      <c r="DL158" s="155"/>
      <c r="DM158" s="155"/>
      <c r="DN158" s="155"/>
      <c r="DO158" s="155"/>
      <c r="DP158" s="155"/>
      <c r="DQ158" s="155"/>
      <c r="DR158" s="155"/>
      <c r="DS158" s="155"/>
      <c r="DT158" s="155"/>
      <c r="DU158" s="155"/>
      <c r="DV158" s="155"/>
      <c r="DW158" s="155"/>
      <c r="DX158" s="155"/>
    </row>
    <row r="159" spans="1:128" ht="18" customHeight="1">
      <c r="A159" s="271" t="str">
        <f t="shared" si="46"/>
        <v>鳳閣星壬</v>
      </c>
      <c r="B159" s="271" t="s">
        <v>549</v>
      </c>
      <c r="C159" s="271" t="s">
        <v>434</v>
      </c>
      <c r="D159" s="155" t="str">
        <f t="shared" si="47"/>
        <v>甲</v>
      </c>
      <c r="E159" s="49">
        <v>1917</v>
      </c>
      <c r="F159" s="49" t="s">
        <v>461</v>
      </c>
      <c r="G159" s="155"/>
      <c r="H159" s="155"/>
      <c r="I159" s="270"/>
      <c r="J159" s="270" t="s">
        <v>550</v>
      </c>
      <c r="K159" s="270" t="s">
        <v>551</v>
      </c>
      <c r="L159" s="270"/>
      <c r="M159" s="216" t="s">
        <v>552</v>
      </c>
      <c r="N159" s="216" t="s">
        <v>553</v>
      </c>
      <c r="O159" s="155" t="s">
        <v>554</v>
      </c>
      <c r="P159" s="155">
        <f>P145</f>
        <v>2</v>
      </c>
      <c r="Q159" s="155"/>
      <c r="R159" s="155"/>
      <c r="S159" s="155"/>
      <c r="T159" s="155"/>
      <c r="U159" s="158"/>
      <c r="V159" s="155"/>
      <c r="W159" s="155"/>
      <c r="X159" s="263"/>
      <c r="Y159" s="155"/>
      <c r="Z159" s="155"/>
      <c r="AA159" s="263"/>
      <c r="AB159" s="263"/>
      <c r="AC159" s="155"/>
      <c r="AD159" s="155"/>
      <c r="AE159" s="155"/>
      <c r="AF159" s="143" t="str">
        <f>IF(P145&lt;&gt;0,"辛",IF(P144&lt;&gt;0,"庚",H10))</f>
        <v>辛</v>
      </c>
      <c r="AG159" s="270">
        <v>20</v>
      </c>
      <c r="AH159" s="271" t="s">
        <v>276</v>
      </c>
      <c r="AI159" s="271" t="s">
        <v>263</v>
      </c>
      <c r="AJ159" s="271" t="s">
        <v>255</v>
      </c>
      <c r="AK159" s="271" t="s">
        <v>271</v>
      </c>
      <c r="AL159" s="271" t="s">
        <v>486</v>
      </c>
      <c r="AM159" s="270">
        <v>5</v>
      </c>
      <c r="AN159" s="155" t="s">
        <v>276</v>
      </c>
      <c r="AO159" s="272" t="s">
        <v>263</v>
      </c>
      <c r="AP159" s="273" t="s">
        <v>255</v>
      </c>
      <c r="AQ159" s="273" t="s">
        <v>271</v>
      </c>
      <c r="AR159" s="155"/>
      <c r="AS159" s="155"/>
      <c r="AT159" s="155"/>
      <c r="AU159" s="155"/>
      <c r="AV159" s="155"/>
      <c r="AW159" s="155"/>
      <c r="AX159" s="155"/>
      <c r="AY159" s="155"/>
      <c r="AZ159" s="49"/>
      <c r="BA159" s="49"/>
      <c r="BB159" s="49"/>
      <c r="BC159" s="49"/>
      <c r="BD159" s="49"/>
      <c r="BE159" s="49"/>
      <c r="BF159" s="49"/>
      <c r="BG159" s="49"/>
      <c r="BH159" s="49"/>
      <c r="BI159" s="155"/>
      <c r="BJ159" s="155"/>
      <c r="BK159" s="155"/>
      <c r="BL159" s="49"/>
      <c r="BM159" s="49"/>
      <c r="BN159" s="49"/>
      <c r="BO159" s="49"/>
      <c r="BP159" s="49"/>
      <c r="BQ159" s="49"/>
      <c r="BR159" s="49"/>
      <c r="BS159" s="49"/>
      <c r="BT159" s="49"/>
      <c r="BU159" s="49"/>
      <c r="BV159" s="85" t="s">
        <v>555</v>
      </c>
      <c r="BW159" s="85">
        <v>1</v>
      </c>
      <c r="BX159" s="85">
        <v>2</v>
      </c>
      <c r="BY159" s="85">
        <v>3</v>
      </c>
      <c r="BZ159" s="85">
        <v>4</v>
      </c>
      <c r="CA159" s="85"/>
      <c r="CB159" s="85"/>
      <c r="CC159" s="85">
        <v>5</v>
      </c>
      <c r="CD159" s="85">
        <v>6</v>
      </c>
      <c r="CE159" s="85">
        <v>7</v>
      </c>
      <c r="CF159" s="85">
        <v>8</v>
      </c>
      <c r="CG159" s="85">
        <v>9</v>
      </c>
      <c r="CH159" s="85">
        <v>0</v>
      </c>
      <c r="CI159" s="49"/>
      <c r="CJ159" s="49"/>
      <c r="CK159" s="49"/>
      <c r="CL159" s="274"/>
      <c r="CM159" s="49"/>
      <c r="CN159" s="49"/>
      <c r="CO159" s="49"/>
      <c r="CP159" s="49"/>
      <c r="CQ159" s="49"/>
      <c r="CR159" s="49"/>
      <c r="CS159" s="49"/>
      <c r="CT159" s="155"/>
      <c r="CU159" s="155"/>
      <c r="CV159" s="155"/>
      <c r="CW159" s="155"/>
      <c r="CX159" s="155"/>
      <c r="CY159" s="155"/>
      <c r="CZ159" s="155"/>
      <c r="DA159" s="155"/>
      <c r="DB159" s="155"/>
      <c r="DC159" s="155"/>
      <c r="DD159" s="155"/>
      <c r="DE159" s="155"/>
      <c r="DF159" s="155"/>
      <c r="DG159" s="155"/>
      <c r="DH159" s="155"/>
      <c r="DI159" s="155"/>
      <c r="DJ159" s="155"/>
      <c r="DK159" s="155"/>
      <c r="DL159" s="155"/>
      <c r="DM159" s="155"/>
      <c r="DN159" s="155"/>
      <c r="DO159" s="155"/>
      <c r="DP159" s="155"/>
      <c r="DQ159" s="155"/>
      <c r="DR159" s="155"/>
      <c r="DS159" s="155"/>
      <c r="DT159" s="155"/>
      <c r="DU159" s="155"/>
      <c r="DV159" s="155"/>
      <c r="DW159" s="155"/>
      <c r="DX159" s="155"/>
    </row>
    <row r="160" spans="1:128" ht="18" customHeight="1">
      <c r="A160" s="271" t="str">
        <f t="shared" si="46"/>
        <v>鳳閣星癸</v>
      </c>
      <c r="B160" s="271" t="s">
        <v>556</v>
      </c>
      <c r="C160" s="271" t="s">
        <v>434</v>
      </c>
      <c r="D160" s="155" t="str">
        <f t="shared" si="47"/>
        <v>乙</v>
      </c>
      <c r="E160" s="49">
        <v>1918</v>
      </c>
      <c r="F160" s="49" t="s">
        <v>461</v>
      </c>
      <c r="G160" s="155"/>
      <c r="H160" s="155"/>
      <c r="I160" s="270"/>
      <c r="J160" s="270" t="s">
        <v>557</v>
      </c>
      <c r="K160" s="270" t="s">
        <v>558</v>
      </c>
      <c r="L160" s="270"/>
      <c r="M160" s="216" t="s">
        <v>559</v>
      </c>
      <c r="N160" s="216" t="s">
        <v>560</v>
      </c>
      <c r="O160" s="155"/>
      <c r="P160" s="155"/>
      <c r="Q160" s="155"/>
      <c r="R160" s="155"/>
      <c r="S160" s="155"/>
      <c r="T160" s="155"/>
      <c r="U160" s="158"/>
      <c r="V160" s="155"/>
      <c r="W160" s="155"/>
      <c r="X160" s="263"/>
      <c r="Y160" s="155"/>
      <c r="Z160" s="155"/>
      <c r="AA160" s="263"/>
      <c r="AB160" s="263"/>
      <c r="AC160" s="155"/>
      <c r="AD160" s="155"/>
      <c r="AE160" s="155"/>
      <c r="AF160" s="155"/>
      <c r="AG160" s="270">
        <v>21</v>
      </c>
      <c r="AH160" s="271" t="s">
        <v>249</v>
      </c>
      <c r="AI160" s="271" t="s">
        <v>267</v>
      </c>
      <c r="AJ160" s="271" t="s">
        <v>275</v>
      </c>
      <c r="AK160" s="271" t="s">
        <v>273</v>
      </c>
      <c r="AL160" s="271" t="s">
        <v>491</v>
      </c>
      <c r="AM160" s="270">
        <v>1</v>
      </c>
      <c r="AN160" s="155" t="s">
        <v>249</v>
      </c>
      <c r="AO160" s="272" t="s">
        <v>267</v>
      </c>
      <c r="AP160" s="273" t="s">
        <v>275</v>
      </c>
      <c r="AQ160" s="273" t="s">
        <v>273</v>
      </c>
      <c r="AR160" s="155"/>
      <c r="AS160" s="155"/>
      <c r="AT160" s="155"/>
      <c r="AU160" s="155"/>
      <c r="AV160" s="155"/>
      <c r="AW160" s="155"/>
      <c r="AX160" s="155"/>
      <c r="AY160" s="155"/>
      <c r="AZ160" s="49"/>
      <c r="BA160" s="49"/>
      <c r="BB160" s="49"/>
      <c r="BC160" s="49"/>
      <c r="BD160" s="49"/>
      <c r="BE160" s="49"/>
      <c r="BF160" s="49"/>
      <c r="BG160" s="49"/>
      <c r="BH160" s="49"/>
      <c r="BI160" s="155"/>
      <c r="BJ160" s="155"/>
      <c r="BK160" s="155"/>
      <c r="BL160" s="49"/>
      <c r="BM160" s="49"/>
      <c r="BN160" s="49"/>
      <c r="BO160" s="49"/>
      <c r="BP160" s="49"/>
      <c r="BQ160" s="49"/>
      <c r="BR160" s="49"/>
      <c r="BS160" s="49"/>
      <c r="BT160" s="49"/>
      <c r="BU160" s="49" t="s">
        <v>456</v>
      </c>
      <c r="BV160" s="275">
        <v>1</v>
      </c>
      <c r="BW160" s="274">
        <v>7</v>
      </c>
      <c r="BX160" s="274">
        <v>4</v>
      </c>
      <c r="BY160" s="274">
        <v>3</v>
      </c>
      <c r="BZ160" s="274">
        <v>1</v>
      </c>
      <c r="CA160" s="274"/>
      <c r="CB160" s="274"/>
      <c r="CC160" s="274">
        <v>3</v>
      </c>
      <c r="CD160" s="274">
        <v>1</v>
      </c>
      <c r="CE160" s="274">
        <v>2</v>
      </c>
      <c r="CF160" s="274">
        <v>9</v>
      </c>
      <c r="CG160" s="274">
        <v>12</v>
      </c>
      <c r="CH160" s="274">
        <v>11</v>
      </c>
      <c r="CI160" s="49"/>
      <c r="CJ160" s="49"/>
      <c r="CK160" s="49"/>
      <c r="CL160" s="274"/>
      <c r="CM160" s="49"/>
      <c r="CN160" s="49"/>
      <c r="CO160" s="49"/>
      <c r="CP160" s="49"/>
      <c r="CQ160" s="49"/>
      <c r="CR160" s="49"/>
      <c r="CS160" s="49"/>
      <c r="CT160" s="155"/>
      <c r="CU160" s="155"/>
      <c r="CV160" s="155"/>
      <c r="CW160" s="155"/>
      <c r="CX160" s="155"/>
      <c r="CY160" s="155"/>
      <c r="CZ160" s="155"/>
      <c r="DA160" s="155"/>
      <c r="DB160" s="155"/>
      <c r="DC160" s="155"/>
      <c r="DD160" s="155"/>
      <c r="DE160" s="155"/>
      <c r="DF160" s="155"/>
      <c r="DG160" s="155"/>
      <c r="DH160" s="155"/>
      <c r="DI160" s="155"/>
      <c r="DJ160" s="155"/>
      <c r="DK160" s="155"/>
      <c r="DL160" s="155"/>
      <c r="DM160" s="155"/>
      <c r="DN160" s="155"/>
      <c r="DO160" s="155"/>
      <c r="DP160" s="155"/>
      <c r="DQ160" s="155"/>
      <c r="DR160" s="155"/>
      <c r="DS160" s="155"/>
      <c r="DT160" s="155"/>
      <c r="DU160" s="155"/>
      <c r="DV160" s="155"/>
      <c r="DW160" s="155"/>
      <c r="DX160" s="155"/>
    </row>
    <row r="161" spans="1:128" ht="18" customHeight="1">
      <c r="A161" s="271" t="str">
        <f t="shared" si="46"/>
        <v>鳳閣星戊</v>
      </c>
      <c r="B161" s="271" t="s">
        <v>561</v>
      </c>
      <c r="C161" s="271" t="s">
        <v>434</v>
      </c>
      <c r="D161" s="155" t="str">
        <f t="shared" si="47"/>
        <v>庚</v>
      </c>
      <c r="E161" s="49">
        <v>1919</v>
      </c>
      <c r="F161" s="49" t="s">
        <v>562</v>
      </c>
      <c r="G161" s="155"/>
      <c r="H161" s="155"/>
      <c r="I161" s="270"/>
      <c r="J161" s="270" t="s">
        <v>563</v>
      </c>
      <c r="K161" s="270" t="s">
        <v>564</v>
      </c>
      <c r="L161" s="270"/>
      <c r="M161" s="216" t="s">
        <v>565</v>
      </c>
      <c r="N161" s="216" t="s">
        <v>566</v>
      </c>
      <c r="O161" s="155" t="s">
        <v>567</v>
      </c>
      <c r="P161" s="155">
        <f>P146</f>
        <v>1</v>
      </c>
      <c r="Q161" s="155"/>
      <c r="R161" s="155"/>
      <c r="S161" s="155"/>
      <c r="T161" s="155"/>
      <c r="U161" s="158"/>
      <c r="V161" s="155"/>
      <c r="W161" s="155"/>
      <c r="X161" s="263"/>
      <c r="Y161" s="155"/>
      <c r="Z161" s="155"/>
      <c r="AA161" s="263"/>
      <c r="AB161" s="263"/>
      <c r="AC161" s="155"/>
      <c r="AD161" s="155"/>
      <c r="AE161" s="155"/>
      <c r="AF161" s="143" t="str">
        <f>IF(P146&lt;&gt;0,"壬",IF(P147&lt;&gt;0,"癸",H10))</f>
        <v>壬</v>
      </c>
      <c r="AG161" s="270">
        <v>22</v>
      </c>
      <c r="AH161" s="271" t="s">
        <v>255</v>
      </c>
      <c r="AI161" s="271"/>
      <c r="AJ161" s="271"/>
      <c r="AK161" s="271" t="s">
        <v>274</v>
      </c>
      <c r="AL161" s="271" t="s">
        <v>498</v>
      </c>
      <c r="AM161" s="270">
        <v>1</v>
      </c>
      <c r="AN161" s="155" t="s">
        <v>255</v>
      </c>
      <c r="AO161" s="272"/>
      <c r="AP161" s="273"/>
      <c r="AQ161" s="273" t="s">
        <v>274</v>
      </c>
      <c r="AR161" s="155"/>
      <c r="AS161" s="155"/>
      <c r="AT161" s="155"/>
      <c r="AU161" s="155"/>
      <c r="AV161" s="155"/>
      <c r="AW161" s="155"/>
      <c r="AX161" s="155"/>
      <c r="AY161" s="155"/>
      <c r="AZ161" s="49"/>
      <c r="BA161" s="49"/>
      <c r="BB161" s="49"/>
      <c r="BC161" s="49"/>
      <c r="BD161" s="49"/>
      <c r="BE161" s="49"/>
      <c r="BF161" s="49"/>
      <c r="BG161" s="49"/>
      <c r="BH161" s="49"/>
      <c r="BI161" s="155"/>
      <c r="BJ161" s="155"/>
      <c r="BK161" s="155"/>
      <c r="BL161" s="49"/>
      <c r="BM161" s="49"/>
      <c r="BN161" s="49"/>
      <c r="BO161" s="49"/>
      <c r="BP161" s="49"/>
      <c r="BQ161" s="49"/>
      <c r="BR161" s="49"/>
      <c r="BS161" s="49"/>
      <c r="BT161" s="49"/>
      <c r="BU161" s="49" t="s">
        <v>458</v>
      </c>
      <c r="BV161" s="275">
        <v>2</v>
      </c>
      <c r="BW161" s="274">
        <v>10</v>
      </c>
      <c r="BX161" s="274">
        <v>8</v>
      </c>
      <c r="BY161" s="274">
        <v>6</v>
      </c>
      <c r="BZ161" s="274">
        <v>5</v>
      </c>
      <c r="CA161" s="274"/>
      <c r="CB161" s="274"/>
      <c r="CC161" s="274">
        <v>6</v>
      </c>
      <c r="CD161" s="274">
        <v>5</v>
      </c>
      <c r="CE161" s="274">
        <v>5</v>
      </c>
      <c r="CF161" s="274">
        <v>6</v>
      </c>
      <c r="CG161" s="274">
        <v>8</v>
      </c>
      <c r="CH161" s="274">
        <v>10</v>
      </c>
      <c r="CI161" s="49"/>
      <c r="CJ161" s="49"/>
      <c r="CK161" s="49"/>
      <c r="CL161" s="49"/>
      <c r="CM161" s="49"/>
      <c r="CN161" s="49"/>
      <c r="CO161" s="49"/>
      <c r="CP161" s="49"/>
      <c r="CQ161" s="49"/>
      <c r="CR161" s="49"/>
      <c r="CS161" s="49"/>
      <c r="CT161" s="155"/>
      <c r="CU161" s="155"/>
      <c r="CV161" s="155"/>
      <c r="CW161" s="155"/>
      <c r="CX161" s="155"/>
      <c r="CY161" s="155"/>
      <c r="CZ161" s="155"/>
      <c r="DA161" s="155"/>
      <c r="DB161" s="155"/>
      <c r="DC161" s="155"/>
      <c r="DD161" s="155"/>
      <c r="DE161" s="155"/>
      <c r="DF161" s="155"/>
      <c r="DG161" s="155"/>
      <c r="DH161" s="155"/>
      <c r="DI161" s="155"/>
      <c r="DJ161" s="155"/>
      <c r="DK161" s="155"/>
      <c r="DL161" s="155"/>
      <c r="DM161" s="155"/>
      <c r="DN161" s="155"/>
      <c r="DO161" s="155"/>
      <c r="DP161" s="155"/>
      <c r="DQ161" s="155"/>
      <c r="DR161" s="155"/>
      <c r="DS161" s="155"/>
      <c r="DT161" s="155"/>
      <c r="DU161" s="155"/>
      <c r="DV161" s="155"/>
      <c r="DW161" s="155"/>
      <c r="DX161" s="155"/>
    </row>
    <row r="162" spans="1:128" ht="18" customHeight="1">
      <c r="A162" s="271" t="str">
        <f t="shared" si="46"/>
        <v>鳳閣星己</v>
      </c>
      <c r="B162" s="271" t="s">
        <v>568</v>
      </c>
      <c r="C162" s="271" t="s">
        <v>434</v>
      </c>
      <c r="D162" s="155" t="str">
        <f t="shared" si="47"/>
        <v>辛</v>
      </c>
      <c r="E162" s="49">
        <v>1920</v>
      </c>
      <c r="F162" s="49" t="s">
        <v>569</v>
      </c>
      <c r="G162" s="155"/>
      <c r="H162" s="155"/>
      <c r="I162" s="270"/>
      <c r="J162" s="270" t="s">
        <v>570</v>
      </c>
      <c r="K162" s="270" t="s">
        <v>571</v>
      </c>
      <c r="L162" s="270"/>
      <c r="M162" s="216" t="s">
        <v>572</v>
      </c>
      <c r="N162" s="216" t="s">
        <v>573</v>
      </c>
      <c r="O162" s="155" t="s">
        <v>574</v>
      </c>
      <c r="P162" s="155">
        <f>P147</f>
        <v>1</v>
      </c>
      <c r="Q162" s="155"/>
      <c r="R162" s="155"/>
      <c r="S162" s="155"/>
      <c r="T162" s="155"/>
      <c r="U162" s="158"/>
      <c r="V162" s="155"/>
      <c r="W162" s="155"/>
      <c r="X162" s="263"/>
      <c r="Y162" s="155"/>
      <c r="Z162" s="155"/>
      <c r="AA162" s="263"/>
      <c r="AB162" s="263"/>
      <c r="AC162" s="155"/>
      <c r="AD162" s="155"/>
      <c r="AE162" s="155"/>
      <c r="AF162" s="143" t="str">
        <f>IF(P147&lt;&gt;0,"癸",IF(P146&lt;&gt;0,"壬",H10))</f>
        <v>癸</v>
      </c>
      <c r="AG162" s="270">
        <v>23</v>
      </c>
      <c r="AH162" s="271" t="s">
        <v>259</v>
      </c>
      <c r="AI162" s="271" t="s">
        <v>274</v>
      </c>
      <c r="AJ162" s="271" t="s">
        <v>263</v>
      </c>
      <c r="AK162" s="271" t="s">
        <v>267</v>
      </c>
      <c r="AL162" s="271" t="s">
        <v>505</v>
      </c>
      <c r="AM162" s="270">
        <v>5</v>
      </c>
      <c r="AN162" s="155" t="s">
        <v>259</v>
      </c>
      <c r="AO162" s="272" t="s">
        <v>274</v>
      </c>
      <c r="AP162" s="273" t="s">
        <v>263</v>
      </c>
      <c r="AQ162" s="273" t="s">
        <v>267</v>
      </c>
      <c r="AR162" s="155"/>
      <c r="AS162" s="155"/>
      <c r="AT162" s="155"/>
      <c r="AU162" s="155"/>
      <c r="AV162" s="155"/>
      <c r="AW162" s="155"/>
      <c r="AX162" s="155"/>
      <c r="AY162" s="155"/>
      <c r="AZ162" s="49"/>
      <c r="BA162" s="49"/>
      <c r="BB162" s="49"/>
      <c r="BC162" s="49"/>
      <c r="BD162" s="49"/>
      <c r="BE162" s="49"/>
      <c r="BF162" s="49"/>
      <c r="BG162" s="49"/>
      <c r="BH162" s="49"/>
      <c r="BI162" s="155"/>
      <c r="BJ162" s="155"/>
      <c r="BK162" s="155"/>
      <c r="BL162" s="49"/>
      <c r="BM162" s="49"/>
      <c r="BN162" s="49"/>
      <c r="BO162" s="49"/>
      <c r="BP162" s="49"/>
      <c r="BQ162" s="49"/>
      <c r="BR162" s="49"/>
      <c r="BS162" s="49"/>
      <c r="BT162" s="49"/>
      <c r="BU162" s="49" t="s">
        <v>459</v>
      </c>
      <c r="BV162" s="275">
        <v>3</v>
      </c>
      <c r="BW162" s="274">
        <v>11</v>
      </c>
      <c r="BX162" s="274">
        <v>12</v>
      </c>
      <c r="BY162" s="274">
        <v>9</v>
      </c>
      <c r="BZ162" s="274">
        <v>2</v>
      </c>
      <c r="CA162" s="274"/>
      <c r="CB162" s="274"/>
      <c r="CC162" s="274">
        <v>9</v>
      </c>
      <c r="CD162" s="274">
        <v>2</v>
      </c>
      <c r="CE162" s="274">
        <v>1</v>
      </c>
      <c r="CF162" s="274">
        <v>3</v>
      </c>
      <c r="CG162" s="274">
        <v>4</v>
      </c>
      <c r="CH162" s="274">
        <v>7</v>
      </c>
      <c r="CI162" s="49"/>
      <c r="CJ162" s="49"/>
      <c r="CK162" s="49"/>
      <c r="CL162" s="49"/>
      <c r="CM162" s="49"/>
      <c r="CN162" s="49"/>
      <c r="CO162" s="49"/>
      <c r="CP162" s="49"/>
      <c r="CQ162" s="49"/>
      <c r="CR162" s="49"/>
      <c r="CS162" s="49"/>
      <c r="CT162" s="155"/>
      <c r="CU162" s="155"/>
      <c r="CV162" s="155"/>
      <c r="CW162" s="155"/>
      <c r="CX162" s="155"/>
      <c r="CY162" s="155"/>
      <c r="CZ162" s="155"/>
      <c r="DA162" s="155"/>
      <c r="DB162" s="155"/>
      <c r="DC162" s="155"/>
      <c r="DD162" s="155"/>
      <c r="DE162" s="155"/>
      <c r="DF162" s="155"/>
      <c r="DG162" s="155"/>
      <c r="DH162" s="155"/>
      <c r="DI162" s="155"/>
      <c r="DJ162" s="155"/>
      <c r="DK162" s="155"/>
      <c r="DL162" s="155"/>
      <c r="DM162" s="155"/>
      <c r="DN162" s="155"/>
      <c r="DO162" s="155"/>
      <c r="DP162" s="155"/>
      <c r="DQ162" s="155"/>
      <c r="DR162" s="155"/>
      <c r="DS162" s="155"/>
      <c r="DT162" s="155"/>
      <c r="DU162" s="155"/>
      <c r="DV162" s="155"/>
      <c r="DW162" s="155"/>
      <c r="DX162" s="155"/>
    </row>
    <row r="163" spans="1:128" ht="18" customHeight="1">
      <c r="A163" s="271" t="str">
        <f t="shared" si="46"/>
        <v>鳳閣星甲</v>
      </c>
      <c r="B163" s="271" t="s">
        <v>575</v>
      </c>
      <c r="C163" s="271" t="s">
        <v>434</v>
      </c>
      <c r="D163" s="155" t="str">
        <f t="shared" si="47"/>
        <v>丙</v>
      </c>
      <c r="E163" s="49">
        <v>1921</v>
      </c>
      <c r="F163" s="49" t="s">
        <v>461</v>
      </c>
      <c r="G163" s="155"/>
      <c r="H163" s="155"/>
      <c r="I163" s="270"/>
      <c r="J163" s="270" t="s">
        <v>576</v>
      </c>
      <c r="K163" s="270" t="s">
        <v>577</v>
      </c>
      <c r="L163" s="270"/>
      <c r="M163" s="216" t="s">
        <v>578</v>
      </c>
      <c r="N163" s="216" t="s">
        <v>579</v>
      </c>
      <c r="O163" s="155"/>
      <c r="P163" s="155"/>
      <c r="Q163" s="155"/>
      <c r="R163" s="155"/>
      <c r="S163" s="155"/>
      <c r="T163" s="155"/>
      <c r="U163" s="158"/>
      <c r="V163" s="155"/>
      <c r="W163" s="155"/>
      <c r="X163" s="263"/>
      <c r="Y163" s="155"/>
      <c r="Z163" s="155"/>
      <c r="AA163" s="263"/>
      <c r="AB163" s="263"/>
      <c r="AC163" s="155"/>
      <c r="AD163" s="155"/>
      <c r="AE163" s="155"/>
      <c r="AF163" s="155"/>
      <c r="AG163" s="270">
        <v>24</v>
      </c>
      <c r="AH163" s="271" t="s">
        <v>263</v>
      </c>
      <c r="AI163" s="271"/>
      <c r="AJ163" s="271" t="s">
        <v>249</v>
      </c>
      <c r="AK163" s="271" t="s">
        <v>275</v>
      </c>
      <c r="AL163" s="271" t="s">
        <v>510</v>
      </c>
      <c r="AM163" s="270">
        <v>3</v>
      </c>
      <c r="AN163" s="155" t="s">
        <v>263</v>
      </c>
      <c r="AO163" s="272"/>
      <c r="AP163" s="273" t="s">
        <v>249</v>
      </c>
      <c r="AQ163" s="273" t="s">
        <v>275</v>
      </c>
      <c r="AR163" s="155"/>
      <c r="AS163" s="155"/>
      <c r="AT163" s="155"/>
      <c r="AU163" s="155"/>
      <c r="AV163" s="155"/>
      <c r="AW163" s="155"/>
      <c r="AX163" s="155"/>
      <c r="AY163" s="155"/>
      <c r="AZ163" s="49"/>
      <c r="BA163" s="49"/>
      <c r="BB163" s="49"/>
      <c r="BC163" s="49"/>
      <c r="BD163" s="49"/>
      <c r="BE163" s="49"/>
      <c r="BF163" s="49"/>
      <c r="BG163" s="49"/>
      <c r="BH163" s="49"/>
      <c r="BI163" s="155"/>
      <c r="BJ163" s="155"/>
      <c r="BK163" s="155"/>
      <c r="BL163" s="49"/>
      <c r="BM163" s="49"/>
      <c r="BN163" s="49"/>
      <c r="BO163" s="49"/>
      <c r="BP163" s="49"/>
      <c r="BQ163" s="49"/>
      <c r="BR163" s="49"/>
      <c r="BS163" s="49"/>
      <c r="BT163" s="49"/>
      <c r="BU163" s="49" t="s">
        <v>464</v>
      </c>
      <c r="BV163" s="275">
        <v>4</v>
      </c>
      <c r="BW163" s="274">
        <v>12</v>
      </c>
      <c r="BX163" s="274">
        <v>11</v>
      </c>
      <c r="BY163" s="274">
        <v>7</v>
      </c>
      <c r="BZ163" s="274">
        <v>4</v>
      </c>
      <c r="CA163" s="274"/>
      <c r="CB163" s="274"/>
      <c r="CC163" s="274">
        <v>7</v>
      </c>
      <c r="CD163" s="274">
        <v>4</v>
      </c>
      <c r="CE163" s="274">
        <v>3</v>
      </c>
      <c r="CF163" s="274">
        <v>1</v>
      </c>
      <c r="CG163" s="274">
        <v>2</v>
      </c>
      <c r="CH163" s="274">
        <v>9</v>
      </c>
      <c r="CI163" s="49"/>
      <c r="CJ163" s="49"/>
      <c r="CK163" s="49"/>
      <c r="CL163" s="49"/>
      <c r="CM163" s="49"/>
      <c r="CN163" s="49"/>
      <c r="CO163" s="49"/>
      <c r="CP163" s="49"/>
      <c r="CQ163" s="49"/>
      <c r="CR163" s="49"/>
      <c r="CS163" s="49"/>
      <c r="CT163" s="155"/>
      <c r="CU163" s="155"/>
      <c r="CV163" s="155"/>
      <c r="CW163" s="155"/>
      <c r="CX163" s="155"/>
      <c r="CY163" s="155"/>
      <c r="CZ163" s="155"/>
      <c r="DA163" s="155"/>
      <c r="DB163" s="155"/>
      <c r="DC163" s="155"/>
      <c r="DD163" s="155"/>
      <c r="DE163" s="155"/>
      <c r="DF163" s="155"/>
      <c r="DG163" s="155"/>
      <c r="DH163" s="155"/>
      <c r="DI163" s="155"/>
      <c r="DJ163" s="155"/>
      <c r="DK163" s="155"/>
      <c r="DL163" s="155"/>
      <c r="DM163" s="155"/>
      <c r="DN163" s="155"/>
      <c r="DO163" s="155"/>
      <c r="DP163" s="155"/>
      <c r="DQ163" s="155"/>
      <c r="DR163" s="155"/>
      <c r="DS163" s="155"/>
      <c r="DT163" s="155"/>
      <c r="DU163" s="155"/>
      <c r="DV163" s="155"/>
      <c r="DW163" s="155"/>
      <c r="DX163" s="155"/>
    </row>
    <row r="164" spans="1:128" ht="18" customHeight="1">
      <c r="A164" s="271" t="str">
        <f t="shared" si="46"/>
        <v>鳳閣星乙</v>
      </c>
      <c r="B164" s="271" t="s">
        <v>580</v>
      </c>
      <c r="C164" s="271" t="s">
        <v>434</v>
      </c>
      <c r="D164" s="155" t="str">
        <f t="shared" si="47"/>
        <v>丁</v>
      </c>
      <c r="E164" s="49">
        <v>1922</v>
      </c>
      <c r="F164" s="49" t="s">
        <v>461</v>
      </c>
      <c r="G164" s="155"/>
      <c r="H164" s="155"/>
      <c r="I164" s="270"/>
      <c r="J164" s="270" t="s">
        <v>581</v>
      </c>
      <c r="K164" s="270" t="s">
        <v>582</v>
      </c>
      <c r="L164" s="270"/>
      <c r="M164" s="216" t="s">
        <v>583</v>
      </c>
      <c r="N164" s="216" t="s">
        <v>584</v>
      </c>
      <c r="O164" s="155"/>
      <c r="P164" s="155"/>
      <c r="Q164" s="155"/>
      <c r="R164" s="155"/>
      <c r="S164" s="155"/>
      <c r="T164" s="155"/>
      <c r="U164" s="158"/>
      <c r="V164" s="155"/>
      <c r="W164" s="155"/>
      <c r="X164" s="263"/>
      <c r="Y164" s="155"/>
      <c r="Z164" s="155"/>
      <c r="AA164" s="263"/>
      <c r="AB164" s="263"/>
      <c r="AC164" s="155"/>
      <c r="AD164" s="155"/>
      <c r="AE164" s="155"/>
      <c r="AF164" s="155"/>
      <c r="AG164" s="270">
        <v>25</v>
      </c>
      <c r="AH164" s="271" t="s">
        <v>267</v>
      </c>
      <c r="AI164" s="271"/>
      <c r="AJ164" s="271"/>
      <c r="AK164" s="271" t="s">
        <v>276</v>
      </c>
      <c r="AL164" s="271" t="s">
        <v>456</v>
      </c>
      <c r="AM164" s="270">
        <v>3</v>
      </c>
      <c r="AN164" s="155" t="s">
        <v>267</v>
      </c>
      <c r="AO164" s="272"/>
      <c r="AP164" s="273"/>
      <c r="AQ164" s="273" t="s">
        <v>276</v>
      </c>
      <c r="AR164" s="155"/>
      <c r="AS164" s="155"/>
      <c r="AT164" s="155"/>
      <c r="AU164" s="155"/>
      <c r="AV164" s="155"/>
      <c r="AW164" s="155"/>
      <c r="AX164" s="155"/>
      <c r="AY164" s="155"/>
      <c r="AZ164" s="49"/>
      <c r="BA164" s="49"/>
      <c r="BB164" s="49"/>
      <c r="BC164" s="49"/>
      <c r="BD164" s="49"/>
      <c r="BE164" s="49"/>
      <c r="BF164" s="49"/>
      <c r="BG164" s="49"/>
      <c r="BH164" s="49"/>
      <c r="BI164" s="155"/>
      <c r="BJ164" s="155"/>
      <c r="BK164" s="155"/>
      <c r="BL164" s="49"/>
      <c r="BM164" s="49"/>
      <c r="BN164" s="49"/>
      <c r="BO164" s="49"/>
      <c r="BP164" s="49"/>
      <c r="BQ164" s="49"/>
      <c r="BR164" s="49"/>
      <c r="BS164" s="49"/>
      <c r="BT164" s="49"/>
      <c r="BU164" s="49" t="s">
        <v>469</v>
      </c>
      <c r="BV164" s="275">
        <v>5</v>
      </c>
      <c r="BW164" s="274">
        <v>8</v>
      </c>
      <c r="BX164" s="274">
        <v>10</v>
      </c>
      <c r="BY164" s="274">
        <v>10</v>
      </c>
      <c r="BZ164" s="274">
        <v>8</v>
      </c>
      <c r="CA164" s="274"/>
      <c r="CB164" s="274"/>
      <c r="CC164" s="274">
        <v>10</v>
      </c>
      <c r="CD164" s="274">
        <v>8</v>
      </c>
      <c r="CE164" s="274">
        <v>6</v>
      </c>
      <c r="CF164" s="274">
        <v>5</v>
      </c>
      <c r="CG164" s="274">
        <v>5</v>
      </c>
      <c r="CH164" s="274">
        <v>6</v>
      </c>
      <c r="CI164" s="49"/>
      <c r="CJ164" s="49"/>
      <c r="CK164" s="49"/>
      <c r="CL164" s="49"/>
      <c r="CM164" s="49"/>
      <c r="CN164" s="49"/>
      <c r="CO164" s="49"/>
      <c r="CP164" s="49"/>
      <c r="CQ164" s="49"/>
      <c r="CR164" s="49"/>
      <c r="CS164" s="49"/>
      <c r="CT164" s="155"/>
      <c r="CU164" s="155"/>
      <c r="CV164" s="155"/>
      <c r="CW164" s="155"/>
      <c r="CX164" s="155"/>
      <c r="CY164" s="155"/>
      <c r="CZ164" s="155"/>
      <c r="DA164" s="155"/>
      <c r="DB164" s="155"/>
      <c r="DC164" s="155"/>
      <c r="DD164" s="155"/>
      <c r="DE164" s="155"/>
      <c r="DF164" s="155"/>
      <c r="DG164" s="155"/>
      <c r="DH164" s="155"/>
      <c r="DI164" s="155"/>
      <c r="DJ164" s="155"/>
      <c r="DK164" s="155"/>
      <c r="DL164" s="155"/>
      <c r="DM164" s="155"/>
      <c r="DN164" s="155"/>
      <c r="DO164" s="155"/>
      <c r="DP164" s="155"/>
      <c r="DQ164" s="155"/>
      <c r="DR164" s="155"/>
      <c r="DS164" s="155"/>
      <c r="DT164" s="155"/>
      <c r="DU164" s="155"/>
      <c r="DV164" s="155"/>
      <c r="DW164" s="155"/>
      <c r="DX164" s="155"/>
    </row>
    <row r="165" spans="1:128" ht="18" customHeight="1">
      <c r="A165" s="271" t="str">
        <f t="shared" si="46"/>
        <v>龍高星丙</v>
      </c>
      <c r="B165" s="271" t="s">
        <v>585</v>
      </c>
      <c r="C165" s="271" t="s">
        <v>436</v>
      </c>
      <c r="D165" s="155" t="str">
        <f t="shared" si="47"/>
        <v>甲</v>
      </c>
      <c r="E165" s="49">
        <v>1923</v>
      </c>
      <c r="F165" s="49" t="s">
        <v>586</v>
      </c>
      <c r="G165" s="155"/>
      <c r="H165" s="155"/>
      <c r="I165" s="270"/>
      <c r="J165" s="270" t="s">
        <v>587</v>
      </c>
      <c r="K165" s="270" t="s">
        <v>588</v>
      </c>
      <c r="L165" s="270"/>
      <c r="M165" s="216" t="s">
        <v>589</v>
      </c>
      <c r="N165" s="216" t="s">
        <v>590</v>
      </c>
      <c r="O165" s="155" t="s">
        <v>591</v>
      </c>
      <c r="P165" s="155">
        <f>P143</f>
        <v>0</v>
      </c>
      <c r="Q165" s="155"/>
      <c r="R165" s="155"/>
      <c r="S165" s="155"/>
      <c r="T165" s="155"/>
      <c r="U165" s="158"/>
      <c r="V165" s="155"/>
      <c r="W165" s="155"/>
      <c r="X165" s="263"/>
      <c r="Y165" s="155"/>
      <c r="Z165" s="155"/>
      <c r="AA165" s="263"/>
      <c r="AB165" s="263"/>
      <c r="AC165" s="155"/>
      <c r="AD165" s="155"/>
      <c r="AE165" s="155"/>
      <c r="AF165" s="155" t="str">
        <f>IF(P143&lt;&gt;0,O143,IF(P142&lt;&gt;0,O142,H6))</f>
        <v>戊</v>
      </c>
      <c r="AG165" s="270">
        <v>26</v>
      </c>
      <c r="AH165" s="271" t="s">
        <v>271</v>
      </c>
      <c r="AI165" s="271" t="s">
        <v>276</v>
      </c>
      <c r="AJ165" s="271" t="s">
        <v>274</v>
      </c>
      <c r="AK165" s="271" t="s">
        <v>271</v>
      </c>
      <c r="AL165" s="271" t="s">
        <v>458</v>
      </c>
      <c r="AM165" s="270">
        <v>5</v>
      </c>
      <c r="AN165" s="155" t="s">
        <v>271</v>
      </c>
      <c r="AO165" s="272" t="s">
        <v>276</v>
      </c>
      <c r="AP165" s="273" t="s">
        <v>274</v>
      </c>
      <c r="AQ165" s="273" t="s">
        <v>271</v>
      </c>
      <c r="AR165" s="155"/>
      <c r="AS165" s="155"/>
      <c r="AT165" s="155"/>
      <c r="AU165" s="155"/>
      <c r="AV165" s="155"/>
      <c r="AW165" s="155"/>
      <c r="AX165" s="155"/>
      <c r="AY165" s="155"/>
      <c r="AZ165" s="49"/>
      <c r="BA165" s="49"/>
      <c r="BB165" s="49"/>
      <c r="BC165" s="49"/>
      <c r="BD165" s="49"/>
      <c r="BE165" s="49"/>
      <c r="BF165" s="49"/>
      <c r="BG165" s="49"/>
      <c r="BH165" s="49"/>
      <c r="BI165" s="155"/>
      <c r="BJ165" s="155"/>
      <c r="BK165" s="155"/>
      <c r="BL165" s="49"/>
      <c r="BM165" s="49"/>
      <c r="BN165" s="49"/>
      <c r="BO165" s="49"/>
      <c r="BP165" s="49"/>
      <c r="BQ165" s="49"/>
      <c r="BR165" s="49"/>
      <c r="BS165" s="49"/>
      <c r="BT165" s="49"/>
      <c r="BU165" s="49" t="s">
        <v>475</v>
      </c>
      <c r="BV165" s="275">
        <v>6</v>
      </c>
      <c r="BW165" s="274">
        <v>4</v>
      </c>
      <c r="BX165" s="274">
        <v>7</v>
      </c>
      <c r="BY165" s="274">
        <v>11</v>
      </c>
      <c r="BZ165" s="274">
        <v>12</v>
      </c>
      <c r="CA165" s="274"/>
      <c r="CB165" s="274"/>
      <c r="CC165" s="274">
        <v>11</v>
      </c>
      <c r="CD165" s="274">
        <v>12</v>
      </c>
      <c r="CE165" s="274">
        <v>9</v>
      </c>
      <c r="CF165" s="274">
        <v>2</v>
      </c>
      <c r="CG165" s="274">
        <v>1</v>
      </c>
      <c r="CH165" s="274">
        <v>3</v>
      </c>
      <c r="CI165" s="49"/>
      <c r="CJ165" s="49"/>
      <c r="CK165" s="49"/>
      <c r="CL165" s="49"/>
      <c r="CM165" s="49"/>
      <c r="CN165" s="49"/>
      <c r="CO165" s="49"/>
      <c r="CP165" s="49"/>
      <c r="CQ165" s="49"/>
      <c r="CR165" s="49"/>
      <c r="CS165" s="49"/>
      <c r="CT165" s="155"/>
      <c r="CU165" s="155"/>
      <c r="CV165" s="155"/>
      <c r="CW165" s="155"/>
      <c r="CX165" s="155"/>
      <c r="CY165" s="155"/>
      <c r="CZ165" s="155"/>
      <c r="DA165" s="155"/>
      <c r="DB165" s="155"/>
      <c r="DC165" s="155"/>
      <c r="DD165" s="155"/>
      <c r="DE165" s="155"/>
      <c r="DF165" s="155"/>
      <c r="DG165" s="155"/>
      <c r="DH165" s="155"/>
      <c r="DI165" s="155"/>
      <c r="DJ165" s="155"/>
      <c r="DK165" s="155"/>
      <c r="DL165" s="155"/>
      <c r="DM165" s="155"/>
      <c r="DN165" s="155"/>
      <c r="DO165" s="155"/>
      <c r="DP165" s="155"/>
      <c r="DQ165" s="155"/>
      <c r="DR165" s="155"/>
      <c r="DS165" s="155"/>
      <c r="DT165" s="155"/>
      <c r="DU165" s="155"/>
      <c r="DV165" s="155"/>
      <c r="DW165" s="155"/>
      <c r="DX165" s="155"/>
    </row>
    <row r="166" spans="1:128" ht="18" customHeight="1">
      <c r="A166" s="271" t="str">
        <f t="shared" si="46"/>
        <v>龍高星丁</v>
      </c>
      <c r="B166" s="271" t="s">
        <v>592</v>
      </c>
      <c r="C166" s="271" t="s">
        <v>436</v>
      </c>
      <c r="D166" s="155" t="str">
        <f t="shared" si="47"/>
        <v>乙</v>
      </c>
      <c r="E166" s="49">
        <v>1924</v>
      </c>
      <c r="F166" s="49" t="s">
        <v>569</v>
      </c>
      <c r="G166" s="155"/>
      <c r="H166" s="155"/>
      <c r="I166" s="270"/>
      <c r="J166" s="270" t="s">
        <v>593</v>
      </c>
      <c r="K166" s="270" t="s">
        <v>594</v>
      </c>
      <c r="L166" s="270"/>
      <c r="M166" s="216" t="s">
        <v>595</v>
      </c>
      <c r="N166" s="216" t="s">
        <v>596</v>
      </c>
      <c r="O166" s="155" t="s">
        <v>597</v>
      </c>
      <c r="P166" s="155">
        <f>P142</f>
        <v>1</v>
      </c>
      <c r="Q166" s="155"/>
      <c r="R166" s="155"/>
      <c r="S166" s="155"/>
      <c r="T166" s="155"/>
      <c r="U166" s="158"/>
      <c r="V166" s="155"/>
      <c r="W166" s="155"/>
      <c r="X166" s="263"/>
      <c r="Y166" s="155"/>
      <c r="Z166" s="155"/>
      <c r="AA166" s="263"/>
      <c r="AB166" s="263"/>
      <c r="AC166" s="155"/>
      <c r="AD166" s="155"/>
      <c r="AE166" s="155"/>
      <c r="AF166" s="155" t="str">
        <f>IF(P144&lt;&gt;0,O144,IF(P145&lt;&gt;0,O145,H6))</f>
        <v>庚</v>
      </c>
      <c r="AG166" s="270">
        <v>27</v>
      </c>
      <c r="AH166" s="271" t="s">
        <v>273</v>
      </c>
      <c r="AI166" s="271" t="s">
        <v>267</v>
      </c>
      <c r="AJ166" s="271" t="s">
        <v>259</v>
      </c>
      <c r="AK166" s="271" t="s">
        <v>249</v>
      </c>
      <c r="AL166" s="271" t="s">
        <v>459</v>
      </c>
      <c r="AM166" s="270">
        <v>1</v>
      </c>
      <c r="AN166" s="155" t="s">
        <v>273</v>
      </c>
      <c r="AO166" s="272" t="s">
        <v>267</v>
      </c>
      <c r="AP166" s="273" t="s">
        <v>259</v>
      </c>
      <c r="AQ166" s="273" t="s">
        <v>249</v>
      </c>
      <c r="AR166" s="155"/>
      <c r="AS166" s="155"/>
      <c r="AT166" s="155"/>
      <c r="AU166" s="155"/>
      <c r="AV166" s="155"/>
      <c r="AW166" s="155"/>
      <c r="AX166" s="155"/>
      <c r="AY166" s="155"/>
      <c r="AZ166" s="49"/>
      <c r="BA166" s="49"/>
      <c r="BB166" s="49"/>
      <c r="BC166" s="49"/>
      <c r="BD166" s="49"/>
      <c r="BE166" s="49"/>
      <c r="BF166" s="49"/>
      <c r="BG166" s="49"/>
      <c r="BH166" s="49"/>
      <c r="BI166" s="155"/>
      <c r="BJ166" s="155"/>
      <c r="BK166" s="155"/>
      <c r="BL166" s="49"/>
      <c r="BM166" s="49"/>
      <c r="BN166" s="49"/>
      <c r="BO166" s="49"/>
      <c r="BP166" s="49"/>
      <c r="BQ166" s="49"/>
      <c r="BR166" s="49"/>
      <c r="BS166" s="49"/>
      <c r="BT166" s="49"/>
      <c r="BU166" s="49" t="s">
        <v>481</v>
      </c>
      <c r="BV166" s="275">
        <v>7</v>
      </c>
      <c r="BW166" s="274">
        <v>2</v>
      </c>
      <c r="BX166" s="274">
        <v>9</v>
      </c>
      <c r="BY166" s="274">
        <v>12</v>
      </c>
      <c r="BZ166" s="274">
        <v>11</v>
      </c>
      <c r="CA166" s="274"/>
      <c r="CB166" s="274"/>
      <c r="CC166" s="274">
        <v>12</v>
      </c>
      <c r="CD166" s="274">
        <v>11</v>
      </c>
      <c r="CE166" s="274">
        <v>7</v>
      </c>
      <c r="CF166" s="274">
        <v>4</v>
      </c>
      <c r="CG166" s="274">
        <v>3</v>
      </c>
      <c r="CH166" s="274">
        <v>1</v>
      </c>
      <c r="CI166" s="49"/>
      <c r="CJ166" s="49"/>
      <c r="CK166" s="49"/>
      <c r="CL166" s="49"/>
      <c r="CM166" s="49"/>
      <c r="CN166" s="49"/>
      <c r="CO166" s="49"/>
      <c r="CP166" s="49"/>
      <c r="CQ166" s="49"/>
      <c r="CR166" s="49"/>
      <c r="CS166" s="49"/>
      <c r="CT166" s="155"/>
      <c r="CU166" s="155"/>
      <c r="CV166" s="155"/>
      <c r="CW166" s="155"/>
      <c r="CX166" s="155"/>
      <c r="CY166" s="155"/>
      <c r="CZ166" s="155"/>
      <c r="DA166" s="155"/>
      <c r="DB166" s="155"/>
      <c r="DC166" s="155"/>
      <c r="DD166" s="155"/>
      <c r="DE166" s="155"/>
      <c r="DF166" s="155"/>
      <c r="DG166" s="155"/>
      <c r="DH166" s="155"/>
      <c r="DI166" s="155"/>
      <c r="DJ166" s="155"/>
      <c r="DK166" s="155"/>
      <c r="DL166" s="155"/>
      <c r="DM166" s="155"/>
      <c r="DN166" s="155"/>
      <c r="DO166" s="155"/>
      <c r="DP166" s="155"/>
      <c r="DQ166" s="155"/>
      <c r="DR166" s="155"/>
      <c r="DS166" s="155"/>
      <c r="DT166" s="155"/>
      <c r="DU166" s="155"/>
      <c r="DV166" s="155"/>
      <c r="DW166" s="155"/>
      <c r="DX166" s="155"/>
    </row>
    <row r="167" spans="1:128" ht="18" customHeight="1">
      <c r="A167" s="271" t="str">
        <f t="shared" si="46"/>
        <v>龍高星庚</v>
      </c>
      <c r="B167" s="271" t="s">
        <v>598</v>
      </c>
      <c r="C167" s="271" t="s">
        <v>436</v>
      </c>
      <c r="D167" s="155" t="str">
        <f t="shared" si="47"/>
        <v>戊</v>
      </c>
      <c r="E167" s="49">
        <v>1925</v>
      </c>
      <c r="F167" s="276" t="s">
        <v>599</v>
      </c>
      <c r="G167" s="155"/>
      <c r="H167" s="155"/>
      <c r="I167" s="270"/>
      <c r="J167" s="270" t="s">
        <v>600</v>
      </c>
      <c r="K167" s="270" t="s">
        <v>601</v>
      </c>
      <c r="L167" s="270"/>
      <c r="M167" s="216" t="s">
        <v>602</v>
      </c>
      <c r="N167" s="216" t="s">
        <v>603</v>
      </c>
      <c r="O167" s="155" t="s">
        <v>604</v>
      </c>
      <c r="P167" s="270">
        <v>0</v>
      </c>
      <c r="Q167" s="270"/>
      <c r="R167" s="270"/>
      <c r="S167" s="270"/>
      <c r="T167" s="155"/>
      <c r="U167" s="158"/>
      <c r="V167" s="155"/>
      <c r="W167" s="155"/>
      <c r="X167" s="263"/>
      <c r="Y167" s="155"/>
      <c r="Z167" s="155"/>
      <c r="AA167" s="263"/>
      <c r="AB167" s="263"/>
      <c r="AC167" s="155"/>
      <c r="AD167" s="155"/>
      <c r="AE167" s="155"/>
      <c r="AF167" s="270" t="s">
        <v>605</v>
      </c>
      <c r="AG167" s="270">
        <v>28</v>
      </c>
      <c r="AH167" s="271" t="s">
        <v>274</v>
      </c>
      <c r="AI167" s="271"/>
      <c r="AJ167" s="271"/>
      <c r="AK167" s="271" t="s">
        <v>255</v>
      </c>
      <c r="AL167" s="271" t="s">
        <v>464</v>
      </c>
      <c r="AM167" s="270">
        <v>1</v>
      </c>
      <c r="AN167" s="155" t="s">
        <v>274</v>
      </c>
      <c r="AO167" s="272"/>
      <c r="AP167" s="273"/>
      <c r="AQ167" s="273" t="s">
        <v>255</v>
      </c>
      <c r="AR167" s="270"/>
      <c r="AS167" s="270"/>
      <c r="AT167" s="270"/>
      <c r="AU167" s="155"/>
      <c r="AV167" s="155"/>
      <c r="AW167" s="155"/>
      <c r="AX167" s="155"/>
      <c r="AY167" s="155"/>
      <c r="AZ167" s="49"/>
      <c r="BA167" s="49"/>
      <c r="BB167" s="49"/>
      <c r="BC167" s="49"/>
      <c r="BD167" s="49"/>
      <c r="BE167" s="49"/>
      <c r="BF167" s="49"/>
      <c r="BG167" s="49"/>
      <c r="BH167" s="49"/>
      <c r="BI167" s="270"/>
      <c r="BJ167" s="270"/>
      <c r="BK167" s="270"/>
      <c r="BL167" s="49"/>
      <c r="BM167" s="49"/>
      <c r="BN167" s="49"/>
      <c r="BO167" s="49"/>
      <c r="BP167" s="49"/>
      <c r="BQ167" s="49"/>
      <c r="BR167" s="49"/>
      <c r="BS167" s="49"/>
      <c r="BT167" s="49"/>
      <c r="BU167" s="49" t="s">
        <v>486</v>
      </c>
      <c r="BV167" s="275">
        <v>8</v>
      </c>
      <c r="BW167" s="274">
        <v>5</v>
      </c>
      <c r="BX167" s="274">
        <v>6</v>
      </c>
      <c r="BY167" s="274">
        <v>8</v>
      </c>
      <c r="BZ167" s="274">
        <v>10</v>
      </c>
      <c r="CA167" s="274"/>
      <c r="CB167" s="274"/>
      <c r="CC167" s="274">
        <v>8</v>
      </c>
      <c r="CD167" s="274">
        <v>10</v>
      </c>
      <c r="CE167" s="274">
        <v>10</v>
      </c>
      <c r="CF167" s="274">
        <v>8</v>
      </c>
      <c r="CG167" s="274">
        <v>6</v>
      </c>
      <c r="CH167" s="274">
        <v>5</v>
      </c>
      <c r="CI167" s="49"/>
      <c r="CJ167" s="49"/>
      <c r="CK167" s="49"/>
      <c r="CL167" s="49"/>
      <c r="CM167" s="49"/>
      <c r="CN167" s="49"/>
      <c r="CO167" s="49"/>
      <c r="CP167" s="49"/>
      <c r="CQ167" s="49"/>
      <c r="CR167" s="49"/>
      <c r="CS167" s="49"/>
      <c r="CT167" s="155"/>
      <c r="CU167" s="155"/>
      <c r="CV167" s="155"/>
      <c r="CW167" s="155"/>
      <c r="CX167" s="155"/>
      <c r="CY167" s="155"/>
      <c r="CZ167" s="155"/>
      <c r="DA167" s="155"/>
      <c r="DB167" s="155"/>
      <c r="DC167" s="155"/>
      <c r="DD167" s="155"/>
      <c r="DE167" s="155"/>
      <c r="DF167" s="155"/>
      <c r="DG167" s="155"/>
      <c r="DH167" s="155"/>
      <c r="DI167" s="155"/>
      <c r="DJ167" s="155"/>
      <c r="DK167" s="155"/>
      <c r="DL167" s="155"/>
      <c r="DM167" s="155"/>
      <c r="DN167" s="155"/>
      <c r="DO167" s="155"/>
      <c r="DP167" s="155"/>
      <c r="DQ167" s="155"/>
      <c r="DR167" s="155"/>
      <c r="DS167" s="155"/>
      <c r="DT167" s="155"/>
      <c r="DU167" s="155"/>
      <c r="DV167" s="155"/>
      <c r="DW167" s="155"/>
      <c r="DX167" s="155"/>
    </row>
    <row r="168" spans="1:128" ht="18" customHeight="1">
      <c r="A168" s="271" t="str">
        <f t="shared" si="46"/>
        <v>龍高星辛</v>
      </c>
      <c r="B168" s="271" t="s">
        <v>606</v>
      </c>
      <c r="C168" s="271" t="s">
        <v>436</v>
      </c>
      <c r="D168" s="155" t="str">
        <f t="shared" si="47"/>
        <v>己</v>
      </c>
      <c r="E168" s="49">
        <v>1926</v>
      </c>
      <c r="F168" s="277" t="s">
        <v>461</v>
      </c>
      <c r="G168" s="155"/>
      <c r="H168" s="155"/>
      <c r="I168" s="270"/>
      <c r="J168" s="270"/>
      <c r="K168" s="270"/>
      <c r="L168" s="270"/>
      <c r="M168" s="216" t="s">
        <v>607</v>
      </c>
      <c r="N168" s="216" t="s">
        <v>608</v>
      </c>
      <c r="O168" s="155" t="s">
        <v>609</v>
      </c>
      <c r="P168" s="155">
        <f>P145</f>
        <v>2</v>
      </c>
      <c r="Q168" s="155"/>
      <c r="R168" s="155"/>
      <c r="S168" s="155"/>
      <c r="T168" s="155"/>
      <c r="U168" s="158"/>
      <c r="V168" s="155"/>
      <c r="W168" s="155"/>
      <c r="X168" s="263"/>
      <c r="Y168" s="155"/>
      <c r="Z168" s="155"/>
      <c r="AA168" s="263"/>
      <c r="AB168" s="263"/>
      <c r="AC168" s="155"/>
      <c r="AD168" s="155"/>
      <c r="AE168" s="155"/>
      <c r="AF168" s="155" t="str">
        <f>IF(P145&lt;&gt;0,O145,IF(P144&lt;&gt;0,O144,H6))</f>
        <v>辛</v>
      </c>
      <c r="AG168" s="270">
        <v>29</v>
      </c>
      <c r="AH168" s="271" t="s">
        <v>275</v>
      </c>
      <c r="AI168" s="271" t="s">
        <v>255</v>
      </c>
      <c r="AJ168" s="271" t="s">
        <v>276</v>
      </c>
      <c r="AK168" s="271" t="s">
        <v>267</v>
      </c>
      <c r="AL168" s="271" t="s">
        <v>469</v>
      </c>
      <c r="AM168" s="270">
        <v>5</v>
      </c>
      <c r="AN168" s="155" t="s">
        <v>275</v>
      </c>
      <c r="AO168" s="272" t="s">
        <v>255</v>
      </c>
      <c r="AP168" s="273" t="s">
        <v>276</v>
      </c>
      <c r="AQ168" s="273" t="s">
        <v>267</v>
      </c>
      <c r="AR168" s="155"/>
      <c r="AS168" s="155"/>
      <c r="AT168" s="155"/>
      <c r="AU168" s="155"/>
      <c r="AV168" s="155"/>
      <c r="AW168" s="155"/>
      <c r="AX168" s="155"/>
      <c r="AY168" s="155"/>
      <c r="AZ168" s="49"/>
      <c r="BA168" s="49"/>
      <c r="BB168" s="49"/>
      <c r="BC168" s="49"/>
      <c r="BD168" s="49"/>
      <c r="BE168" s="49"/>
      <c r="BF168" s="49"/>
      <c r="BG168" s="49"/>
      <c r="BH168" s="49"/>
      <c r="BI168" s="155"/>
      <c r="BJ168" s="155"/>
      <c r="BK168" s="155"/>
      <c r="BL168" s="49"/>
      <c r="BM168" s="49"/>
      <c r="BN168" s="49"/>
      <c r="BO168" s="49"/>
      <c r="BP168" s="49"/>
      <c r="BQ168" s="49"/>
      <c r="BR168" s="49"/>
      <c r="BS168" s="49"/>
      <c r="BT168" s="49"/>
      <c r="BU168" s="49" t="s">
        <v>491</v>
      </c>
      <c r="BV168" s="275">
        <v>9</v>
      </c>
      <c r="BW168" s="274">
        <v>1</v>
      </c>
      <c r="BX168" s="274">
        <v>3</v>
      </c>
      <c r="BY168" s="274">
        <v>4</v>
      </c>
      <c r="BZ168" s="274">
        <v>7</v>
      </c>
      <c r="CA168" s="274"/>
      <c r="CB168" s="274"/>
      <c r="CC168" s="274">
        <v>4</v>
      </c>
      <c r="CD168" s="274">
        <v>7</v>
      </c>
      <c r="CE168" s="274">
        <v>11</v>
      </c>
      <c r="CF168" s="274">
        <v>12</v>
      </c>
      <c r="CG168" s="274">
        <v>9</v>
      </c>
      <c r="CH168" s="274">
        <v>2</v>
      </c>
      <c r="CI168" s="49"/>
      <c r="CJ168" s="49"/>
      <c r="CK168" s="49"/>
      <c r="CL168" s="49"/>
      <c r="CM168" s="49"/>
      <c r="CN168" s="49"/>
      <c r="CO168" s="49"/>
      <c r="CP168" s="49"/>
      <c r="CQ168" s="49"/>
      <c r="CR168" s="49"/>
      <c r="CS168" s="49"/>
      <c r="CT168" s="155"/>
      <c r="CU168" s="155"/>
      <c r="CV168" s="155"/>
      <c r="CW168" s="155"/>
      <c r="CX168" s="155"/>
      <c r="CY168" s="155"/>
      <c r="CZ168" s="155"/>
      <c r="DA168" s="155"/>
      <c r="DB168" s="155"/>
      <c r="DC168" s="155"/>
      <c r="DD168" s="155"/>
      <c r="DE168" s="155"/>
      <c r="DF168" s="155"/>
      <c r="DG168" s="155"/>
      <c r="DH168" s="155"/>
      <c r="DI168" s="155"/>
      <c r="DJ168" s="155"/>
      <c r="DK168" s="155"/>
      <c r="DL168" s="155"/>
      <c r="DM168" s="155"/>
      <c r="DN168" s="155"/>
      <c r="DO168" s="155"/>
      <c r="DP168" s="155"/>
      <c r="DQ168" s="155"/>
      <c r="DR168" s="155"/>
      <c r="DS168" s="155"/>
      <c r="DT168" s="155"/>
      <c r="DU168" s="155"/>
      <c r="DV168" s="155"/>
      <c r="DW168" s="155"/>
      <c r="DX168" s="155"/>
    </row>
    <row r="169" spans="1:128" ht="18" customHeight="1">
      <c r="A169" s="271" t="str">
        <f t="shared" si="46"/>
        <v>龍高星壬</v>
      </c>
      <c r="B169" s="271" t="s">
        <v>610</v>
      </c>
      <c r="C169" s="271" t="s">
        <v>436</v>
      </c>
      <c r="D169" s="155" t="str">
        <f t="shared" si="47"/>
        <v>庚</v>
      </c>
      <c r="E169" s="49">
        <v>1927</v>
      </c>
      <c r="F169" s="278" t="s">
        <v>586</v>
      </c>
      <c r="G169" s="155"/>
      <c r="H169" s="155"/>
      <c r="I169" s="270"/>
      <c r="J169" s="271" t="s">
        <v>611</v>
      </c>
      <c r="K169" s="155" t="s">
        <v>612</v>
      </c>
      <c r="L169" s="270"/>
      <c r="M169" s="216" t="s">
        <v>613</v>
      </c>
      <c r="N169" s="216" t="s">
        <v>614</v>
      </c>
      <c r="O169" s="155" t="s">
        <v>615</v>
      </c>
      <c r="P169" s="155">
        <f>P146</f>
        <v>1</v>
      </c>
      <c r="Q169" s="155"/>
      <c r="R169" s="155"/>
      <c r="S169" s="155"/>
      <c r="T169" s="155"/>
      <c r="U169" s="158"/>
      <c r="V169" s="155"/>
      <c r="W169" s="155"/>
      <c r="X169" s="263"/>
      <c r="Y169" s="155"/>
      <c r="Z169" s="155"/>
      <c r="AA169" s="263"/>
      <c r="AB169" s="263"/>
      <c r="AC169" s="155"/>
      <c r="AD169" s="155"/>
      <c r="AE169" s="155"/>
      <c r="AF169" s="155" t="str">
        <f>IF(P146&lt;&gt;0,O146,IF(P147&lt;&gt;0,O147,H6))</f>
        <v>壬</v>
      </c>
      <c r="AG169" s="270">
        <v>30</v>
      </c>
      <c r="AH169" s="271" t="s">
        <v>276</v>
      </c>
      <c r="AI169" s="271" t="s">
        <v>267</v>
      </c>
      <c r="AJ169" s="271" t="s">
        <v>273</v>
      </c>
      <c r="AK169" s="271" t="s">
        <v>259</v>
      </c>
      <c r="AL169" s="271" t="s">
        <v>475</v>
      </c>
      <c r="AM169" s="270">
        <v>3</v>
      </c>
      <c r="AN169" s="155" t="s">
        <v>276</v>
      </c>
      <c r="AO169" s="272" t="s">
        <v>267</v>
      </c>
      <c r="AP169" s="273" t="s">
        <v>273</v>
      </c>
      <c r="AQ169" s="273" t="s">
        <v>259</v>
      </c>
      <c r="AR169" s="155"/>
      <c r="AS169" s="155"/>
      <c r="AT169" s="155"/>
      <c r="AU169" s="155"/>
      <c r="AV169" s="155"/>
      <c r="AW169" s="155"/>
      <c r="AX169" s="155"/>
      <c r="AY169" s="155"/>
      <c r="AZ169" s="49"/>
      <c r="BA169" s="49"/>
      <c r="BB169" s="49"/>
      <c r="BC169" s="49"/>
      <c r="BD169" s="49"/>
      <c r="BE169" s="49"/>
      <c r="BF169" s="49"/>
      <c r="BG169" s="49"/>
      <c r="BH169" s="49"/>
      <c r="BI169" s="155"/>
      <c r="BJ169" s="155"/>
      <c r="BK169" s="155"/>
      <c r="BL169" s="49"/>
      <c r="BM169" s="49"/>
      <c r="BN169" s="49"/>
      <c r="BO169" s="49"/>
      <c r="BP169" s="49"/>
      <c r="BQ169" s="49"/>
      <c r="BR169" s="49"/>
      <c r="BS169" s="49"/>
      <c r="BT169" s="49"/>
      <c r="BU169" s="49" t="s">
        <v>498</v>
      </c>
      <c r="BV169" s="275">
        <v>10</v>
      </c>
      <c r="BW169" s="274">
        <v>3</v>
      </c>
      <c r="BX169" s="274">
        <v>1</v>
      </c>
      <c r="BY169" s="274">
        <v>2</v>
      </c>
      <c r="BZ169" s="274">
        <v>9</v>
      </c>
      <c r="CA169" s="274"/>
      <c r="CB169" s="274"/>
      <c r="CC169" s="274">
        <v>2</v>
      </c>
      <c r="CD169" s="274">
        <v>9</v>
      </c>
      <c r="CE169" s="274">
        <v>12</v>
      </c>
      <c r="CF169" s="274">
        <v>11</v>
      </c>
      <c r="CG169" s="274">
        <v>7</v>
      </c>
      <c r="CH169" s="274">
        <v>4</v>
      </c>
      <c r="CI169" s="49"/>
      <c r="CJ169" s="49"/>
      <c r="CK169" s="49"/>
      <c r="CL169" s="49"/>
      <c r="CM169" s="49"/>
      <c r="CN169" s="49"/>
      <c r="CO169" s="49"/>
      <c r="CP169" s="49"/>
      <c r="CQ169" s="49"/>
      <c r="CR169" s="49"/>
      <c r="CS169" s="49"/>
      <c r="CT169" s="155"/>
      <c r="CU169" s="155"/>
      <c r="CV169" s="155"/>
      <c r="CW169" s="155"/>
      <c r="CX169" s="155"/>
      <c r="CY169" s="155"/>
      <c r="CZ169" s="155"/>
      <c r="DA169" s="155"/>
      <c r="DB169" s="155"/>
      <c r="DC169" s="155"/>
      <c r="DD169" s="155"/>
      <c r="DE169" s="155"/>
      <c r="DF169" s="155"/>
      <c r="DG169" s="155"/>
      <c r="DH169" s="155"/>
      <c r="DI169" s="155"/>
      <c r="DJ169" s="155"/>
      <c r="DK169" s="155"/>
      <c r="DL169" s="155"/>
      <c r="DM169" s="155"/>
      <c r="DN169" s="155"/>
      <c r="DO169" s="155"/>
      <c r="DP169" s="155"/>
      <c r="DQ169" s="155"/>
      <c r="DR169" s="155"/>
      <c r="DS169" s="155"/>
      <c r="DT169" s="155"/>
      <c r="DU169" s="155"/>
      <c r="DV169" s="155"/>
      <c r="DW169" s="155"/>
      <c r="DX169" s="155"/>
    </row>
    <row r="170" spans="1:128" ht="18" customHeight="1">
      <c r="A170" s="271" t="str">
        <f t="shared" si="46"/>
        <v>龍高星癸</v>
      </c>
      <c r="B170" s="271" t="s">
        <v>616</v>
      </c>
      <c r="C170" s="271" t="s">
        <v>436</v>
      </c>
      <c r="D170" s="155" t="str">
        <f t="shared" si="47"/>
        <v>辛</v>
      </c>
      <c r="E170" s="49">
        <v>1928</v>
      </c>
      <c r="F170" s="277" t="s">
        <v>569</v>
      </c>
      <c r="G170" s="155"/>
      <c r="H170" s="155"/>
      <c r="I170" s="270"/>
      <c r="J170" s="271" t="s">
        <v>617</v>
      </c>
      <c r="K170" s="155" t="s">
        <v>612</v>
      </c>
      <c r="L170" s="270"/>
      <c r="M170" s="216" t="s">
        <v>618</v>
      </c>
      <c r="N170" s="216" t="s">
        <v>619</v>
      </c>
      <c r="O170" s="155"/>
      <c r="P170" s="155"/>
      <c r="Q170" s="155"/>
      <c r="R170" s="155"/>
      <c r="S170" s="155"/>
      <c r="T170" s="155"/>
      <c r="U170" s="158"/>
      <c r="V170" s="155"/>
      <c r="W170" s="155"/>
      <c r="X170" s="263"/>
      <c r="Y170" s="155"/>
      <c r="Z170" s="155"/>
      <c r="AA170" s="263"/>
      <c r="AB170" s="263"/>
      <c r="AC170" s="155"/>
      <c r="AD170" s="155"/>
      <c r="AE170" s="155"/>
      <c r="AF170" s="155"/>
      <c r="AG170" s="270">
        <v>31</v>
      </c>
      <c r="AH170" s="271" t="s">
        <v>249</v>
      </c>
      <c r="AI170" s="271"/>
      <c r="AJ170" s="271" t="s">
        <v>271</v>
      </c>
      <c r="AK170" s="271" t="s">
        <v>263</v>
      </c>
      <c r="AL170" s="271" t="s">
        <v>481</v>
      </c>
      <c r="AM170" s="270">
        <v>2</v>
      </c>
      <c r="AN170" s="155" t="s">
        <v>249</v>
      </c>
      <c r="AO170" s="272"/>
      <c r="AP170" s="273" t="s">
        <v>271</v>
      </c>
      <c r="AQ170" s="273" t="s">
        <v>263</v>
      </c>
      <c r="AR170" s="155"/>
      <c r="AS170" s="155"/>
      <c r="AT170" s="155"/>
      <c r="AU170" s="155"/>
      <c r="AV170" s="155"/>
      <c r="AW170" s="155"/>
      <c r="AX170" s="155"/>
      <c r="AY170" s="155"/>
      <c r="AZ170" s="49"/>
      <c r="BA170" s="49"/>
      <c r="BB170" s="49"/>
      <c r="BC170" s="49"/>
      <c r="BD170" s="49"/>
      <c r="BE170" s="49"/>
      <c r="BF170" s="49"/>
      <c r="BG170" s="49"/>
      <c r="BH170" s="49"/>
      <c r="BI170" s="155"/>
      <c r="BJ170" s="155"/>
      <c r="BK170" s="155"/>
      <c r="BL170" s="49"/>
      <c r="BM170" s="49"/>
      <c r="BN170" s="49"/>
      <c r="BO170" s="49"/>
      <c r="BP170" s="49"/>
      <c r="BQ170" s="49"/>
      <c r="BR170" s="49"/>
      <c r="BS170" s="49"/>
      <c r="BT170" s="49"/>
      <c r="BU170" s="49" t="s">
        <v>505</v>
      </c>
      <c r="BV170" s="275">
        <v>11</v>
      </c>
      <c r="BW170" s="274">
        <v>6</v>
      </c>
      <c r="BX170" s="274">
        <v>5</v>
      </c>
      <c r="BY170" s="274">
        <v>5</v>
      </c>
      <c r="BZ170" s="274">
        <v>6</v>
      </c>
      <c r="CA170" s="274"/>
      <c r="CB170" s="274"/>
      <c r="CC170" s="274">
        <v>5</v>
      </c>
      <c r="CD170" s="274">
        <v>6</v>
      </c>
      <c r="CE170" s="274">
        <v>8</v>
      </c>
      <c r="CF170" s="274">
        <v>10</v>
      </c>
      <c r="CG170" s="274">
        <v>10</v>
      </c>
      <c r="CH170" s="274">
        <v>8</v>
      </c>
      <c r="CI170" s="49"/>
      <c r="CJ170" s="49"/>
      <c r="CK170" s="49"/>
      <c r="CL170" s="49"/>
      <c r="CM170" s="49"/>
      <c r="CN170" s="49"/>
      <c r="CO170" s="49"/>
      <c r="CP170" s="49"/>
      <c r="CQ170" s="49"/>
      <c r="CR170" s="49"/>
      <c r="CS170" s="49"/>
      <c r="CT170" s="155"/>
      <c r="CU170" s="155"/>
      <c r="CV170" s="155"/>
      <c r="CW170" s="155"/>
      <c r="CX170" s="155"/>
      <c r="CY170" s="155"/>
      <c r="CZ170" s="155"/>
      <c r="DA170" s="155"/>
      <c r="DB170" s="155"/>
      <c r="DC170" s="155"/>
      <c r="DD170" s="155"/>
      <c r="DE170" s="155"/>
      <c r="DF170" s="155"/>
      <c r="DG170" s="155"/>
      <c r="DH170" s="155"/>
      <c r="DI170" s="155"/>
      <c r="DJ170" s="155"/>
      <c r="DK170" s="155"/>
      <c r="DL170" s="155"/>
      <c r="DM170" s="155"/>
      <c r="DN170" s="155"/>
      <c r="DO170" s="155"/>
      <c r="DP170" s="155"/>
      <c r="DQ170" s="155"/>
      <c r="DR170" s="155"/>
      <c r="DS170" s="155"/>
      <c r="DT170" s="155"/>
      <c r="DU170" s="155"/>
      <c r="DV170" s="155"/>
      <c r="DW170" s="155"/>
      <c r="DX170" s="155"/>
    </row>
    <row r="171" spans="1:128" ht="18" customHeight="1">
      <c r="A171" s="271" t="str">
        <f t="shared" si="46"/>
        <v>龍高星戊</v>
      </c>
      <c r="B171" s="271" t="s">
        <v>620</v>
      </c>
      <c r="C171" s="271" t="s">
        <v>436</v>
      </c>
      <c r="D171" s="155" t="str">
        <f t="shared" si="47"/>
        <v>丙</v>
      </c>
      <c r="E171" s="49">
        <v>1929</v>
      </c>
      <c r="F171" s="276" t="s">
        <v>599</v>
      </c>
      <c r="G171" s="155"/>
      <c r="H171" s="155"/>
      <c r="I171" s="270"/>
      <c r="J171" s="271" t="s">
        <v>621</v>
      </c>
      <c r="K171" s="155" t="s">
        <v>622</v>
      </c>
      <c r="L171" s="270"/>
      <c r="M171" s="216" t="s">
        <v>623</v>
      </c>
      <c r="N171" s="216" t="s">
        <v>624</v>
      </c>
      <c r="O171" s="155" t="s">
        <v>625</v>
      </c>
      <c r="P171" s="155">
        <f>P147</f>
        <v>1</v>
      </c>
      <c r="Q171" s="155"/>
      <c r="R171" s="155"/>
      <c r="S171" s="155"/>
      <c r="T171" s="155"/>
      <c r="U171" s="158"/>
      <c r="V171" s="155"/>
      <c r="W171" s="155"/>
      <c r="X171" s="263"/>
      <c r="Y171" s="155"/>
      <c r="Z171" s="155"/>
      <c r="AA171" s="263"/>
      <c r="AB171" s="263"/>
      <c r="AC171" s="155"/>
      <c r="AD171" s="155"/>
      <c r="AE171" s="155"/>
      <c r="AF171" s="155" t="str">
        <f>IF(P147&lt;&gt;0,O147,IF(P146&lt;&gt;0,O146,H6))</f>
        <v>癸</v>
      </c>
      <c r="AG171" s="270">
        <v>32</v>
      </c>
      <c r="AH171" s="271" t="s">
        <v>255</v>
      </c>
      <c r="AI171" s="271" t="s">
        <v>263</v>
      </c>
      <c r="AJ171" s="271" t="s">
        <v>255</v>
      </c>
      <c r="AK171" s="271" t="s">
        <v>271</v>
      </c>
      <c r="AL171" s="271" t="s">
        <v>486</v>
      </c>
      <c r="AM171" s="270">
        <v>6</v>
      </c>
      <c r="AN171" s="155" t="s">
        <v>255</v>
      </c>
      <c r="AO171" s="272" t="s">
        <v>263</v>
      </c>
      <c r="AP171" s="273" t="s">
        <v>255</v>
      </c>
      <c r="AQ171" s="273" t="s">
        <v>271</v>
      </c>
      <c r="AR171" s="155"/>
      <c r="AS171" s="155"/>
      <c r="AT171" s="155"/>
      <c r="AU171" s="155"/>
      <c r="AV171" s="155"/>
      <c r="AW171" s="155"/>
      <c r="AX171" s="155"/>
      <c r="AY171" s="155"/>
      <c r="AZ171" s="49"/>
      <c r="BA171" s="49"/>
      <c r="BB171" s="49"/>
      <c r="BC171" s="49"/>
      <c r="BD171" s="49"/>
      <c r="BE171" s="49"/>
      <c r="BF171" s="49"/>
      <c r="BG171" s="49"/>
      <c r="BH171" s="49"/>
      <c r="BI171" s="155"/>
      <c r="BJ171" s="155"/>
      <c r="BK171" s="155"/>
      <c r="BL171" s="49"/>
      <c r="BM171" s="49"/>
      <c r="BN171" s="49"/>
      <c r="BO171" s="49"/>
      <c r="BP171" s="49"/>
      <c r="BQ171" s="49"/>
      <c r="BR171" s="49"/>
      <c r="BS171" s="49"/>
      <c r="BT171" s="49"/>
      <c r="BU171" s="49" t="s">
        <v>510</v>
      </c>
      <c r="BV171" s="275">
        <v>12</v>
      </c>
      <c r="BW171" s="274">
        <v>9</v>
      </c>
      <c r="BX171" s="274">
        <v>2</v>
      </c>
      <c r="BY171" s="274">
        <v>1</v>
      </c>
      <c r="BZ171" s="274">
        <v>3</v>
      </c>
      <c r="CA171" s="274"/>
      <c r="CB171" s="274"/>
      <c r="CC171" s="274">
        <v>1</v>
      </c>
      <c r="CD171" s="274">
        <v>3</v>
      </c>
      <c r="CE171" s="274">
        <v>4</v>
      </c>
      <c r="CF171" s="274">
        <v>7</v>
      </c>
      <c r="CG171" s="274">
        <v>11</v>
      </c>
      <c r="CH171" s="274">
        <v>12</v>
      </c>
      <c r="CI171" s="49"/>
      <c r="CJ171" s="49"/>
      <c r="CK171" s="49"/>
      <c r="CL171" s="49"/>
      <c r="CM171" s="49"/>
      <c r="CN171" s="49"/>
      <c r="CO171" s="49"/>
      <c r="CP171" s="49"/>
      <c r="CQ171" s="49"/>
      <c r="CR171" s="49"/>
      <c r="CS171" s="49"/>
      <c r="CT171" s="155"/>
      <c r="CU171" s="155"/>
      <c r="CV171" s="155"/>
      <c r="CW171" s="155"/>
      <c r="CX171" s="155"/>
      <c r="CY171" s="155"/>
      <c r="CZ171" s="155"/>
      <c r="DA171" s="155"/>
      <c r="DB171" s="155"/>
      <c r="DC171" s="155"/>
      <c r="DD171" s="155"/>
      <c r="DE171" s="155"/>
      <c r="DF171" s="155"/>
      <c r="DG171" s="155"/>
      <c r="DH171" s="155"/>
      <c r="DI171" s="155"/>
      <c r="DJ171" s="155"/>
      <c r="DK171" s="155"/>
      <c r="DL171" s="155"/>
      <c r="DM171" s="155"/>
      <c r="DN171" s="155"/>
      <c r="DO171" s="155"/>
      <c r="DP171" s="155"/>
      <c r="DQ171" s="155"/>
      <c r="DR171" s="155"/>
      <c r="DS171" s="155"/>
      <c r="DT171" s="155"/>
      <c r="DU171" s="155"/>
      <c r="DV171" s="155"/>
      <c r="DW171" s="155"/>
      <c r="DX171" s="155"/>
    </row>
    <row r="172" spans="1:128" ht="18" customHeight="1">
      <c r="A172" s="271" t="str">
        <f t="shared" si="46"/>
        <v>龍高星己</v>
      </c>
      <c r="B172" s="271" t="s">
        <v>626</v>
      </c>
      <c r="C172" s="271" t="s">
        <v>436</v>
      </c>
      <c r="D172" s="155" t="str">
        <f t="shared" si="47"/>
        <v>丁</v>
      </c>
      <c r="E172" s="49">
        <v>1930</v>
      </c>
      <c r="F172" s="279" t="s">
        <v>461</v>
      </c>
      <c r="G172" s="155"/>
      <c r="H172" s="155"/>
      <c r="I172" s="270"/>
      <c r="J172" s="271" t="s">
        <v>627</v>
      </c>
      <c r="K172" s="155" t="s">
        <v>628</v>
      </c>
      <c r="L172" s="270"/>
      <c r="M172" s="216" t="s">
        <v>629</v>
      </c>
      <c r="N172" s="216" t="s">
        <v>630</v>
      </c>
      <c r="O172" s="155" t="s">
        <v>631</v>
      </c>
      <c r="P172" s="155">
        <f>P138</f>
        <v>0</v>
      </c>
      <c r="Q172" s="155"/>
      <c r="R172" s="155"/>
      <c r="S172" s="155"/>
      <c r="T172" s="155"/>
      <c r="U172" s="158"/>
      <c r="V172" s="155"/>
      <c r="W172" s="155"/>
      <c r="X172" s="263"/>
      <c r="Y172" s="155"/>
      <c r="Z172" s="155"/>
      <c r="AA172" s="263"/>
      <c r="AB172" s="263"/>
      <c r="AC172" s="155"/>
      <c r="AD172" s="155"/>
      <c r="AE172" s="155"/>
      <c r="AF172" s="155" t="str">
        <f>IF(P138&lt;&gt;0,O138,IF(P139&lt;&gt;0,O139,H6))</f>
        <v>辛</v>
      </c>
      <c r="AG172" s="270">
        <v>33</v>
      </c>
      <c r="AH172" s="271" t="s">
        <v>259</v>
      </c>
      <c r="AI172" s="271" t="s">
        <v>267</v>
      </c>
      <c r="AJ172" s="271" t="s">
        <v>275</v>
      </c>
      <c r="AK172" s="271" t="s">
        <v>273</v>
      </c>
      <c r="AL172" s="271" t="s">
        <v>491</v>
      </c>
      <c r="AM172" s="270">
        <v>4</v>
      </c>
      <c r="AN172" s="155" t="s">
        <v>259</v>
      </c>
      <c r="AO172" s="272" t="s">
        <v>267</v>
      </c>
      <c r="AP172" s="273" t="s">
        <v>275</v>
      </c>
      <c r="AQ172" s="273" t="s">
        <v>273</v>
      </c>
      <c r="AR172" s="155"/>
      <c r="AS172" s="155"/>
      <c r="AT172" s="155"/>
      <c r="AU172" s="155"/>
      <c r="AV172" s="155"/>
      <c r="AW172" s="155"/>
      <c r="AX172" s="155"/>
      <c r="AY172" s="155"/>
      <c r="AZ172" s="49"/>
      <c r="BA172" s="49"/>
      <c r="BB172" s="49"/>
      <c r="BC172" s="49"/>
      <c r="BD172" s="49"/>
      <c r="BE172" s="49"/>
      <c r="BF172" s="49"/>
      <c r="BG172" s="49"/>
      <c r="BH172" s="49"/>
      <c r="BI172" s="155"/>
      <c r="BJ172" s="155"/>
      <c r="BK172" s="155"/>
      <c r="BL172" s="49"/>
      <c r="BM172" s="49"/>
      <c r="BN172" s="49"/>
      <c r="BO172" s="49"/>
      <c r="BP172" s="49"/>
      <c r="BQ172" s="49"/>
      <c r="BR172" s="49"/>
      <c r="BS172" s="49"/>
      <c r="BT172" s="49"/>
      <c r="BU172" s="49"/>
      <c r="BV172" s="49"/>
      <c r="BW172" s="49"/>
      <c r="BX172" s="49"/>
      <c r="BY172" s="49"/>
      <c r="BZ172" s="49"/>
      <c r="CA172" s="49"/>
      <c r="CB172" s="49"/>
      <c r="CC172" s="49"/>
      <c r="CD172" s="49"/>
      <c r="CE172" s="49"/>
      <c r="CF172" s="49"/>
      <c r="CG172" s="49"/>
      <c r="CH172" s="49"/>
      <c r="CI172" s="49"/>
      <c r="CJ172" s="49"/>
      <c r="CK172" s="49"/>
      <c r="CL172" s="49"/>
      <c r="CM172" s="49"/>
      <c r="CN172" s="49"/>
      <c r="CO172" s="49"/>
      <c r="CP172" s="49"/>
      <c r="CQ172" s="49"/>
      <c r="CR172" s="49"/>
      <c r="CS172" s="49"/>
      <c r="CT172" s="155"/>
      <c r="CU172" s="155"/>
      <c r="CV172" s="155"/>
      <c r="CW172" s="155"/>
      <c r="CX172" s="155"/>
      <c r="CY172" s="155"/>
      <c r="CZ172" s="155"/>
      <c r="DA172" s="155"/>
      <c r="DB172" s="155"/>
      <c r="DC172" s="155"/>
      <c r="DD172" s="155"/>
      <c r="DE172" s="155"/>
      <c r="DF172" s="155"/>
      <c r="DG172" s="155"/>
      <c r="DH172" s="155"/>
      <c r="DI172" s="155"/>
      <c r="DJ172" s="155"/>
      <c r="DK172" s="155"/>
      <c r="DL172" s="155"/>
      <c r="DM172" s="155"/>
      <c r="DN172" s="155"/>
      <c r="DO172" s="155"/>
      <c r="DP172" s="155"/>
      <c r="DQ172" s="155"/>
      <c r="DR172" s="155"/>
      <c r="DS172" s="155"/>
      <c r="DT172" s="155"/>
      <c r="DU172" s="155"/>
      <c r="DV172" s="155"/>
      <c r="DW172" s="155"/>
      <c r="DX172" s="155"/>
    </row>
    <row r="173" spans="1:128" ht="18" customHeight="1">
      <c r="A173" s="271" t="str">
        <f t="shared" si="46"/>
        <v>龍高星甲</v>
      </c>
      <c r="B173" s="271" t="s">
        <v>632</v>
      </c>
      <c r="C173" s="271" t="s">
        <v>436</v>
      </c>
      <c r="D173" s="155" t="str">
        <f t="shared" si="47"/>
        <v>壬</v>
      </c>
      <c r="E173" s="49">
        <v>1931</v>
      </c>
      <c r="F173" s="279" t="s">
        <v>586</v>
      </c>
      <c r="G173" s="155"/>
      <c r="H173" s="155"/>
      <c r="I173" s="270"/>
      <c r="J173" s="271" t="s">
        <v>633</v>
      </c>
      <c r="K173" s="155" t="s">
        <v>628</v>
      </c>
      <c r="L173" s="270"/>
      <c r="M173" s="216" t="s">
        <v>634</v>
      </c>
      <c r="N173" s="216" t="s">
        <v>635</v>
      </c>
      <c r="O173" s="155"/>
      <c r="P173" s="155"/>
      <c r="Q173" s="155"/>
      <c r="R173" s="155"/>
      <c r="S173" s="155"/>
      <c r="T173" s="155"/>
      <c r="U173" s="158"/>
      <c r="V173" s="155"/>
      <c r="W173" s="155"/>
      <c r="X173" s="263"/>
      <c r="Y173" s="155"/>
      <c r="Z173" s="155"/>
      <c r="AA173" s="263"/>
      <c r="AB173" s="263"/>
      <c r="AC173" s="155"/>
      <c r="AD173" s="155"/>
      <c r="AE173" s="155"/>
      <c r="AF173" s="155"/>
      <c r="AG173" s="270">
        <v>34</v>
      </c>
      <c r="AH173" s="271" t="s">
        <v>263</v>
      </c>
      <c r="AI173" s="271"/>
      <c r="AJ173" s="271"/>
      <c r="AK173" s="271" t="s">
        <v>274</v>
      </c>
      <c r="AL173" s="271" t="s">
        <v>498</v>
      </c>
      <c r="AM173" s="270">
        <v>9</v>
      </c>
      <c r="AN173" s="155" t="s">
        <v>263</v>
      </c>
      <c r="AO173" s="272"/>
      <c r="AP173" s="273"/>
      <c r="AQ173" s="273" t="s">
        <v>274</v>
      </c>
      <c r="AR173" s="155"/>
      <c r="AS173" s="155"/>
      <c r="AT173" s="155"/>
      <c r="AU173" s="155"/>
      <c r="AV173" s="155"/>
      <c r="AW173" s="155"/>
      <c r="AX173" s="155"/>
      <c r="AY173" s="155"/>
      <c r="AZ173" s="49"/>
      <c r="BA173" s="49"/>
      <c r="BB173" s="49"/>
      <c r="BC173" s="49"/>
      <c r="BD173" s="49"/>
      <c r="BE173" s="49"/>
      <c r="BF173" s="49"/>
      <c r="BG173" s="49"/>
      <c r="BH173" s="49"/>
      <c r="BI173" s="155"/>
      <c r="BJ173" s="155"/>
      <c r="BK173" s="155"/>
      <c r="BL173" s="49"/>
      <c r="BM173" s="49"/>
      <c r="BN173" s="49"/>
      <c r="BO173" s="49"/>
      <c r="BP173" s="49"/>
      <c r="BQ173" s="49"/>
      <c r="BR173" s="49"/>
      <c r="BS173" s="49"/>
      <c r="BT173" s="49"/>
      <c r="BU173" s="49"/>
      <c r="BV173" s="49"/>
      <c r="BW173" s="49"/>
      <c r="BX173" s="49"/>
      <c r="BY173" s="49"/>
      <c r="BZ173" s="49"/>
      <c r="CA173" s="49"/>
      <c r="CB173" s="49"/>
      <c r="CC173" s="49"/>
      <c r="CD173" s="49"/>
      <c r="CE173" s="49"/>
      <c r="CF173" s="49"/>
      <c r="CG173" s="49"/>
      <c r="CH173" s="49"/>
      <c r="CI173" s="49"/>
      <c r="CJ173" s="49"/>
      <c r="CK173" s="49"/>
      <c r="CL173" s="49"/>
      <c r="CM173" s="49"/>
      <c r="CN173" s="49"/>
      <c r="CO173" s="49"/>
      <c r="CP173" s="49"/>
      <c r="CQ173" s="49"/>
      <c r="CR173" s="49"/>
      <c r="CS173" s="49"/>
      <c r="CT173" s="155"/>
      <c r="CU173" s="155"/>
      <c r="CV173" s="155"/>
      <c r="CW173" s="155"/>
      <c r="CX173" s="155"/>
      <c r="CY173" s="155"/>
      <c r="CZ173" s="155"/>
      <c r="DA173" s="155"/>
      <c r="DB173" s="155"/>
      <c r="DC173" s="155"/>
      <c r="DD173" s="155"/>
      <c r="DE173" s="155"/>
      <c r="DF173" s="155"/>
      <c r="DG173" s="155"/>
      <c r="DH173" s="155"/>
      <c r="DI173" s="155"/>
      <c r="DJ173" s="155"/>
      <c r="DK173" s="155"/>
      <c r="DL173" s="155"/>
      <c r="DM173" s="155"/>
      <c r="DN173" s="155"/>
      <c r="DO173" s="155"/>
      <c r="DP173" s="155"/>
      <c r="DQ173" s="155"/>
      <c r="DR173" s="155"/>
      <c r="DS173" s="155"/>
      <c r="DT173" s="155"/>
      <c r="DU173" s="155"/>
      <c r="DV173" s="155"/>
      <c r="DW173" s="155"/>
      <c r="DX173" s="155"/>
    </row>
    <row r="174" spans="1:128" ht="18" customHeight="1">
      <c r="A174" s="271" t="str">
        <f t="shared" si="46"/>
        <v>龍高星乙</v>
      </c>
      <c r="B174" s="271" t="s">
        <v>636</v>
      </c>
      <c r="C174" s="271" t="s">
        <v>436</v>
      </c>
      <c r="D174" s="155" t="str">
        <f t="shared" si="47"/>
        <v>癸</v>
      </c>
      <c r="E174" s="49">
        <v>1932</v>
      </c>
      <c r="F174" s="279" t="s">
        <v>637</v>
      </c>
      <c r="G174" s="155"/>
      <c r="H174" s="155"/>
      <c r="I174" s="270"/>
      <c r="J174" s="271" t="s">
        <v>638</v>
      </c>
      <c r="K174" s="155" t="s">
        <v>622</v>
      </c>
      <c r="L174" s="270"/>
      <c r="M174" s="216" t="s">
        <v>639</v>
      </c>
      <c r="N174" s="216" t="s">
        <v>640</v>
      </c>
      <c r="O174" s="155" t="s">
        <v>641</v>
      </c>
      <c r="P174" s="155">
        <f>P139</f>
        <v>0</v>
      </c>
      <c r="Q174" s="155"/>
      <c r="R174" s="155"/>
      <c r="S174" s="155"/>
      <c r="T174" s="155"/>
      <c r="U174" s="158"/>
      <c r="V174" s="155"/>
      <c r="W174" s="155"/>
      <c r="X174" s="263"/>
      <c r="Y174" s="155"/>
      <c r="Z174" s="155"/>
      <c r="AA174" s="263"/>
      <c r="AB174" s="263"/>
      <c r="AC174" s="155"/>
      <c r="AD174" s="155"/>
      <c r="AE174" s="155"/>
      <c r="AF174" s="155" t="str">
        <f>IF(P139&lt;&gt;0,O139,IF(P138&lt;&gt;0,O138,H6))</f>
        <v>辛</v>
      </c>
      <c r="AG174" s="270">
        <v>35</v>
      </c>
      <c r="AH174" s="271" t="s">
        <v>267</v>
      </c>
      <c r="AI174" s="271" t="s">
        <v>274</v>
      </c>
      <c r="AJ174" s="271" t="s">
        <v>263</v>
      </c>
      <c r="AK174" s="271" t="s">
        <v>267</v>
      </c>
      <c r="AL174" s="271" t="s">
        <v>505</v>
      </c>
      <c r="AM174" s="270">
        <v>5</v>
      </c>
      <c r="AN174" s="155" t="s">
        <v>267</v>
      </c>
      <c r="AO174" s="272" t="s">
        <v>274</v>
      </c>
      <c r="AP174" s="273" t="s">
        <v>263</v>
      </c>
      <c r="AQ174" s="273" t="s">
        <v>267</v>
      </c>
      <c r="AR174" s="155"/>
      <c r="AS174" s="155"/>
      <c r="AT174" s="155"/>
      <c r="AU174" s="155"/>
      <c r="AV174" s="155"/>
      <c r="AW174" s="155"/>
      <c r="AX174" s="155"/>
      <c r="AY174" s="155"/>
      <c r="AZ174" s="49"/>
      <c r="BA174" s="49"/>
      <c r="BB174" s="49"/>
      <c r="BC174" s="49"/>
      <c r="BD174" s="49"/>
      <c r="BE174" s="49"/>
      <c r="BF174" s="49"/>
      <c r="BG174" s="49"/>
      <c r="BH174" s="49"/>
      <c r="BI174" s="155"/>
      <c r="BJ174" s="155"/>
      <c r="BK174" s="155"/>
      <c r="BL174" s="49"/>
      <c r="BM174" s="49"/>
      <c r="BN174" s="49"/>
      <c r="BO174" s="49"/>
      <c r="BP174" s="49"/>
      <c r="BQ174" s="49"/>
      <c r="BR174" s="49"/>
      <c r="BS174" s="49"/>
      <c r="BT174" s="49"/>
      <c r="BU174" s="49"/>
      <c r="BV174" s="49"/>
      <c r="BW174" s="63" t="s">
        <v>249</v>
      </c>
      <c r="BX174" s="63" t="s">
        <v>255</v>
      </c>
      <c r="BY174" s="63" t="s">
        <v>259</v>
      </c>
      <c r="BZ174" s="63" t="s">
        <v>263</v>
      </c>
      <c r="CA174" s="63"/>
      <c r="CB174" s="63"/>
      <c r="CC174" s="63" t="s">
        <v>267</v>
      </c>
      <c r="CD174" s="63" t="s">
        <v>271</v>
      </c>
      <c r="CE174" s="63" t="s">
        <v>273</v>
      </c>
      <c r="CF174" s="63" t="s">
        <v>274</v>
      </c>
      <c r="CG174" s="63" t="s">
        <v>275</v>
      </c>
      <c r="CH174" s="63" t="s">
        <v>276</v>
      </c>
      <c r="CI174" s="49"/>
      <c r="CJ174" s="49"/>
      <c r="CK174" s="49"/>
      <c r="CL174" s="49"/>
      <c r="CM174" s="49"/>
      <c r="CN174" s="49"/>
      <c r="CO174" s="49"/>
      <c r="CP174" s="49"/>
      <c r="CQ174" s="49"/>
      <c r="CR174" s="49"/>
      <c r="CS174" s="49"/>
      <c r="CT174" s="155"/>
      <c r="CU174" s="155"/>
      <c r="CV174" s="155"/>
      <c r="CW174" s="155"/>
      <c r="CX174" s="155"/>
      <c r="CY174" s="155"/>
      <c r="CZ174" s="155"/>
      <c r="DA174" s="155"/>
      <c r="DB174" s="155"/>
      <c r="DC174" s="155"/>
      <c r="DD174" s="155"/>
      <c r="DE174" s="155"/>
      <c r="DF174" s="155"/>
      <c r="DG174" s="155"/>
      <c r="DH174" s="155"/>
      <c r="DI174" s="155"/>
      <c r="DJ174" s="155"/>
      <c r="DK174" s="155"/>
      <c r="DL174" s="155"/>
      <c r="DM174" s="155"/>
      <c r="DN174" s="155"/>
      <c r="DO174" s="155"/>
      <c r="DP174" s="155"/>
      <c r="DQ174" s="155"/>
      <c r="DR174" s="155"/>
      <c r="DS174" s="155"/>
      <c r="DT174" s="155"/>
      <c r="DU174" s="155"/>
      <c r="DV174" s="155"/>
      <c r="DW174" s="155"/>
      <c r="DX174" s="155"/>
    </row>
    <row r="175" spans="1:128" ht="18" customHeight="1">
      <c r="A175" s="271" t="str">
        <f t="shared" si="46"/>
        <v>石門星丙</v>
      </c>
      <c r="B175" s="271" t="s">
        <v>642</v>
      </c>
      <c r="C175" s="271" t="s">
        <v>460</v>
      </c>
      <c r="D175" s="155" t="str">
        <f t="shared" si="47"/>
        <v>丁</v>
      </c>
      <c r="E175" s="49">
        <v>1933</v>
      </c>
      <c r="F175" s="279" t="s">
        <v>643</v>
      </c>
      <c r="G175" s="155"/>
      <c r="H175" s="155"/>
      <c r="I175" s="270"/>
      <c r="J175" s="271" t="s">
        <v>644</v>
      </c>
      <c r="K175" s="155" t="s">
        <v>645</v>
      </c>
      <c r="L175" s="270"/>
      <c r="M175" s="216" t="s">
        <v>646</v>
      </c>
      <c r="N175" s="216" t="s">
        <v>647</v>
      </c>
      <c r="O175" s="155" t="s">
        <v>648</v>
      </c>
      <c r="P175" s="155">
        <f>P140</f>
        <v>1</v>
      </c>
      <c r="Q175" s="155"/>
      <c r="R175" s="155"/>
      <c r="S175" s="155"/>
      <c r="T175" s="155"/>
      <c r="U175" s="158"/>
      <c r="V175" s="155"/>
      <c r="W175" s="155"/>
      <c r="X175" s="263"/>
      <c r="Y175" s="155"/>
      <c r="Z175" s="155"/>
      <c r="AA175" s="263"/>
      <c r="AB175" s="263"/>
      <c r="AC175" s="155"/>
      <c r="AD175" s="155"/>
      <c r="AE175" s="155"/>
      <c r="AF175" s="155" t="str">
        <f>IF(P140&lt;&gt;0,O140,IF(P141&lt;&gt;0,O141,H6))</f>
        <v>丙</v>
      </c>
      <c r="AG175" s="270">
        <v>36</v>
      </c>
      <c r="AH175" s="271" t="s">
        <v>271</v>
      </c>
      <c r="AI175" s="271"/>
      <c r="AJ175" s="271" t="s">
        <v>249</v>
      </c>
      <c r="AK175" s="271" t="s">
        <v>275</v>
      </c>
      <c r="AL175" s="271" t="s">
        <v>510</v>
      </c>
      <c r="AM175" s="270">
        <v>3</v>
      </c>
      <c r="AN175" s="155" t="s">
        <v>271</v>
      </c>
      <c r="AO175" s="272"/>
      <c r="AP175" s="273" t="s">
        <v>249</v>
      </c>
      <c r="AQ175" s="273" t="s">
        <v>275</v>
      </c>
      <c r="AR175" s="155"/>
      <c r="AS175" s="155"/>
      <c r="AT175" s="155"/>
      <c r="AU175" s="155"/>
      <c r="AV175" s="155"/>
      <c r="AW175" s="155"/>
      <c r="AX175" s="155"/>
      <c r="AY175" s="155"/>
      <c r="AZ175" s="49"/>
      <c r="BA175" s="49"/>
      <c r="BB175" s="49"/>
      <c r="BC175" s="49"/>
      <c r="BD175" s="49"/>
      <c r="BE175" s="49"/>
      <c r="BF175" s="49"/>
      <c r="BG175" s="49"/>
      <c r="BH175" s="49"/>
      <c r="BI175" s="155"/>
      <c r="BJ175" s="155"/>
      <c r="BK175" s="155"/>
      <c r="BL175" s="49"/>
      <c r="BM175" s="49"/>
      <c r="BN175" s="49"/>
      <c r="BO175" s="49"/>
      <c r="BP175" s="49"/>
      <c r="BQ175" s="49"/>
      <c r="BR175" s="49"/>
      <c r="BS175" s="49"/>
      <c r="BT175" s="49"/>
      <c r="BU175" s="49"/>
      <c r="BV175" s="49">
        <v>1</v>
      </c>
      <c r="BW175" s="274">
        <v>0</v>
      </c>
      <c r="BX175" s="274">
        <v>0</v>
      </c>
      <c r="BY175" s="274">
        <v>0</v>
      </c>
      <c r="BZ175" s="274">
        <v>0</v>
      </c>
      <c r="CA175" s="274"/>
      <c r="CB175" s="274"/>
      <c r="CC175" s="274">
        <v>0</v>
      </c>
      <c r="CD175" s="274">
        <v>0</v>
      </c>
      <c r="CE175" s="274">
        <v>0</v>
      </c>
      <c r="CF175" s="274">
        <v>0</v>
      </c>
      <c r="CG175" s="274">
        <v>0</v>
      </c>
      <c r="CH175" s="274">
        <v>1</v>
      </c>
      <c r="CI175" s="49"/>
      <c r="CJ175" s="49"/>
      <c r="CK175" s="49"/>
      <c r="CL175" s="49"/>
      <c r="CM175" s="49"/>
      <c r="CN175" s="49"/>
      <c r="CO175" s="49"/>
      <c r="CP175" s="49"/>
      <c r="CQ175" s="49"/>
      <c r="CR175" s="49"/>
      <c r="CS175" s="49"/>
      <c r="CT175" s="155"/>
      <c r="CU175" s="155"/>
      <c r="CV175" s="155"/>
      <c r="CW175" s="155"/>
      <c r="CX175" s="155"/>
      <c r="CY175" s="155"/>
      <c r="CZ175" s="155"/>
      <c r="DA175" s="155"/>
      <c r="DB175" s="155"/>
      <c r="DC175" s="155"/>
      <c r="DD175" s="155"/>
      <c r="DE175" s="155"/>
      <c r="DF175" s="155"/>
      <c r="DG175" s="155"/>
      <c r="DH175" s="155"/>
      <c r="DI175" s="155"/>
      <c r="DJ175" s="155"/>
      <c r="DK175" s="155"/>
      <c r="DL175" s="155"/>
      <c r="DM175" s="155"/>
      <c r="DN175" s="155"/>
      <c r="DO175" s="155"/>
      <c r="DP175" s="155"/>
      <c r="DQ175" s="155"/>
      <c r="DR175" s="155"/>
      <c r="DS175" s="155"/>
      <c r="DT175" s="155"/>
      <c r="DU175" s="155"/>
      <c r="DV175" s="155"/>
      <c r="DW175" s="155"/>
      <c r="DX175" s="155"/>
    </row>
    <row r="176" spans="1:128" ht="18" customHeight="1">
      <c r="A176" s="271" t="str">
        <f t="shared" si="46"/>
        <v>石門星丁</v>
      </c>
      <c r="B176" s="271" t="s">
        <v>649</v>
      </c>
      <c r="C176" s="271" t="s">
        <v>460</v>
      </c>
      <c r="D176" s="155" t="str">
        <f t="shared" si="47"/>
        <v>丙</v>
      </c>
      <c r="E176" s="49">
        <v>1934</v>
      </c>
      <c r="F176" s="279" t="s">
        <v>461</v>
      </c>
      <c r="G176" s="155"/>
      <c r="H176" s="155"/>
      <c r="I176" s="270"/>
      <c r="J176" s="271" t="s">
        <v>650</v>
      </c>
      <c r="K176" s="155" t="s">
        <v>645</v>
      </c>
      <c r="L176" s="270"/>
      <c r="M176" s="216" t="s">
        <v>651</v>
      </c>
      <c r="N176" s="216" t="s">
        <v>652</v>
      </c>
      <c r="O176" s="155"/>
      <c r="P176" s="155"/>
      <c r="Q176" s="155"/>
      <c r="R176" s="155"/>
      <c r="S176" s="155"/>
      <c r="T176" s="155"/>
      <c r="U176" s="158"/>
      <c r="V176" s="155"/>
      <c r="W176" s="155"/>
      <c r="X176" s="263"/>
      <c r="Y176" s="155"/>
      <c r="Z176" s="155"/>
      <c r="AA176" s="263"/>
      <c r="AB176" s="263"/>
      <c r="AC176" s="155"/>
      <c r="AD176" s="155"/>
      <c r="AE176" s="155"/>
      <c r="AF176" s="155"/>
      <c r="AG176" s="270">
        <v>37</v>
      </c>
      <c r="AH176" s="271" t="s">
        <v>273</v>
      </c>
      <c r="AI176" s="271"/>
      <c r="AJ176" s="271"/>
      <c r="AK176" s="271" t="s">
        <v>276</v>
      </c>
      <c r="AL176" s="271" t="s">
        <v>456</v>
      </c>
      <c r="AM176" s="270">
        <v>2</v>
      </c>
      <c r="AN176" s="155" t="s">
        <v>273</v>
      </c>
      <c r="AO176" s="272"/>
      <c r="AP176" s="273"/>
      <c r="AQ176" s="273" t="s">
        <v>276</v>
      </c>
      <c r="AR176" s="155"/>
      <c r="AS176" s="155"/>
      <c r="AT176" s="155"/>
      <c r="AU176" s="155"/>
      <c r="AV176" s="155"/>
      <c r="AW176" s="155"/>
      <c r="AX176" s="155"/>
      <c r="AY176" s="155"/>
      <c r="AZ176" s="49"/>
      <c r="BA176" s="49"/>
      <c r="BB176" s="49"/>
      <c r="BC176" s="49"/>
      <c r="BD176" s="49"/>
      <c r="BE176" s="49"/>
      <c r="BF176" s="49"/>
      <c r="BG176" s="49"/>
      <c r="BH176" s="49"/>
      <c r="BI176" s="155"/>
      <c r="BJ176" s="155"/>
      <c r="BK176" s="155"/>
      <c r="BL176" s="49"/>
      <c r="BM176" s="49"/>
      <c r="BN176" s="49"/>
      <c r="BO176" s="49"/>
      <c r="BP176" s="49"/>
      <c r="BQ176" s="49"/>
      <c r="BR176" s="49"/>
      <c r="BS176" s="49"/>
      <c r="BT176" s="49"/>
      <c r="BU176" s="49"/>
      <c r="BV176" s="49">
        <v>2</v>
      </c>
      <c r="BW176" s="274">
        <v>0</v>
      </c>
      <c r="BX176" s="274">
        <v>0</v>
      </c>
      <c r="BY176" s="274">
        <v>0</v>
      </c>
      <c r="BZ176" s="274">
        <v>0</v>
      </c>
      <c r="CA176" s="274"/>
      <c r="CB176" s="274"/>
      <c r="CC176" s="274">
        <v>0</v>
      </c>
      <c r="CD176" s="274">
        <v>1</v>
      </c>
      <c r="CE176" s="274">
        <v>0</v>
      </c>
      <c r="CF176" s="274">
        <v>1</v>
      </c>
      <c r="CG176" s="274">
        <v>0</v>
      </c>
      <c r="CH176" s="274">
        <v>1</v>
      </c>
      <c r="CI176" s="49"/>
      <c r="CJ176" s="49"/>
      <c r="CK176" s="49"/>
      <c r="CL176" s="49"/>
      <c r="CM176" s="49"/>
      <c r="CN176" s="49"/>
      <c r="CO176" s="49"/>
      <c r="CP176" s="49"/>
      <c r="CQ176" s="49"/>
      <c r="CR176" s="49"/>
      <c r="CS176" s="49"/>
      <c r="CT176" s="155"/>
      <c r="CU176" s="155"/>
      <c r="CV176" s="155"/>
      <c r="CW176" s="155"/>
      <c r="CX176" s="155"/>
      <c r="CY176" s="155"/>
      <c r="CZ176" s="155"/>
      <c r="DA176" s="155"/>
      <c r="DB176" s="155"/>
      <c r="DC176" s="155"/>
      <c r="DD176" s="155"/>
      <c r="DE176" s="155"/>
      <c r="DF176" s="155"/>
      <c r="DG176" s="155"/>
      <c r="DH176" s="155"/>
      <c r="DI176" s="155"/>
      <c r="DJ176" s="155"/>
      <c r="DK176" s="155"/>
      <c r="DL176" s="155"/>
      <c r="DM176" s="155"/>
      <c r="DN176" s="155"/>
      <c r="DO176" s="155"/>
      <c r="DP176" s="155"/>
      <c r="DQ176" s="155"/>
      <c r="DR176" s="155"/>
      <c r="DS176" s="155"/>
      <c r="DT176" s="155"/>
      <c r="DU176" s="155"/>
      <c r="DV176" s="155"/>
      <c r="DW176" s="155"/>
      <c r="DX176" s="155"/>
    </row>
    <row r="177" spans="1:128" ht="18" customHeight="1">
      <c r="A177" s="271" t="str">
        <f t="shared" si="46"/>
        <v>石門星庚</v>
      </c>
      <c r="B177" s="271" t="s">
        <v>653</v>
      </c>
      <c r="C177" s="271" t="s">
        <v>460</v>
      </c>
      <c r="D177" s="155" t="str">
        <f t="shared" si="47"/>
        <v>辛</v>
      </c>
      <c r="E177" s="49">
        <v>1935</v>
      </c>
      <c r="F177" s="279" t="s">
        <v>466</v>
      </c>
      <c r="G177" s="155"/>
      <c r="H177" s="155"/>
      <c r="I177" s="270"/>
      <c r="J177" s="271" t="s">
        <v>654</v>
      </c>
      <c r="K177" s="155" t="s">
        <v>622</v>
      </c>
      <c r="L177" s="270"/>
      <c r="M177" s="216" t="s">
        <v>655</v>
      </c>
      <c r="N177" s="216" t="s">
        <v>656</v>
      </c>
      <c r="O177" s="155" t="s">
        <v>657</v>
      </c>
      <c r="P177" s="155">
        <f>P141</f>
        <v>0</v>
      </c>
      <c r="Q177" s="155"/>
      <c r="R177" s="155"/>
      <c r="S177" s="155"/>
      <c r="T177" s="155"/>
      <c r="U177" s="158"/>
      <c r="V177" s="155"/>
      <c r="W177" s="155"/>
      <c r="X177" s="263"/>
      <c r="Y177" s="155"/>
      <c r="Z177" s="155"/>
      <c r="AA177" s="263"/>
      <c r="AB177" s="263"/>
      <c r="AC177" s="155"/>
      <c r="AD177" s="155"/>
      <c r="AE177" s="155"/>
      <c r="AF177" s="155" t="str">
        <f>IF(P141&lt;&gt;0,O141,IF(P140&lt;&gt;0,O140,H6))</f>
        <v>丙</v>
      </c>
      <c r="AG177" s="270">
        <v>38</v>
      </c>
      <c r="AH177" s="271" t="s">
        <v>274</v>
      </c>
      <c r="AI177" s="271" t="s">
        <v>276</v>
      </c>
      <c r="AJ177" s="271" t="s">
        <v>274</v>
      </c>
      <c r="AK177" s="271" t="s">
        <v>271</v>
      </c>
      <c r="AL177" s="271" t="s">
        <v>458</v>
      </c>
      <c r="AM177" s="270">
        <v>6</v>
      </c>
      <c r="AN177" s="155" t="s">
        <v>274</v>
      </c>
      <c r="AO177" s="272" t="s">
        <v>276</v>
      </c>
      <c r="AP177" s="273" t="s">
        <v>274</v>
      </c>
      <c r="AQ177" s="273" t="s">
        <v>271</v>
      </c>
      <c r="AR177" s="155"/>
      <c r="AS177" s="155"/>
      <c r="AT177" s="155"/>
      <c r="AU177" s="155"/>
      <c r="AV177" s="155"/>
      <c r="AW177" s="155"/>
      <c r="AX177" s="155"/>
      <c r="AY177" s="155"/>
      <c r="AZ177" s="49"/>
      <c r="BA177" s="49"/>
      <c r="BB177" s="49"/>
      <c r="BC177" s="49"/>
      <c r="BD177" s="49"/>
      <c r="BE177" s="49"/>
      <c r="BF177" s="49"/>
      <c r="BG177" s="49"/>
      <c r="BH177" s="49"/>
      <c r="BI177" s="155"/>
      <c r="BJ177" s="155"/>
      <c r="BK177" s="155"/>
      <c r="BL177" s="49"/>
      <c r="BM177" s="49"/>
      <c r="BN177" s="49"/>
      <c r="BO177" s="49"/>
      <c r="BP177" s="49"/>
      <c r="BQ177" s="49"/>
      <c r="BR177" s="49"/>
      <c r="BS177" s="49"/>
      <c r="BT177" s="49"/>
      <c r="BU177" s="49"/>
      <c r="BV177" s="49">
        <v>3</v>
      </c>
      <c r="BW177" s="274">
        <v>1</v>
      </c>
      <c r="BX177" s="274">
        <v>0</v>
      </c>
      <c r="BY177" s="274">
        <v>1</v>
      </c>
      <c r="BZ177" s="274">
        <v>0</v>
      </c>
      <c r="CA177" s="274"/>
      <c r="CB177" s="274"/>
      <c r="CC177" s="274">
        <v>1</v>
      </c>
      <c r="CD177" s="274">
        <v>0</v>
      </c>
      <c r="CE177" s="274">
        <v>0</v>
      </c>
      <c r="CF177" s="274">
        <v>0</v>
      </c>
      <c r="CG177" s="274">
        <v>0</v>
      </c>
      <c r="CH177" s="274">
        <v>0</v>
      </c>
      <c r="CI177" s="49"/>
      <c r="CJ177" s="49"/>
      <c r="CK177" s="49"/>
      <c r="CL177" s="49"/>
      <c r="CM177" s="49"/>
      <c r="CN177" s="49"/>
      <c r="CO177" s="49"/>
      <c r="CP177" s="49"/>
      <c r="CQ177" s="49"/>
      <c r="CR177" s="49"/>
      <c r="CS177" s="49"/>
      <c r="CT177" s="155"/>
      <c r="CU177" s="155"/>
      <c r="CV177" s="155"/>
      <c r="CW177" s="155"/>
      <c r="CX177" s="155"/>
      <c r="CY177" s="155"/>
      <c r="CZ177" s="155"/>
      <c r="DA177" s="155"/>
      <c r="DB177" s="155"/>
      <c r="DC177" s="155"/>
      <c r="DD177" s="155"/>
      <c r="DE177" s="155"/>
      <c r="DF177" s="155"/>
      <c r="DG177" s="155"/>
      <c r="DH177" s="155"/>
      <c r="DI177" s="155"/>
      <c r="DJ177" s="155"/>
      <c r="DK177" s="155"/>
      <c r="DL177" s="155"/>
      <c r="DM177" s="155"/>
      <c r="DN177" s="155"/>
      <c r="DO177" s="155"/>
      <c r="DP177" s="155"/>
      <c r="DQ177" s="155"/>
      <c r="DR177" s="155"/>
      <c r="DS177" s="155"/>
      <c r="DT177" s="155"/>
      <c r="DU177" s="155"/>
      <c r="DV177" s="155"/>
      <c r="DW177" s="155"/>
      <c r="DX177" s="155"/>
    </row>
    <row r="178" spans="1:128" ht="18" customHeight="1">
      <c r="A178" s="271" t="str">
        <f t="shared" si="46"/>
        <v>石門星辛</v>
      </c>
      <c r="B178" s="271" t="s">
        <v>658</v>
      </c>
      <c r="C178" s="271" t="s">
        <v>460</v>
      </c>
      <c r="D178" s="155" t="str">
        <f t="shared" si="47"/>
        <v>庚</v>
      </c>
      <c r="E178" s="49">
        <v>1936</v>
      </c>
      <c r="F178" s="279" t="s">
        <v>637</v>
      </c>
      <c r="G178" s="155"/>
      <c r="H178" s="155"/>
      <c r="I178" s="270"/>
      <c r="J178" s="271" t="s">
        <v>659</v>
      </c>
      <c r="K178" s="155" t="s">
        <v>660</v>
      </c>
      <c r="L178" s="270"/>
      <c r="M178" s="216" t="s">
        <v>661</v>
      </c>
      <c r="N178" s="216" t="s">
        <v>662</v>
      </c>
      <c r="O178" s="155" t="s">
        <v>663</v>
      </c>
      <c r="P178" s="155">
        <f>P142</f>
        <v>1</v>
      </c>
      <c r="Q178" s="155"/>
      <c r="R178" s="155"/>
      <c r="S178" s="155"/>
      <c r="T178" s="155"/>
      <c r="U178" s="158"/>
      <c r="V178" s="155"/>
      <c r="W178" s="155"/>
      <c r="X178" s="263"/>
      <c r="Y178" s="155"/>
      <c r="Z178" s="155"/>
      <c r="AA178" s="263"/>
      <c r="AB178" s="263"/>
      <c r="AC178" s="155"/>
      <c r="AD178" s="155"/>
      <c r="AE178" s="155"/>
      <c r="AF178" s="155" t="str">
        <f>IF(P142&lt;&gt;0,O142,IF(P143&lt;&gt;0,O143,H6))</f>
        <v>戊</v>
      </c>
      <c r="AG178" s="270">
        <v>39</v>
      </c>
      <c r="AH178" s="271" t="s">
        <v>275</v>
      </c>
      <c r="AI178" s="271" t="s">
        <v>267</v>
      </c>
      <c r="AJ178" s="271" t="s">
        <v>259</v>
      </c>
      <c r="AK178" s="271" t="s">
        <v>249</v>
      </c>
      <c r="AL178" s="271" t="s">
        <v>459</v>
      </c>
      <c r="AM178" s="270">
        <v>4</v>
      </c>
      <c r="AN178" s="155" t="s">
        <v>275</v>
      </c>
      <c r="AO178" s="272" t="s">
        <v>267</v>
      </c>
      <c r="AP178" s="273" t="s">
        <v>259</v>
      </c>
      <c r="AQ178" s="273" t="s">
        <v>249</v>
      </c>
      <c r="AR178" s="155"/>
      <c r="AS178" s="155"/>
      <c r="AT178" s="155"/>
      <c r="AU178" s="155"/>
      <c r="AV178" s="155"/>
      <c r="AW178" s="155"/>
      <c r="AX178" s="155"/>
      <c r="AY178" s="155"/>
      <c r="AZ178" s="49"/>
      <c r="BA178" s="49"/>
      <c r="BB178" s="49"/>
      <c r="BC178" s="49"/>
      <c r="BD178" s="49"/>
      <c r="BE178" s="49"/>
      <c r="BF178" s="49"/>
      <c r="BG178" s="49"/>
      <c r="BH178" s="49"/>
      <c r="BI178" s="155"/>
      <c r="BJ178" s="155"/>
      <c r="BK178" s="155"/>
      <c r="BL178" s="49"/>
      <c r="BM178" s="49"/>
      <c r="BN178" s="49"/>
      <c r="BO178" s="49"/>
      <c r="BP178" s="49"/>
      <c r="BQ178" s="49"/>
      <c r="BR178" s="49"/>
      <c r="BS178" s="49"/>
      <c r="BT178" s="49"/>
      <c r="BU178" s="49"/>
      <c r="BV178" s="49">
        <v>4</v>
      </c>
      <c r="BW178" s="274">
        <v>0</v>
      </c>
      <c r="BX178" s="274">
        <v>1</v>
      </c>
      <c r="BY178" s="274">
        <v>0</v>
      </c>
      <c r="BZ178" s="274">
        <v>0</v>
      </c>
      <c r="CA178" s="274"/>
      <c r="CB178" s="274"/>
      <c r="CC178" s="274">
        <v>0</v>
      </c>
      <c r="CD178" s="274">
        <v>0</v>
      </c>
      <c r="CE178" s="274">
        <v>0</v>
      </c>
      <c r="CF178" s="274">
        <v>0</v>
      </c>
      <c r="CG178" s="274">
        <v>0</v>
      </c>
      <c r="CH178" s="274">
        <v>0</v>
      </c>
      <c r="CI178" s="49"/>
      <c r="CJ178" s="49"/>
      <c r="CK178" s="49"/>
      <c r="CL178" s="49"/>
      <c r="CM178" s="49"/>
      <c r="CN178" s="49"/>
      <c r="CO178" s="49"/>
      <c r="CP178" s="49"/>
      <c r="CQ178" s="49"/>
      <c r="CR178" s="49"/>
      <c r="CS178" s="49"/>
      <c r="CT178" s="155"/>
      <c r="CU178" s="155"/>
      <c r="CV178" s="155"/>
      <c r="CW178" s="155"/>
      <c r="CX178" s="155"/>
      <c r="CY178" s="155"/>
      <c r="CZ178" s="155"/>
      <c r="DA178" s="155"/>
      <c r="DB178" s="155"/>
      <c r="DC178" s="155"/>
      <c r="DD178" s="155"/>
      <c r="DE178" s="155"/>
      <c r="DF178" s="155"/>
      <c r="DG178" s="155"/>
      <c r="DH178" s="155"/>
      <c r="DI178" s="155"/>
      <c r="DJ178" s="155"/>
      <c r="DK178" s="155"/>
      <c r="DL178" s="155"/>
      <c r="DM178" s="155"/>
      <c r="DN178" s="155"/>
      <c r="DO178" s="155"/>
      <c r="DP178" s="155"/>
      <c r="DQ178" s="155"/>
      <c r="DR178" s="155"/>
      <c r="DS178" s="155"/>
      <c r="DT178" s="155"/>
      <c r="DU178" s="155"/>
      <c r="DV178" s="155"/>
      <c r="DW178" s="155"/>
      <c r="DX178" s="155"/>
    </row>
    <row r="179" spans="1:128" ht="18" customHeight="1">
      <c r="A179" s="271" t="str">
        <f t="shared" si="46"/>
        <v>石門星壬</v>
      </c>
      <c r="B179" s="271" t="s">
        <v>664</v>
      </c>
      <c r="C179" s="271" t="s">
        <v>460</v>
      </c>
      <c r="D179" s="155" t="str">
        <f t="shared" si="47"/>
        <v>癸</v>
      </c>
      <c r="E179" s="49">
        <v>1937</v>
      </c>
      <c r="F179" s="279" t="s">
        <v>643</v>
      </c>
      <c r="G179" s="155"/>
      <c r="H179" s="155"/>
      <c r="I179" s="270"/>
      <c r="J179" s="271" t="s">
        <v>665</v>
      </c>
      <c r="K179" s="155" t="s">
        <v>660</v>
      </c>
      <c r="L179" s="270"/>
      <c r="M179" s="216" t="s">
        <v>666</v>
      </c>
      <c r="N179" s="216" t="s">
        <v>667</v>
      </c>
      <c r="O179" s="155"/>
      <c r="P179" s="155"/>
      <c r="Q179" s="155"/>
      <c r="R179" s="155"/>
      <c r="S179" s="155"/>
      <c r="T179" s="155"/>
      <c r="U179" s="158"/>
      <c r="V179" s="155"/>
      <c r="W179" s="155"/>
      <c r="X179" s="263"/>
      <c r="Y179" s="155"/>
      <c r="Z179" s="155"/>
      <c r="AA179" s="263"/>
      <c r="AB179" s="263"/>
      <c r="AC179" s="155"/>
      <c r="AD179" s="155"/>
      <c r="AE179" s="155"/>
      <c r="AF179" s="155"/>
      <c r="AG179" s="270">
        <v>40</v>
      </c>
      <c r="AH179" s="271" t="s">
        <v>276</v>
      </c>
      <c r="AI179" s="271"/>
      <c r="AJ179" s="271"/>
      <c r="AK179" s="271" t="s">
        <v>255</v>
      </c>
      <c r="AL179" s="271" t="s">
        <v>464</v>
      </c>
      <c r="AM179" s="270">
        <v>9</v>
      </c>
      <c r="AN179" s="155" t="s">
        <v>276</v>
      </c>
      <c r="AO179" s="272"/>
      <c r="AP179" s="273"/>
      <c r="AQ179" s="273" t="s">
        <v>255</v>
      </c>
      <c r="AR179" s="155"/>
      <c r="AS179" s="155"/>
      <c r="AT179" s="155"/>
      <c r="AU179" s="155"/>
      <c r="AV179" s="155"/>
      <c r="AW179" s="155"/>
      <c r="AX179" s="155"/>
      <c r="AY179" s="155"/>
      <c r="AZ179" s="49"/>
      <c r="BA179" s="49"/>
      <c r="BB179" s="49"/>
      <c r="BC179" s="49"/>
      <c r="BD179" s="49"/>
      <c r="BE179" s="49"/>
      <c r="BF179" s="49"/>
      <c r="BG179" s="49"/>
      <c r="BH179" s="49"/>
      <c r="BI179" s="155"/>
      <c r="BJ179" s="155"/>
      <c r="BK179" s="155"/>
      <c r="BL179" s="49"/>
      <c r="BM179" s="49"/>
      <c r="BN179" s="49"/>
      <c r="BO179" s="49"/>
      <c r="BP179" s="49"/>
      <c r="BQ179" s="49"/>
      <c r="BR179" s="49"/>
      <c r="BS179" s="49"/>
      <c r="BT179" s="49"/>
      <c r="BU179" s="49"/>
      <c r="BV179" s="49">
        <v>5</v>
      </c>
      <c r="BW179" s="274">
        <v>0</v>
      </c>
      <c r="BX179" s="274">
        <v>1</v>
      </c>
      <c r="BY179" s="274">
        <v>0</v>
      </c>
      <c r="BZ179" s="274">
        <v>0</v>
      </c>
      <c r="CA179" s="274"/>
      <c r="CB179" s="274"/>
      <c r="CC179" s="274">
        <v>1</v>
      </c>
      <c r="CD179" s="274">
        <v>0</v>
      </c>
      <c r="CE179" s="274">
        <v>0</v>
      </c>
      <c r="CF179" s="274">
        <v>0</v>
      </c>
      <c r="CG179" s="274">
        <v>0</v>
      </c>
      <c r="CH179" s="274">
        <v>1</v>
      </c>
      <c r="CI179" s="49"/>
      <c r="CJ179" s="49"/>
      <c r="CK179" s="49"/>
      <c r="CL179" s="49"/>
      <c r="CM179" s="49"/>
      <c r="CN179" s="49"/>
      <c r="CO179" s="49"/>
      <c r="CP179" s="49"/>
      <c r="CQ179" s="49"/>
      <c r="CR179" s="49"/>
      <c r="CS179" s="49"/>
      <c r="CT179" s="155"/>
      <c r="CU179" s="155"/>
      <c r="CV179" s="155"/>
      <c r="CW179" s="155"/>
      <c r="CX179" s="155"/>
      <c r="CY179" s="155"/>
      <c r="CZ179" s="155"/>
      <c r="DA179" s="155"/>
      <c r="DB179" s="155"/>
      <c r="DC179" s="155"/>
      <c r="DD179" s="155"/>
      <c r="DE179" s="155"/>
      <c r="DF179" s="155"/>
      <c r="DG179" s="155"/>
      <c r="DH179" s="155"/>
      <c r="DI179" s="155"/>
      <c r="DJ179" s="155"/>
      <c r="DK179" s="155"/>
      <c r="DL179" s="155"/>
      <c r="DM179" s="155"/>
      <c r="DN179" s="155"/>
      <c r="DO179" s="155"/>
      <c r="DP179" s="155"/>
      <c r="DQ179" s="155"/>
      <c r="DR179" s="155"/>
      <c r="DS179" s="155"/>
      <c r="DT179" s="155"/>
      <c r="DU179" s="155"/>
      <c r="DV179" s="155"/>
      <c r="DW179" s="155"/>
      <c r="DX179" s="155"/>
    </row>
    <row r="180" spans="1:128" ht="18" customHeight="1">
      <c r="A180" s="271" t="str">
        <f t="shared" si="46"/>
        <v>石門星癸</v>
      </c>
      <c r="B180" s="271" t="s">
        <v>668</v>
      </c>
      <c r="C180" s="271" t="s">
        <v>460</v>
      </c>
      <c r="D180" s="155" t="str">
        <f t="shared" si="47"/>
        <v>壬</v>
      </c>
      <c r="E180" s="49">
        <v>1938</v>
      </c>
      <c r="F180" s="279" t="s">
        <v>461</v>
      </c>
      <c r="G180" s="155"/>
      <c r="H180" s="155"/>
      <c r="I180" s="270"/>
      <c r="J180" s="271" t="s">
        <v>669</v>
      </c>
      <c r="K180" s="155" t="s">
        <v>622</v>
      </c>
      <c r="L180" s="270"/>
      <c r="M180" s="216" t="s">
        <v>670</v>
      </c>
      <c r="N180" s="216" t="s">
        <v>671</v>
      </c>
      <c r="O180" s="155" t="s">
        <v>672</v>
      </c>
      <c r="P180" s="155">
        <f>P147</f>
        <v>1</v>
      </c>
      <c r="Q180" s="155"/>
      <c r="R180" s="155"/>
      <c r="S180" s="155"/>
      <c r="T180" s="155"/>
      <c r="U180" s="158"/>
      <c r="V180" s="155"/>
      <c r="W180" s="155"/>
      <c r="X180" s="263"/>
      <c r="Y180" s="155"/>
      <c r="Z180" s="155"/>
      <c r="AA180" s="263"/>
      <c r="AB180" s="263"/>
      <c r="AC180" s="155"/>
      <c r="AD180" s="155"/>
      <c r="AE180" s="155"/>
      <c r="AF180" s="155" t="str">
        <f>IF(P180&lt;&gt;0,O147,IF(P181&lt;&gt;0,O146,"×"))</f>
        <v>癸</v>
      </c>
      <c r="AG180" s="270">
        <v>41</v>
      </c>
      <c r="AH180" s="271" t="s">
        <v>249</v>
      </c>
      <c r="AI180" s="271" t="s">
        <v>255</v>
      </c>
      <c r="AJ180" s="271" t="s">
        <v>276</v>
      </c>
      <c r="AK180" s="271" t="s">
        <v>267</v>
      </c>
      <c r="AL180" s="271" t="s">
        <v>469</v>
      </c>
      <c r="AM180" s="270">
        <v>8</v>
      </c>
      <c r="AN180" s="155" t="s">
        <v>249</v>
      </c>
      <c r="AO180" s="272" t="s">
        <v>255</v>
      </c>
      <c r="AP180" s="273" t="s">
        <v>276</v>
      </c>
      <c r="AQ180" s="273" t="s">
        <v>267</v>
      </c>
      <c r="AR180" s="155"/>
      <c r="AS180" s="155"/>
      <c r="AT180" s="155"/>
      <c r="AU180" s="155"/>
      <c r="AV180" s="155"/>
      <c r="AW180" s="155"/>
      <c r="AX180" s="155"/>
      <c r="AY180" s="155"/>
      <c r="AZ180" s="49"/>
      <c r="BA180" s="49"/>
      <c r="BB180" s="49"/>
      <c r="BC180" s="49"/>
      <c r="BD180" s="49"/>
      <c r="BE180" s="49"/>
      <c r="BF180" s="49"/>
      <c r="BG180" s="49"/>
      <c r="BH180" s="49"/>
      <c r="BI180" s="155"/>
      <c r="BJ180" s="155"/>
      <c r="BK180" s="155"/>
      <c r="BL180" s="49"/>
      <c r="BM180" s="49"/>
      <c r="BN180" s="49"/>
      <c r="BO180" s="49"/>
      <c r="BP180" s="49"/>
      <c r="BQ180" s="49"/>
      <c r="BR180" s="49"/>
      <c r="BS180" s="49"/>
      <c r="BT180" s="49"/>
      <c r="BU180" s="49"/>
      <c r="BV180" s="49">
        <v>6</v>
      </c>
      <c r="BW180" s="274">
        <v>0</v>
      </c>
      <c r="BX180" s="274">
        <v>0</v>
      </c>
      <c r="BY180" s="274">
        <v>1</v>
      </c>
      <c r="BZ180" s="274">
        <v>0</v>
      </c>
      <c r="CA180" s="274"/>
      <c r="CB180" s="274"/>
      <c r="CC180" s="274">
        <v>1</v>
      </c>
      <c r="CD180" s="274">
        <v>0</v>
      </c>
      <c r="CE180" s="274">
        <v>1</v>
      </c>
      <c r="CF180" s="274">
        <v>0</v>
      </c>
      <c r="CG180" s="274">
        <v>0</v>
      </c>
      <c r="CH180" s="274">
        <v>0</v>
      </c>
      <c r="CI180" s="49"/>
      <c r="CJ180" s="49"/>
      <c r="CK180" s="49"/>
      <c r="CL180" s="49"/>
      <c r="CM180" s="49"/>
      <c r="CN180" s="49"/>
      <c r="CO180" s="49"/>
      <c r="CP180" s="49"/>
      <c r="CQ180" s="49"/>
      <c r="CR180" s="49"/>
      <c r="CS180" s="49"/>
      <c r="CT180" s="155"/>
      <c r="CU180" s="155"/>
      <c r="CV180" s="155"/>
      <c r="CW180" s="155"/>
      <c r="CX180" s="155"/>
      <c r="CY180" s="155"/>
      <c r="CZ180" s="155"/>
      <c r="DA180" s="155"/>
      <c r="DB180" s="155"/>
      <c r="DC180" s="155"/>
      <c r="DD180" s="155"/>
      <c r="DE180" s="155"/>
      <c r="DF180" s="155"/>
      <c r="DG180" s="155"/>
      <c r="DH180" s="155"/>
      <c r="DI180" s="155"/>
      <c r="DJ180" s="155"/>
      <c r="DK180" s="155"/>
      <c r="DL180" s="155"/>
      <c r="DM180" s="155"/>
      <c r="DN180" s="155"/>
      <c r="DO180" s="155"/>
      <c r="DP180" s="155"/>
      <c r="DQ180" s="155"/>
      <c r="DR180" s="155"/>
      <c r="DS180" s="155"/>
      <c r="DT180" s="155"/>
      <c r="DU180" s="155"/>
      <c r="DV180" s="155"/>
      <c r="DW180" s="155"/>
      <c r="DX180" s="155"/>
    </row>
    <row r="181" spans="1:128" ht="18" customHeight="1">
      <c r="A181" s="271" t="str">
        <f t="shared" si="46"/>
        <v>石門星戊</v>
      </c>
      <c r="B181" s="271" t="s">
        <v>673</v>
      </c>
      <c r="C181" s="271" t="s">
        <v>460</v>
      </c>
      <c r="D181" s="155" t="str">
        <f t="shared" si="47"/>
        <v>己</v>
      </c>
      <c r="E181" s="49">
        <v>1939</v>
      </c>
      <c r="F181" s="279" t="s">
        <v>511</v>
      </c>
      <c r="G181" s="155"/>
      <c r="H181" s="155"/>
      <c r="I181" s="270"/>
      <c r="J181" s="271" t="s">
        <v>674</v>
      </c>
      <c r="K181" s="155" t="s">
        <v>612</v>
      </c>
      <c r="L181" s="270"/>
      <c r="M181" s="216" t="s">
        <v>675</v>
      </c>
      <c r="N181" s="216" t="s">
        <v>676</v>
      </c>
      <c r="O181" s="155" t="s">
        <v>677</v>
      </c>
      <c r="P181" s="155">
        <f>P146</f>
        <v>1</v>
      </c>
      <c r="Q181" s="155"/>
      <c r="R181" s="155"/>
      <c r="S181" s="155"/>
      <c r="T181" s="155"/>
      <c r="U181" s="158"/>
      <c r="V181" s="155"/>
      <c r="W181" s="155"/>
      <c r="X181" s="263"/>
      <c r="Y181" s="155"/>
      <c r="Z181" s="155"/>
      <c r="AA181" s="263"/>
      <c r="AB181" s="263"/>
      <c r="AC181" s="155"/>
      <c r="AD181" s="155"/>
      <c r="AE181" s="155"/>
      <c r="AF181" s="155" t="str">
        <f>IF(P181&lt;&gt;0,O146,IF(P180&lt;&gt;0,O147,"×"))</f>
        <v>壬</v>
      </c>
      <c r="AG181" s="270">
        <v>42</v>
      </c>
      <c r="AH181" s="271" t="s">
        <v>255</v>
      </c>
      <c r="AI181" s="271" t="s">
        <v>267</v>
      </c>
      <c r="AJ181" s="271" t="s">
        <v>273</v>
      </c>
      <c r="AK181" s="271" t="s">
        <v>259</v>
      </c>
      <c r="AL181" s="271" t="s">
        <v>475</v>
      </c>
      <c r="AM181" s="270">
        <v>7</v>
      </c>
      <c r="AN181" s="155" t="s">
        <v>255</v>
      </c>
      <c r="AO181" s="272" t="s">
        <v>267</v>
      </c>
      <c r="AP181" s="273" t="s">
        <v>273</v>
      </c>
      <c r="AQ181" s="273" t="s">
        <v>259</v>
      </c>
      <c r="AR181" s="155"/>
      <c r="AS181" s="155"/>
      <c r="AT181" s="155"/>
      <c r="AU181" s="155"/>
      <c r="AV181" s="155"/>
      <c r="AW181" s="155"/>
      <c r="AX181" s="155"/>
      <c r="AY181" s="155"/>
      <c r="AZ181" s="49"/>
      <c r="BA181" s="49"/>
      <c r="BB181" s="49"/>
      <c r="BC181" s="49"/>
      <c r="BD181" s="49"/>
      <c r="BE181" s="49"/>
      <c r="BF181" s="49"/>
      <c r="BG181" s="49"/>
      <c r="BH181" s="49"/>
      <c r="BI181" s="155"/>
      <c r="BJ181" s="155"/>
      <c r="BK181" s="155"/>
      <c r="BL181" s="49"/>
      <c r="BM181" s="49"/>
      <c r="BN181" s="49"/>
      <c r="BO181" s="49"/>
      <c r="BP181" s="49"/>
      <c r="BQ181" s="49"/>
      <c r="BR181" s="49"/>
      <c r="BS181" s="49"/>
      <c r="BT181" s="49"/>
      <c r="BU181" s="49"/>
      <c r="BV181" s="49">
        <v>7</v>
      </c>
      <c r="BW181" s="274">
        <v>0</v>
      </c>
      <c r="BX181" s="274">
        <v>0</v>
      </c>
      <c r="BY181" s="274">
        <v>0</v>
      </c>
      <c r="BZ181" s="274">
        <v>1</v>
      </c>
      <c r="CA181" s="274"/>
      <c r="CB181" s="274"/>
      <c r="CC181" s="274">
        <v>0</v>
      </c>
      <c r="CD181" s="274">
        <v>1</v>
      </c>
      <c r="CE181" s="274">
        <v>0</v>
      </c>
      <c r="CF181" s="274">
        <v>0</v>
      </c>
      <c r="CG181" s="274">
        <v>0</v>
      </c>
      <c r="CH181" s="274">
        <v>0</v>
      </c>
      <c r="CI181" s="49"/>
      <c r="CJ181" s="49"/>
      <c r="CK181" s="49"/>
      <c r="CL181" s="49"/>
      <c r="CM181" s="49"/>
      <c r="CN181" s="49"/>
      <c r="CO181" s="49"/>
      <c r="CP181" s="49"/>
      <c r="CQ181" s="49"/>
      <c r="CR181" s="49"/>
      <c r="CS181" s="49"/>
      <c r="CT181" s="155"/>
      <c r="CU181" s="155"/>
      <c r="CV181" s="155"/>
      <c r="CW181" s="155"/>
      <c r="CX181" s="155"/>
      <c r="CY181" s="155"/>
      <c r="CZ181" s="155"/>
      <c r="DA181" s="155"/>
      <c r="DB181" s="155"/>
      <c r="DC181" s="155"/>
      <c r="DD181" s="155"/>
      <c r="DE181" s="155"/>
      <c r="DF181" s="155"/>
      <c r="DG181" s="155"/>
      <c r="DH181" s="155"/>
      <c r="DI181" s="155"/>
      <c r="DJ181" s="155"/>
      <c r="DK181" s="155"/>
      <c r="DL181" s="155"/>
      <c r="DM181" s="155"/>
      <c r="DN181" s="155"/>
      <c r="DO181" s="155"/>
      <c r="DP181" s="155"/>
      <c r="DQ181" s="155"/>
      <c r="DR181" s="155"/>
      <c r="DS181" s="155"/>
      <c r="DT181" s="155"/>
      <c r="DU181" s="155"/>
      <c r="DV181" s="155"/>
      <c r="DW181" s="155"/>
      <c r="DX181" s="155"/>
    </row>
    <row r="182" spans="1:128" ht="18" customHeight="1">
      <c r="A182" s="271" t="str">
        <f t="shared" si="46"/>
        <v>石門星己</v>
      </c>
      <c r="B182" s="271" t="s">
        <v>678</v>
      </c>
      <c r="C182" s="271" t="s">
        <v>460</v>
      </c>
      <c r="D182" s="155" t="str">
        <f t="shared" si="47"/>
        <v>戊</v>
      </c>
      <c r="E182" s="49">
        <v>1940</v>
      </c>
      <c r="F182" s="279" t="s">
        <v>637</v>
      </c>
      <c r="G182" s="155"/>
      <c r="H182" s="155"/>
      <c r="I182" s="270"/>
      <c r="J182" s="271" t="s">
        <v>679</v>
      </c>
      <c r="K182" s="155" t="s">
        <v>612</v>
      </c>
      <c r="L182" s="270"/>
      <c r="M182" s="216" t="s">
        <v>680</v>
      </c>
      <c r="N182" s="216" t="s">
        <v>681</v>
      </c>
      <c r="O182" s="155" t="s">
        <v>682</v>
      </c>
      <c r="P182" s="155">
        <f>P139</f>
        <v>0</v>
      </c>
      <c r="Q182" s="155"/>
      <c r="R182" s="155"/>
      <c r="S182" s="155"/>
      <c r="T182" s="155"/>
      <c r="U182" s="158"/>
      <c r="V182" s="155"/>
      <c r="W182" s="155"/>
      <c r="X182" s="263"/>
      <c r="Y182" s="155"/>
      <c r="Z182" s="155"/>
      <c r="AA182" s="263"/>
      <c r="AB182" s="263"/>
      <c r="AC182" s="155"/>
      <c r="AD182" s="155"/>
      <c r="AE182" s="155"/>
      <c r="AF182" s="155" t="str">
        <f>IF(P182&lt;&gt;0,O139,IF(P183&lt;&gt;0,O138,"×"))</f>
        <v>×</v>
      </c>
      <c r="AG182" s="270">
        <v>43</v>
      </c>
      <c r="AH182" s="271" t="s">
        <v>259</v>
      </c>
      <c r="AI182" s="271"/>
      <c r="AJ182" s="271" t="s">
        <v>271</v>
      </c>
      <c r="AK182" s="271" t="s">
        <v>263</v>
      </c>
      <c r="AL182" s="271" t="s">
        <v>481</v>
      </c>
      <c r="AM182" s="270">
        <v>12</v>
      </c>
      <c r="AN182" s="155" t="s">
        <v>259</v>
      </c>
      <c r="AO182" s="272"/>
      <c r="AP182" s="273" t="s">
        <v>271</v>
      </c>
      <c r="AQ182" s="273" t="s">
        <v>263</v>
      </c>
      <c r="AR182" s="155"/>
      <c r="AS182" s="155"/>
      <c r="AT182" s="155"/>
      <c r="AU182" s="155"/>
      <c r="AV182" s="155"/>
      <c r="AW182" s="155"/>
      <c r="AX182" s="155"/>
      <c r="AY182" s="155"/>
      <c r="AZ182" s="49"/>
      <c r="BA182" s="49"/>
      <c r="BB182" s="49"/>
      <c r="BC182" s="49"/>
      <c r="BD182" s="49"/>
      <c r="BE182" s="49"/>
      <c r="BF182" s="49"/>
      <c r="BG182" s="49"/>
      <c r="BH182" s="49"/>
      <c r="BI182" s="155"/>
      <c r="BJ182" s="155"/>
      <c r="BK182" s="155"/>
      <c r="BL182" s="49"/>
      <c r="BM182" s="49"/>
      <c r="BN182" s="49"/>
      <c r="BO182" s="49"/>
      <c r="BP182" s="49"/>
      <c r="BQ182" s="49"/>
      <c r="BR182" s="49"/>
      <c r="BS182" s="49"/>
      <c r="BT182" s="49"/>
      <c r="BU182" s="49"/>
      <c r="BV182" s="49">
        <v>8</v>
      </c>
      <c r="BW182" s="274">
        <v>0</v>
      </c>
      <c r="BX182" s="274">
        <v>1</v>
      </c>
      <c r="BY182" s="274">
        <v>0</v>
      </c>
      <c r="BZ182" s="274">
        <v>1</v>
      </c>
      <c r="CA182" s="274"/>
      <c r="CB182" s="274"/>
      <c r="CC182" s="274">
        <v>0</v>
      </c>
      <c r="CD182" s="274">
        <v>1</v>
      </c>
      <c r="CE182" s="274">
        <v>0</v>
      </c>
      <c r="CF182" s="274">
        <v>0</v>
      </c>
      <c r="CG182" s="274">
        <v>0</v>
      </c>
      <c r="CH182" s="274">
        <v>0</v>
      </c>
      <c r="CI182" s="49"/>
      <c r="CJ182" s="49"/>
      <c r="CK182" s="49"/>
      <c r="CL182" s="49"/>
      <c r="CM182" s="49"/>
      <c r="CN182" s="49"/>
      <c r="CO182" s="49"/>
      <c r="CP182" s="49"/>
      <c r="CQ182" s="49"/>
      <c r="CR182" s="49"/>
      <c r="CS182" s="49"/>
      <c r="CT182" s="155"/>
      <c r="CU182" s="155"/>
      <c r="CV182" s="155"/>
      <c r="CW182" s="155"/>
      <c r="CX182" s="155"/>
      <c r="CY182" s="155"/>
      <c r="CZ182" s="155"/>
      <c r="DA182" s="155"/>
      <c r="DB182" s="155"/>
      <c r="DC182" s="155"/>
      <c r="DD182" s="155"/>
      <c r="DE182" s="155"/>
      <c r="DF182" s="155"/>
      <c r="DG182" s="155"/>
      <c r="DH182" s="155"/>
      <c r="DI182" s="155"/>
      <c r="DJ182" s="155"/>
      <c r="DK182" s="155"/>
      <c r="DL182" s="155"/>
      <c r="DM182" s="155"/>
      <c r="DN182" s="155"/>
      <c r="DO182" s="155"/>
      <c r="DP182" s="155"/>
      <c r="DQ182" s="155"/>
      <c r="DR182" s="155"/>
      <c r="DS182" s="155"/>
      <c r="DT182" s="155"/>
      <c r="DU182" s="155"/>
      <c r="DV182" s="155"/>
      <c r="DW182" s="155"/>
      <c r="DX182" s="155"/>
    </row>
    <row r="183" spans="1:128" ht="18" customHeight="1">
      <c r="A183" s="271" t="str">
        <f t="shared" si="46"/>
        <v>石門星甲</v>
      </c>
      <c r="B183" s="271" t="s">
        <v>683</v>
      </c>
      <c r="C183" s="271" t="s">
        <v>460</v>
      </c>
      <c r="D183" s="155" t="str">
        <f t="shared" si="47"/>
        <v>乙</v>
      </c>
      <c r="E183" s="49">
        <v>1941</v>
      </c>
      <c r="F183" s="279" t="s">
        <v>643</v>
      </c>
      <c r="G183" s="155"/>
      <c r="H183" s="155"/>
      <c r="I183" s="270"/>
      <c r="J183" s="271" t="s">
        <v>684</v>
      </c>
      <c r="K183" s="155" t="s">
        <v>622</v>
      </c>
      <c r="L183" s="270"/>
      <c r="M183" s="216" t="s">
        <v>685</v>
      </c>
      <c r="N183" s="216" t="s">
        <v>686</v>
      </c>
      <c r="O183" s="155" t="s">
        <v>687</v>
      </c>
      <c r="P183" s="155">
        <f>P138</f>
        <v>0</v>
      </c>
      <c r="Q183" s="155"/>
      <c r="R183" s="155"/>
      <c r="S183" s="155"/>
      <c r="T183" s="155"/>
      <c r="U183" s="158"/>
      <c r="V183" s="155"/>
      <c r="W183" s="155"/>
      <c r="X183" s="263"/>
      <c r="Y183" s="155"/>
      <c r="Z183" s="155"/>
      <c r="AA183" s="263"/>
      <c r="AB183" s="263"/>
      <c r="AC183" s="155"/>
      <c r="AD183" s="155"/>
      <c r="AE183" s="155"/>
      <c r="AF183" s="155" t="str">
        <f>IF(P183&lt;&gt;0,O138,IF(P182&lt;&gt;0,O139,"×"))</f>
        <v>×</v>
      </c>
      <c r="AG183" s="270">
        <v>44</v>
      </c>
      <c r="AH183" s="271" t="s">
        <v>263</v>
      </c>
      <c r="AI183" s="271" t="s">
        <v>263</v>
      </c>
      <c r="AJ183" s="271" t="s">
        <v>255</v>
      </c>
      <c r="AK183" s="271" t="s">
        <v>271</v>
      </c>
      <c r="AL183" s="271" t="s">
        <v>486</v>
      </c>
      <c r="AM183" s="270">
        <v>10</v>
      </c>
      <c r="AN183" s="155" t="s">
        <v>263</v>
      </c>
      <c r="AO183" s="272" t="s">
        <v>263</v>
      </c>
      <c r="AP183" s="273" t="s">
        <v>255</v>
      </c>
      <c r="AQ183" s="273" t="s">
        <v>271</v>
      </c>
      <c r="AR183" s="155"/>
      <c r="AS183" s="155"/>
      <c r="AT183" s="155"/>
      <c r="AU183" s="155"/>
      <c r="AV183" s="155"/>
      <c r="AW183" s="155"/>
      <c r="AX183" s="155"/>
      <c r="AY183" s="155"/>
      <c r="AZ183" s="49"/>
      <c r="BA183" s="49"/>
      <c r="BB183" s="49"/>
      <c r="BC183" s="49"/>
      <c r="BD183" s="49"/>
      <c r="BE183" s="49"/>
      <c r="BF183" s="49"/>
      <c r="BG183" s="49"/>
      <c r="BH183" s="49"/>
      <c r="BI183" s="155"/>
      <c r="BJ183" s="155"/>
      <c r="BK183" s="155"/>
      <c r="BL183" s="49"/>
      <c r="BM183" s="49"/>
      <c r="BN183" s="49"/>
      <c r="BO183" s="49"/>
      <c r="BP183" s="49"/>
      <c r="BQ183" s="49"/>
      <c r="BR183" s="49"/>
      <c r="BS183" s="49"/>
      <c r="BT183" s="49"/>
      <c r="BU183" s="49"/>
      <c r="BV183" s="49">
        <v>9</v>
      </c>
      <c r="BW183" s="274">
        <v>0</v>
      </c>
      <c r="BX183" s="274">
        <v>0</v>
      </c>
      <c r="BY183" s="274">
        <v>0</v>
      </c>
      <c r="BZ183" s="274">
        <v>0</v>
      </c>
      <c r="CA183" s="274"/>
      <c r="CB183" s="274"/>
      <c r="CC183" s="274">
        <v>1</v>
      </c>
      <c r="CD183" s="274">
        <v>0</v>
      </c>
      <c r="CE183" s="274">
        <v>1</v>
      </c>
      <c r="CF183" s="274">
        <v>0</v>
      </c>
      <c r="CG183" s="274">
        <v>1</v>
      </c>
      <c r="CH183" s="274">
        <v>0</v>
      </c>
      <c r="CI183" s="49"/>
      <c r="CJ183" s="49"/>
      <c r="CK183" s="49"/>
      <c r="CL183" s="49"/>
      <c r="CM183" s="49"/>
      <c r="CN183" s="49"/>
      <c r="CO183" s="49"/>
      <c r="CP183" s="49"/>
      <c r="CQ183" s="49"/>
      <c r="CR183" s="49"/>
      <c r="CS183" s="49"/>
      <c r="CT183" s="155"/>
      <c r="CU183" s="155"/>
      <c r="CV183" s="155"/>
      <c r="CW183" s="155"/>
      <c r="CX183" s="155"/>
      <c r="CY183" s="155"/>
      <c r="CZ183" s="155"/>
      <c r="DA183" s="155"/>
      <c r="DB183" s="155"/>
      <c r="DC183" s="155"/>
      <c r="DD183" s="155"/>
      <c r="DE183" s="155"/>
      <c r="DF183" s="155"/>
      <c r="DG183" s="155"/>
      <c r="DH183" s="155"/>
      <c r="DI183" s="155"/>
      <c r="DJ183" s="155"/>
      <c r="DK183" s="155"/>
      <c r="DL183" s="155"/>
      <c r="DM183" s="155"/>
      <c r="DN183" s="155"/>
      <c r="DO183" s="155"/>
      <c r="DP183" s="155"/>
      <c r="DQ183" s="155"/>
      <c r="DR183" s="155"/>
      <c r="DS183" s="155"/>
      <c r="DT183" s="155"/>
      <c r="DU183" s="155"/>
      <c r="DV183" s="155"/>
      <c r="DW183" s="155"/>
      <c r="DX183" s="155"/>
    </row>
    <row r="184" spans="1:128" ht="18" customHeight="1">
      <c r="A184" s="271" t="str">
        <f t="shared" si="46"/>
        <v>石門星乙</v>
      </c>
      <c r="B184" s="271" t="s">
        <v>688</v>
      </c>
      <c r="C184" s="271" t="s">
        <v>460</v>
      </c>
      <c r="D184" s="155" t="str">
        <f t="shared" si="47"/>
        <v>甲</v>
      </c>
      <c r="E184" s="49">
        <v>1942</v>
      </c>
      <c r="F184" s="279" t="s">
        <v>461</v>
      </c>
      <c r="G184" s="155"/>
      <c r="H184" s="155"/>
      <c r="I184" s="270"/>
      <c r="J184" s="271" t="s">
        <v>689</v>
      </c>
      <c r="K184" s="155" t="s">
        <v>628</v>
      </c>
      <c r="L184" s="270"/>
      <c r="M184" s="216" t="s">
        <v>690</v>
      </c>
      <c r="N184" s="216" t="s">
        <v>691</v>
      </c>
      <c r="O184" s="155" t="s">
        <v>692</v>
      </c>
      <c r="P184" s="155">
        <f>IF(O141=F7,P141-1,P141)</f>
        <v>0</v>
      </c>
      <c r="Q184" s="155"/>
      <c r="R184" s="155"/>
      <c r="S184" s="155"/>
      <c r="T184" s="155"/>
      <c r="U184" s="158"/>
      <c r="V184" s="155"/>
      <c r="W184" s="155"/>
      <c r="X184" s="263"/>
      <c r="Y184" s="155"/>
      <c r="Z184" s="155"/>
      <c r="AA184" s="263"/>
      <c r="AB184" s="263"/>
      <c r="AC184" s="155"/>
      <c r="AD184" s="155"/>
      <c r="AE184" s="155"/>
      <c r="AF184" s="155" t="str">
        <f>IF(P184&lt;&gt;0,O141,IF(P185&lt;&gt;0,O140,"×"))</f>
        <v>丙</v>
      </c>
      <c r="AG184" s="270">
        <v>45</v>
      </c>
      <c r="AH184" s="271" t="s">
        <v>267</v>
      </c>
      <c r="AI184" s="271" t="s">
        <v>267</v>
      </c>
      <c r="AJ184" s="271" t="s">
        <v>275</v>
      </c>
      <c r="AK184" s="271" t="s">
        <v>273</v>
      </c>
      <c r="AL184" s="271" t="s">
        <v>491</v>
      </c>
      <c r="AM184" s="270">
        <v>4</v>
      </c>
      <c r="AN184" s="155" t="s">
        <v>267</v>
      </c>
      <c r="AO184" s="272" t="s">
        <v>267</v>
      </c>
      <c r="AP184" s="273" t="s">
        <v>275</v>
      </c>
      <c r="AQ184" s="273" t="s">
        <v>273</v>
      </c>
      <c r="AR184" s="155"/>
      <c r="AS184" s="155"/>
      <c r="AT184" s="155"/>
      <c r="AU184" s="155"/>
      <c r="AV184" s="155"/>
      <c r="AW184" s="155"/>
      <c r="AX184" s="155"/>
      <c r="AY184" s="155"/>
      <c r="AZ184" s="49"/>
      <c r="BA184" s="49"/>
      <c r="BB184" s="49"/>
      <c r="BC184" s="49"/>
      <c r="BD184" s="49"/>
      <c r="BE184" s="49"/>
      <c r="BF184" s="49"/>
      <c r="BG184" s="49"/>
      <c r="BH184" s="49"/>
      <c r="BI184" s="155"/>
      <c r="BJ184" s="155"/>
      <c r="BK184" s="155"/>
      <c r="BL184" s="49"/>
      <c r="BM184" s="49"/>
      <c r="BN184" s="49"/>
      <c r="BO184" s="49"/>
      <c r="BP184" s="49"/>
      <c r="BQ184" s="49"/>
      <c r="BR184" s="49"/>
      <c r="BS184" s="49"/>
      <c r="BT184" s="49"/>
      <c r="BU184" s="49"/>
      <c r="BV184" s="49">
        <v>10</v>
      </c>
      <c r="BW184" s="274">
        <v>0</v>
      </c>
      <c r="BX184" s="274">
        <v>0</v>
      </c>
      <c r="BY184" s="274">
        <v>0</v>
      </c>
      <c r="BZ184" s="274">
        <v>0</v>
      </c>
      <c r="CA184" s="274"/>
      <c r="CB184" s="274"/>
      <c r="CC184" s="274">
        <v>0</v>
      </c>
      <c r="CD184" s="274">
        <v>0</v>
      </c>
      <c r="CE184" s="274">
        <v>0</v>
      </c>
      <c r="CF184" s="274">
        <v>1</v>
      </c>
      <c r="CG184" s="274">
        <v>0</v>
      </c>
      <c r="CH184" s="274">
        <v>0</v>
      </c>
      <c r="CI184" s="49"/>
      <c r="CJ184" s="49"/>
      <c r="CK184" s="49"/>
      <c r="CL184" s="49"/>
      <c r="CM184" s="49"/>
      <c r="CN184" s="49"/>
      <c r="CO184" s="49"/>
      <c r="CP184" s="49"/>
      <c r="CQ184" s="49"/>
      <c r="CR184" s="49"/>
      <c r="CS184" s="49"/>
      <c r="CT184" s="155"/>
      <c r="CU184" s="155"/>
      <c r="CV184" s="155"/>
      <c r="CW184" s="155"/>
      <c r="CX184" s="155"/>
      <c r="CY184" s="155"/>
      <c r="CZ184" s="155"/>
      <c r="DA184" s="155"/>
      <c r="DB184" s="155"/>
      <c r="DC184" s="155"/>
      <c r="DD184" s="155"/>
      <c r="DE184" s="155"/>
      <c r="DF184" s="155"/>
      <c r="DG184" s="155"/>
      <c r="DH184" s="155"/>
      <c r="DI184" s="155"/>
      <c r="DJ184" s="155"/>
      <c r="DK184" s="155"/>
      <c r="DL184" s="155"/>
      <c r="DM184" s="155"/>
      <c r="DN184" s="155"/>
      <c r="DO184" s="155"/>
      <c r="DP184" s="155"/>
      <c r="DQ184" s="155"/>
      <c r="DR184" s="155"/>
      <c r="DS184" s="155"/>
      <c r="DT184" s="155"/>
      <c r="DU184" s="155"/>
      <c r="DV184" s="155"/>
      <c r="DW184" s="155"/>
      <c r="DX184" s="155"/>
    </row>
    <row r="185" spans="1:128" ht="18" customHeight="1">
      <c r="A185" s="271" t="str">
        <f t="shared" si="46"/>
        <v>禄存星丙</v>
      </c>
      <c r="B185" s="271" t="s">
        <v>693</v>
      </c>
      <c r="C185" s="271" t="s">
        <v>433</v>
      </c>
      <c r="D185" s="155" t="str">
        <f t="shared" si="47"/>
        <v>庚</v>
      </c>
      <c r="E185" s="49">
        <v>1943</v>
      </c>
      <c r="F185" s="279" t="s">
        <v>511</v>
      </c>
      <c r="G185" s="155"/>
      <c r="H185" s="155"/>
      <c r="I185" s="270"/>
      <c r="J185" s="271" t="s">
        <v>694</v>
      </c>
      <c r="K185" s="155" t="s">
        <v>628</v>
      </c>
      <c r="L185" s="270"/>
      <c r="M185" s="216" t="s">
        <v>695</v>
      </c>
      <c r="N185" s="216" t="s">
        <v>696</v>
      </c>
      <c r="O185" s="155" t="s">
        <v>697</v>
      </c>
      <c r="P185" s="155">
        <f>IF(O140=F7,36-1,P140)</f>
        <v>1</v>
      </c>
      <c r="Q185" s="155"/>
      <c r="R185" s="155"/>
      <c r="S185" s="155"/>
      <c r="T185" s="155"/>
      <c r="U185" s="158"/>
      <c r="V185" s="155"/>
      <c r="W185" s="155"/>
      <c r="X185" s="263"/>
      <c r="Y185" s="155"/>
      <c r="Z185" s="155"/>
      <c r="AA185" s="263"/>
      <c r="AB185" s="263"/>
      <c r="AC185" s="155"/>
      <c r="AD185" s="155"/>
      <c r="AE185" s="155"/>
      <c r="AF185" s="155" t="str">
        <f>IF(P185&lt;&gt;0,O140,IF(P184&lt;&gt;0,O141,"×"))</f>
        <v>丙</v>
      </c>
      <c r="AG185" s="270">
        <v>46</v>
      </c>
      <c r="AH185" s="271" t="s">
        <v>271</v>
      </c>
      <c r="AI185" s="271"/>
      <c r="AJ185" s="271"/>
      <c r="AK185" s="271" t="s">
        <v>274</v>
      </c>
      <c r="AL185" s="271" t="s">
        <v>498</v>
      </c>
      <c r="AM185" s="270">
        <v>9</v>
      </c>
      <c r="AN185" s="155" t="s">
        <v>271</v>
      </c>
      <c r="AO185" s="272"/>
      <c r="AP185" s="273"/>
      <c r="AQ185" s="273" t="s">
        <v>274</v>
      </c>
      <c r="AR185" s="155"/>
      <c r="AS185" s="155"/>
      <c r="AT185" s="155"/>
      <c r="AU185" s="155"/>
      <c r="AV185" s="155"/>
      <c r="AW185" s="155"/>
      <c r="AX185" s="155"/>
      <c r="AY185" s="155"/>
      <c r="AZ185" s="49"/>
      <c r="BA185" s="49"/>
      <c r="BB185" s="49"/>
      <c r="BC185" s="49"/>
      <c r="BD185" s="49"/>
      <c r="BE185" s="49"/>
      <c r="BF185" s="49"/>
      <c r="BG185" s="49"/>
      <c r="BH185" s="49"/>
      <c r="BI185" s="155"/>
      <c r="BJ185" s="155"/>
      <c r="BK185" s="155"/>
      <c r="BL185" s="49"/>
      <c r="BM185" s="49"/>
      <c r="BN185" s="49"/>
      <c r="BO185" s="49"/>
      <c r="BP185" s="49"/>
      <c r="BQ185" s="49"/>
      <c r="BR185" s="49"/>
      <c r="BS185" s="49"/>
      <c r="BT185" s="49"/>
      <c r="BU185" s="49"/>
      <c r="BV185" s="49">
        <v>11</v>
      </c>
      <c r="BW185" s="274">
        <v>0</v>
      </c>
      <c r="BX185" s="274">
        <v>0</v>
      </c>
      <c r="BY185" s="274">
        <v>0</v>
      </c>
      <c r="BZ185" s="274">
        <v>1</v>
      </c>
      <c r="CA185" s="274"/>
      <c r="CB185" s="274"/>
      <c r="CC185" s="274">
        <v>1</v>
      </c>
      <c r="CD185" s="274">
        <v>0</v>
      </c>
      <c r="CE185" s="274">
        <v>0</v>
      </c>
      <c r="CF185" s="274">
        <v>1</v>
      </c>
      <c r="CG185" s="274">
        <v>0</v>
      </c>
      <c r="CH185" s="274">
        <v>0</v>
      </c>
      <c r="CI185" s="49"/>
      <c r="CJ185" s="49"/>
      <c r="CK185" s="49"/>
      <c r="CL185" s="49"/>
      <c r="CM185" s="49"/>
      <c r="CN185" s="49"/>
      <c r="CO185" s="49"/>
      <c r="CP185" s="49"/>
      <c r="CQ185" s="49"/>
      <c r="CR185" s="49"/>
      <c r="CS185" s="49"/>
      <c r="CT185" s="155"/>
      <c r="CU185" s="155"/>
      <c r="CV185" s="155"/>
      <c r="CW185" s="155"/>
      <c r="CX185" s="155"/>
      <c r="CY185" s="155"/>
      <c r="CZ185" s="155"/>
      <c r="DA185" s="155"/>
      <c r="DB185" s="155"/>
      <c r="DC185" s="155"/>
      <c r="DD185" s="155"/>
      <c r="DE185" s="155"/>
      <c r="DF185" s="155"/>
      <c r="DG185" s="155"/>
      <c r="DH185" s="155"/>
      <c r="DI185" s="155"/>
      <c r="DJ185" s="155"/>
      <c r="DK185" s="155"/>
      <c r="DL185" s="155"/>
      <c r="DM185" s="155"/>
      <c r="DN185" s="155"/>
      <c r="DO185" s="155"/>
      <c r="DP185" s="155"/>
      <c r="DQ185" s="155"/>
      <c r="DR185" s="155"/>
      <c r="DS185" s="155"/>
      <c r="DT185" s="155"/>
      <c r="DU185" s="155"/>
      <c r="DV185" s="155"/>
      <c r="DW185" s="155"/>
      <c r="DX185" s="155"/>
    </row>
    <row r="186" spans="1:128" ht="18" customHeight="1">
      <c r="A186" s="271" t="str">
        <f t="shared" si="46"/>
        <v>禄存星丁</v>
      </c>
      <c r="B186" s="271" t="s">
        <v>698</v>
      </c>
      <c r="C186" s="271" t="s">
        <v>433</v>
      </c>
      <c r="D186" s="155" t="str">
        <f t="shared" si="47"/>
        <v>辛</v>
      </c>
      <c r="E186" s="49">
        <v>1944</v>
      </c>
      <c r="F186" s="279" t="s">
        <v>637</v>
      </c>
      <c r="G186" s="155"/>
      <c r="H186" s="155"/>
      <c r="I186" s="270"/>
      <c r="J186" s="271" t="s">
        <v>699</v>
      </c>
      <c r="K186" s="155" t="s">
        <v>622</v>
      </c>
      <c r="L186" s="270"/>
      <c r="M186" s="216" t="s">
        <v>700</v>
      </c>
      <c r="N186" s="216" t="s">
        <v>701</v>
      </c>
      <c r="O186" s="155" t="s">
        <v>702</v>
      </c>
      <c r="P186" s="155">
        <f>IF(O143=F7,39-1,P143)</f>
        <v>0</v>
      </c>
      <c r="Q186" s="155"/>
      <c r="R186" s="155"/>
      <c r="S186" s="155"/>
      <c r="T186" s="155"/>
      <c r="U186" s="158"/>
      <c r="V186" s="155"/>
      <c r="W186" s="155"/>
      <c r="X186" s="263"/>
      <c r="Y186" s="155"/>
      <c r="Z186" s="155"/>
      <c r="AA186" s="263"/>
      <c r="AB186" s="263"/>
      <c r="AC186" s="155"/>
      <c r="AD186" s="155"/>
      <c r="AE186" s="155"/>
      <c r="AF186" s="155" t="str">
        <f>IF(P186&lt;&gt;0,O143,IF(P187&lt;&gt;0,O142,"×"))</f>
        <v>戊</v>
      </c>
      <c r="AG186" s="270">
        <v>47</v>
      </c>
      <c r="AH186" s="271" t="s">
        <v>273</v>
      </c>
      <c r="AI186" s="271" t="s">
        <v>274</v>
      </c>
      <c r="AJ186" s="271" t="s">
        <v>263</v>
      </c>
      <c r="AK186" s="271" t="s">
        <v>267</v>
      </c>
      <c r="AL186" s="271" t="s">
        <v>505</v>
      </c>
      <c r="AM186" s="270">
        <v>8</v>
      </c>
      <c r="AN186" s="155" t="s">
        <v>273</v>
      </c>
      <c r="AO186" s="272" t="s">
        <v>274</v>
      </c>
      <c r="AP186" s="273" t="s">
        <v>263</v>
      </c>
      <c r="AQ186" s="273" t="s">
        <v>267</v>
      </c>
      <c r="AR186" s="155"/>
      <c r="AS186" s="155"/>
      <c r="AT186" s="155"/>
      <c r="AU186" s="155"/>
      <c r="AV186" s="155"/>
      <c r="AW186" s="155"/>
      <c r="AX186" s="155"/>
      <c r="AY186" s="155"/>
      <c r="AZ186" s="49"/>
      <c r="BA186" s="49"/>
      <c r="BB186" s="49"/>
      <c r="BC186" s="49"/>
      <c r="BD186" s="49"/>
      <c r="BE186" s="49"/>
      <c r="BF186" s="49"/>
      <c r="BG186" s="49"/>
      <c r="BH186" s="49"/>
      <c r="BI186" s="155"/>
      <c r="BJ186" s="155"/>
      <c r="BK186" s="155"/>
      <c r="BL186" s="49"/>
      <c r="BM186" s="49"/>
      <c r="BN186" s="49"/>
      <c r="BO186" s="49"/>
      <c r="BP186" s="49"/>
      <c r="BQ186" s="49"/>
      <c r="BR186" s="49"/>
      <c r="BS186" s="49"/>
      <c r="BT186" s="49"/>
      <c r="BU186" s="49"/>
      <c r="BV186" s="49">
        <v>12</v>
      </c>
      <c r="BW186" s="274">
        <v>1</v>
      </c>
      <c r="BX186" s="274">
        <v>0</v>
      </c>
      <c r="BY186" s="274">
        <v>0</v>
      </c>
      <c r="BZ186" s="274">
        <v>0</v>
      </c>
      <c r="CA186" s="274"/>
      <c r="CB186" s="274"/>
      <c r="CC186" s="274">
        <v>0</v>
      </c>
      <c r="CD186" s="274">
        <v>0</v>
      </c>
      <c r="CE186" s="274">
        <v>0</v>
      </c>
      <c r="CF186" s="274">
        <v>0</v>
      </c>
      <c r="CG186" s="274">
        <v>1</v>
      </c>
      <c r="CH186" s="274">
        <v>0</v>
      </c>
      <c r="CI186" s="49"/>
      <c r="CJ186" s="49"/>
      <c r="CK186" s="49"/>
      <c r="CL186" s="49"/>
      <c r="CM186" s="49"/>
      <c r="CN186" s="49"/>
      <c r="CO186" s="49"/>
      <c r="CP186" s="49"/>
      <c r="CQ186" s="49"/>
      <c r="CR186" s="49"/>
      <c r="CS186" s="49"/>
      <c r="CT186" s="155"/>
      <c r="CU186" s="155"/>
      <c r="CV186" s="155"/>
      <c r="CW186" s="155"/>
      <c r="CX186" s="155"/>
      <c r="CY186" s="155"/>
      <c r="CZ186" s="155"/>
      <c r="DA186" s="155"/>
      <c r="DB186" s="155"/>
      <c r="DC186" s="155"/>
      <c r="DD186" s="155"/>
      <c r="DE186" s="155"/>
      <c r="DF186" s="155"/>
      <c r="DG186" s="155"/>
      <c r="DH186" s="155"/>
      <c r="DI186" s="155"/>
      <c r="DJ186" s="155"/>
      <c r="DK186" s="155"/>
      <c r="DL186" s="155"/>
      <c r="DM186" s="155"/>
      <c r="DN186" s="155"/>
      <c r="DO186" s="155"/>
      <c r="DP186" s="155"/>
      <c r="DQ186" s="155"/>
      <c r="DR186" s="155"/>
      <c r="DS186" s="155"/>
      <c r="DT186" s="155"/>
      <c r="DU186" s="155"/>
      <c r="DV186" s="155"/>
      <c r="DW186" s="155"/>
      <c r="DX186" s="155"/>
    </row>
    <row r="187" spans="1:128" ht="18" customHeight="1">
      <c r="A187" s="271" t="str">
        <f t="shared" si="46"/>
        <v>禄存星庚</v>
      </c>
      <c r="B187" s="271" t="s">
        <v>703</v>
      </c>
      <c r="C187" s="271" t="s">
        <v>433</v>
      </c>
      <c r="D187" s="155" t="str">
        <f t="shared" si="47"/>
        <v>甲</v>
      </c>
      <c r="E187" s="49">
        <v>1945</v>
      </c>
      <c r="F187" s="279" t="s">
        <v>643</v>
      </c>
      <c r="G187" s="155"/>
      <c r="H187" s="155"/>
      <c r="I187" s="270"/>
      <c r="J187" s="271" t="s">
        <v>704</v>
      </c>
      <c r="K187" s="155" t="s">
        <v>645</v>
      </c>
      <c r="L187" s="270"/>
      <c r="M187" s="216" t="s">
        <v>705</v>
      </c>
      <c r="N187" s="216" t="s">
        <v>706</v>
      </c>
      <c r="O187" s="155" t="s">
        <v>707</v>
      </c>
      <c r="P187" s="155">
        <f>IF(O142=F7,38-1,P142)</f>
        <v>1</v>
      </c>
      <c r="Q187" s="155"/>
      <c r="R187" s="155"/>
      <c r="S187" s="155"/>
      <c r="T187" s="155"/>
      <c r="U187" s="158"/>
      <c r="V187" s="155"/>
      <c r="W187" s="155"/>
      <c r="X187" s="263"/>
      <c r="Y187" s="155"/>
      <c r="Z187" s="155"/>
      <c r="AA187" s="263"/>
      <c r="AB187" s="263"/>
      <c r="AC187" s="155"/>
      <c r="AD187" s="155"/>
      <c r="AE187" s="155"/>
      <c r="AF187" s="155" t="str">
        <f>IF(P187&lt;&gt;0,O142,IF(P186&lt;&gt;0,O143,"×"))</f>
        <v>戊</v>
      </c>
      <c r="AG187" s="270">
        <v>48</v>
      </c>
      <c r="AH187" s="271" t="s">
        <v>274</v>
      </c>
      <c r="AI187" s="271"/>
      <c r="AJ187" s="271" t="s">
        <v>249</v>
      </c>
      <c r="AK187" s="271" t="s">
        <v>275</v>
      </c>
      <c r="AL187" s="271" t="s">
        <v>510</v>
      </c>
      <c r="AM187" s="270">
        <v>7</v>
      </c>
      <c r="AN187" s="155" t="s">
        <v>274</v>
      </c>
      <c r="AO187" s="272"/>
      <c r="AP187" s="273" t="s">
        <v>249</v>
      </c>
      <c r="AQ187" s="273" t="s">
        <v>275</v>
      </c>
      <c r="AR187" s="155"/>
      <c r="AS187" s="155"/>
      <c r="AT187" s="155"/>
      <c r="AU187" s="155"/>
      <c r="AV187" s="155"/>
      <c r="AW187" s="155"/>
      <c r="AX187" s="155"/>
      <c r="AY187" s="155"/>
      <c r="AZ187" s="49"/>
      <c r="BA187" s="49"/>
      <c r="BB187" s="49"/>
      <c r="BC187" s="49"/>
      <c r="BD187" s="49"/>
      <c r="BE187" s="49"/>
      <c r="BF187" s="49"/>
      <c r="BG187" s="49"/>
      <c r="BH187" s="49"/>
      <c r="BI187" s="155"/>
      <c r="BJ187" s="155"/>
      <c r="BK187" s="155"/>
      <c r="BL187" s="49"/>
      <c r="BM187" s="49"/>
      <c r="BN187" s="49"/>
      <c r="BO187" s="49"/>
      <c r="BP187" s="49"/>
      <c r="BQ187" s="49"/>
      <c r="BR187" s="49"/>
      <c r="BS187" s="49"/>
      <c r="BT187" s="49"/>
      <c r="BU187" s="49"/>
      <c r="BV187" s="49"/>
      <c r="BW187" s="49"/>
      <c r="BX187" s="49"/>
      <c r="BY187" s="49"/>
      <c r="BZ187" s="49"/>
      <c r="CA187" s="49"/>
      <c r="CB187" s="49"/>
      <c r="CC187" s="49"/>
      <c r="CD187" s="49"/>
      <c r="CE187" s="49"/>
      <c r="CF187" s="49"/>
      <c r="CG187" s="49"/>
      <c r="CH187" s="49"/>
      <c r="CI187" s="49"/>
      <c r="CJ187" s="49"/>
      <c r="CK187" s="49"/>
      <c r="CL187" s="49"/>
      <c r="CM187" s="49"/>
      <c r="CN187" s="49"/>
      <c r="CO187" s="49"/>
      <c r="CP187" s="49"/>
      <c r="CQ187" s="49"/>
      <c r="CR187" s="49"/>
      <c r="CS187" s="49"/>
      <c r="CT187" s="155"/>
      <c r="CU187" s="155"/>
      <c r="CV187" s="155"/>
      <c r="CW187" s="155"/>
      <c r="CX187" s="155"/>
      <c r="CY187" s="155"/>
      <c r="CZ187" s="155"/>
      <c r="DA187" s="155"/>
      <c r="DB187" s="155"/>
      <c r="DC187" s="155"/>
      <c r="DD187" s="155"/>
      <c r="DE187" s="155"/>
      <c r="DF187" s="155"/>
      <c r="DG187" s="155"/>
      <c r="DH187" s="155"/>
      <c r="DI187" s="155"/>
      <c r="DJ187" s="155"/>
      <c r="DK187" s="155"/>
      <c r="DL187" s="155"/>
      <c r="DM187" s="155"/>
      <c r="DN187" s="155"/>
      <c r="DO187" s="155"/>
      <c r="DP187" s="155"/>
      <c r="DQ187" s="155"/>
      <c r="DR187" s="155"/>
      <c r="DS187" s="155"/>
      <c r="DT187" s="155"/>
      <c r="DU187" s="155"/>
      <c r="DV187" s="155"/>
      <c r="DW187" s="155"/>
      <c r="DX187" s="155"/>
    </row>
    <row r="188" spans="1:128" ht="18" customHeight="1">
      <c r="A188" s="271" t="str">
        <f t="shared" si="46"/>
        <v>禄存星辛</v>
      </c>
      <c r="B188" s="271" t="s">
        <v>708</v>
      </c>
      <c r="C188" s="271" t="s">
        <v>433</v>
      </c>
      <c r="D188" s="155" t="str">
        <f t="shared" si="47"/>
        <v>乙</v>
      </c>
      <c r="E188" s="49">
        <v>1946</v>
      </c>
      <c r="F188" s="279" t="s">
        <v>461</v>
      </c>
      <c r="G188" s="155"/>
      <c r="H188" s="155"/>
      <c r="I188" s="270"/>
      <c r="J188" s="271" t="s">
        <v>709</v>
      </c>
      <c r="K188" s="155" t="s">
        <v>645</v>
      </c>
      <c r="L188" s="270"/>
      <c r="M188" s="216" t="s">
        <v>710</v>
      </c>
      <c r="N188" s="216" t="s">
        <v>711</v>
      </c>
      <c r="O188" s="155" t="s">
        <v>712</v>
      </c>
      <c r="P188" s="155">
        <f>IF(O145=F7,41-1,P145)</f>
        <v>2</v>
      </c>
      <c r="Q188" s="155"/>
      <c r="R188" s="155"/>
      <c r="S188" s="155"/>
      <c r="T188" s="155"/>
      <c r="U188" s="158"/>
      <c r="V188" s="155"/>
      <c r="W188" s="155"/>
      <c r="X188" s="263"/>
      <c r="Y188" s="155"/>
      <c r="Z188" s="155"/>
      <c r="AA188" s="263"/>
      <c r="AB188" s="263"/>
      <c r="AC188" s="155"/>
      <c r="AD188" s="155"/>
      <c r="AE188" s="155"/>
      <c r="AF188" s="155" t="str">
        <f>IF(P188&lt;&gt;0,O145,IF(P189&lt;&gt;0,O144,"×"))</f>
        <v>辛</v>
      </c>
      <c r="AG188" s="270">
        <v>49</v>
      </c>
      <c r="AH188" s="271" t="s">
        <v>275</v>
      </c>
      <c r="AI188" s="271"/>
      <c r="AJ188" s="271"/>
      <c r="AK188" s="271" t="s">
        <v>276</v>
      </c>
      <c r="AL188" s="271" t="s">
        <v>456</v>
      </c>
      <c r="AM188" s="270">
        <v>12</v>
      </c>
      <c r="AN188" s="155" t="s">
        <v>275</v>
      </c>
      <c r="AO188" s="272"/>
      <c r="AP188" s="273"/>
      <c r="AQ188" s="273" t="s">
        <v>276</v>
      </c>
      <c r="AR188" s="155"/>
      <c r="AS188" s="155"/>
      <c r="AT188" s="155"/>
      <c r="AU188" s="155"/>
      <c r="AV188" s="155"/>
      <c r="AW188" s="155"/>
      <c r="AX188" s="155"/>
      <c r="AY188" s="155"/>
      <c r="AZ188" s="49"/>
      <c r="BA188" s="49"/>
      <c r="BB188" s="49"/>
      <c r="BC188" s="49"/>
      <c r="BD188" s="49"/>
      <c r="BE188" s="49"/>
      <c r="BF188" s="49"/>
      <c r="BG188" s="49"/>
      <c r="BH188" s="49"/>
      <c r="BI188" s="155"/>
      <c r="BJ188" s="155"/>
      <c r="BK188" s="155"/>
      <c r="BL188" s="49"/>
      <c r="BM188" s="49"/>
      <c r="BN188" s="49"/>
      <c r="BO188" s="49"/>
      <c r="BP188" s="49"/>
      <c r="BQ188" s="49"/>
      <c r="BR188" s="49"/>
      <c r="BS188" s="49"/>
      <c r="BT188" s="49"/>
      <c r="BU188" s="49"/>
      <c r="BV188" s="49"/>
      <c r="BW188" s="49"/>
      <c r="BX188" s="49"/>
      <c r="BY188" s="49"/>
      <c r="BZ188" s="49"/>
      <c r="CA188" s="49"/>
      <c r="CB188" s="49"/>
      <c r="CC188" s="49"/>
      <c r="CD188" s="49"/>
      <c r="CE188" s="49"/>
      <c r="CF188" s="49"/>
      <c r="CG188" s="49"/>
      <c r="CH188" s="49"/>
      <c r="CI188" s="49"/>
      <c r="CJ188" s="49"/>
      <c r="CK188" s="49"/>
      <c r="CL188" s="49"/>
      <c r="CM188" s="49"/>
      <c r="CN188" s="49"/>
      <c r="CO188" s="49"/>
      <c r="CP188" s="49"/>
      <c r="CQ188" s="49"/>
      <c r="CR188" s="49"/>
      <c r="CS188" s="49"/>
      <c r="CT188" s="155"/>
      <c r="CU188" s="155"/>
      <c r="CV188" s="155"/>
      <c r="CW188" s="155"/>
      <c r="CX188" s="155"/>
      <c r="CY188" s="155"/>
      <c r="CZ188" s="155"/>
      <c r="DA188" s="155"/>
      <c r="DB188" s="155"/>
      <c r="DC188" s="155"/>
      <c r="DD188" s="155"/>
      <c r="DE188" s="155"/>
      <c r="DF188" s="155"/>
      <c r="DG188" s="155"/>
      <c r="DH188" s="155"/>
      <c r="DI188" s="155"/>
      <c r="DJ188" s="155"/>
      <c r="DK188" s="155"/>
      <c r="DL188" s="155"/>
      <c r="DM188" s="155"/>
      <c r="DN188" s="155"/>
      <c r="DO188" s="155"/>
      <c r="DP188" s="155"/>
      <c r="DQ188" s="155"/>
      <c r="DR188" s="155"/>
      <c r="DS188" s="155"/>
      <c r="DT188" s="155"/>
      <c r="DU188" s="155"/>
      <c r="DV188" s="155"/>
      <c r="DW188" s="155"/>
      <c r="DX188" s="155"/>
    </row>
    <row r="189" spans="1:128" ht="18" customHeight="1">
      <c r="A189" s="271" t="str">
        <f t="shared" si="46"/>
        <v>禄存星壬</v>
      </c>
      <c r="B189" s="271" t="s">
        <v>713</v>
      </c>
      <c r="C189" s="271" t="s">
        <v>433</v>
      </c>
      <c r="D189" s="155" t="str">
        <f t="shared" si="47"/>
        <v>丙</v>
      </c>
      <c r="E189" s="49">
        <v>1947</v>
      </c>
      <c r="F189" s="279" t="s">
        <v>511</v>
      </c>
      <c r="G189" s="155"/>
      <c r="H189" s="155"/>
      <c r="I189" s="270"/>
      <c r="J189" s="271" t="s">
        <v>714</v>
      </c>
      <c r="K189" s="155" t="s">
        <v>622</v>
      </c>
      <c r="L189" s="270"/>
      <c r="M189" s="216" t="s">
        <v>715</v>
      </c>
      <c r="N189" s="216" t="s">
        <v>716</v>
      </c>
      <c r="O189" s="155" t="s">
        <v>717</v>
      </c>
      <c r="P189" s="155">
        <f>IF(O144=F7,40-1,P144)</f>
        <v>1</v>
      </c>
      <c r="Q189" s="155"/>
      <c r="R189" s="155"/>
      <c r="S189" s="155"/>
      <c r="T189" s="155"/>
      <c r="U189" s="158"/>
      <c r="V189" s="155"/>
      <c r="W189" s="155"/>
      <c r="X189" s="263"/>
      <c r="Y189" s="155"/>
      <c r="Z189" s="155"/>
      <c r="AA189" s="263"/>
      <c r="AB189" s="263"/>
      <c r="AC189" s="155"/>
      <c r="AD189" s="155"/>
      <c r="AE189" s="155"/>
      <c r="AF189" s="155" t="str">
        <f>IF(P189&lt;&gt;0,O144,IF(P188&lt;&gt;0,O145,"×"))</f>
        <v>庚</v>
      </c>
      <c r="AG189" s="270">
        <v>50</v>
      </c>
      <c r="AH189" s="271" t="s">
        <v>276</v>
      </c>
      <c r="AI189" s="271" t="s">
        <v>276</v>
      </c>
      <c r="AJ189" s="271" t="s">
        <v>274</v>
      </c>
      <c r="AK189" s="271" t="s">
        <v>271</v>
      </c>
      <c r="AL189" s="271" t="s">
        <v>458</v>
      </c>
      <c r="AM189" s="270">
        <v>10</v>
      </c>
      <c r="AN189" s="155" t="s">
        <v>276</v>
      </c>
      <c r="AO189" s="272" t="s">
        <v>276</v>
      </c>
      <c r="AP189" s="273" t="s">
        <v>274</v>
      </c>
      <c r="AQ189" s="273" t="s">
        <v>271</v>
      </c>
      <c r="AR189" s="155"/>
      <c r="AS189" s="155"/>
      <c r="AT189" s="155"/>
      <c r="AU189" s="155"/>
      <c r="AV189" s="155"/>
      <c r="AW189" s="155"/>
      <c r="AX189" s="155"/>
      <c r="AY189" s="155"/>
      <c r="AZ189" s="49"/>
      <c r="BA189" s="49"/>
      <c r="BB189" s="49"/>
      <c r="BC189" s="49"/>
      <c r="BD189" s="49"/>
      <c r="BE189" s="49"/>
      <c r="BF189" s="49"/>
      <c r="BG189" s="49"/>
      <c r="BH189" s="49"/>
      <c r="BI189" s="155"/>
      <c r="BJ189" s="155"/>
      <c r="BK189" s="155"/>
      <c r="BL189" s="49"/>
      <c r="BM189" s="49"/>
      <c r="BN189" s="49"/>
      <c r="BO189" s="49"/>
      <c r="BP189" s="49"/>
      <c r="BQ189" s="49"/>
      <c r="BR189" s="49"/>
      <c r="BS189" s="49"/>
      <c r="BT189" s="49"/>
      <c r="BU189" s="49"/>
      <c r="BV189" s="49"/>
      <c r="BW189" s="63" t="s">
        <v>249</v>
      </c>
      <c r="BX189" s="63" t="s">
        <v>255</v>
      </c>
      <c r="BY189" s="63" t="s">
        <v>259</v>
      </c>
      <c r="BZ189" s="63" t="s">
        <v>263</v>
      </c>
      <c r="CA189" s="63"/>
      <c r="CB189" s="63"/>
      <c r="CC189" s="63" t="s">
        <v>267</v>
      </c>
      <c r="CD189" s="63" t="s">
        <v>271</v>
      </c>
      <c r="CE189" s="63" t="s">
        <v>273</v>
      </c>
      <c r="CF189" s="63" t="s">
        <v>274</v>
      </c>
      <c r="CG189" s="63" t="s">
        <v>275</v>
      </c>
      <c r="CH189" s="63" t="s">
        <v>276</v>
      </c>
      <c r="CI189" s="49"/>
      <c r="CJ189" s="49"/>
      <c r="CK189" s="49"/>
      <c r="CL189" s="49"/>
      <c r="CM189" s="49"/>
      <c r="CN189" s="49"/>
      <c r="CO189" s="49"/>
      <c r="CP189" s="49"/>
      <c r="CQ189" s="49"/>
      <c r="CR189" s="49"/>
      <c r="CS189" s="49"/>
      <c r="CT189" s="155"/>
      <c r="CU189" s="155"/>
      <c r="CV189" s="155"/>
      <c r="CW189" s="155"/>
      <c r="CX189" s="155"/>
      <c r="CY189" s="155"/>
      <c r="CZ189" s="155"/>
      <c r="DA189" s="155"/>
      <c r="DB189" s="155"/>
      <c r="DC189" s="155"/>
      <c r="DD189" s="155"/>
      <c r="DE189" s="155"/>
      <c r="DF189" s="155"/>
      <c r="DG189" s="155"/>
      <c r="DH189" s="155"/>
      <c r="DI189" s="155"/>
      <c r="DJ189" s="155"/>
      <c r="DK189" s="155"/>
      <c r="DL189" s="155"/>
      <c r="DM189" s="155"/>
      <c r="DN189" s="155"/>
      <c r="DO189" s="155"/>
      <c r="DP189" s="155"/>
      <c r="DQ189" s="155"/>
      <c r="DR189" s="155"/>
      <c r="DS189" s="155"/>
      <c r="DT189" s="155"/>
      <c r="DU189" s="155"/>
      <c r="DV189" s="155"/>
      <c r="DW189" s="155"/>
      <c r="DX189" s="155"/>
    </row>
    <row r="190" spans="1:128" ht="18" customHeight="1">
      <c r="A190" s="271" t="str">
        <f t="shared" si="46"/>
        <v>禄存星癸</v>
      </c>
      <c r="B190" s="271" t="s">
        <v>718</v>
      </c>
      <c r="C190" s="271" t="s">
        <v>433</v>
      </c>
      <c r="D190" s="155" t="str">
        <f t="shared" si="47"/>
        <v>丁</v>
      </c>
      <c r="E190" s="49">
        <v>1948</v>
      </c>
      <c r="F190" s="279" t="s">
        <v>719</v>
      </c>
      <c r="G190" s="155"/>
      <c r="H190" s="155"/>
      <c r="I190" s="270"/>
      <c r="J190" s="271" t="s">
        <v>720</v>
      </c>
      <c r="K190" s="155" t="s">
        <v>660</v>
      </c>
      <c r="L190" s="270"/>
      <c r="M190" s="216" t="s">
        <v>721</v>
      </c>
      <c r="N190" s="216" t="s">
        <v>722</v>
      </c>
      <c r="O190" s="155"/>
      <c r="P190" s="155"/>
      <c r="Q190" s="155"/>
      <c r="R190" s="155"/>
      <c r="S190" s="155"/>
      <c r="T190" s="155"/>
      <c r="U190" s="158"/>
      <c r="V190" s="155"/>
      <c r="W190" s="155"/>
      <c r="X190" s="263"/>
      <c r="Y190" s="155"/>
      <c r="Z190" s="155"/>
      <c r="AA190" s="263"/>
      <c r="AB190" s="263"/>
      <c r="AC190" s="155"/>
      <c r="AD190" s="155"/>
      <c r="AE190" s="155"/>
      <c r="AF190" s="155"/>
      <c r="AG190" s="270">
        <v>51</v>
      </c>
      <c r="AH190" s="271" t="s">
        <v>249</v>
      </c>
      <c r="AI190" s="271" t="s">
        <v>267</v>
      </c>
      <c r="AJ190" s="271" t="s">
        <v>259</v>
      </c>
      <c r="AK190" s="271" t="s">
        <v>249</v>
      </c>
      <c r="AL190" s="271" t="s">
        <v>459</v>
      </c>
      <c r="AM190" s="270">
        <v>11</v>
      </c>
      <c r="AN190" s="155" t="s">
        <v>249</v>
      </c>
      <c r="AO190" s="272" t="s">
        <v>267</v>
      </c>
      <c r="AP190" s="273" t="s">
        <v>259</v>
      </c>
      <c r="AQ190" s="273" t="s">
        <v>249</v>
      </c>
      <c r="AR190" s="155"/>
      <c r="AS190" s="155"/>
      <c r="AT190" s="155"/>
      <c r="AU190" s="155"/>
      <c r="AV190" s="155"/>
      <c r="AW190" s="155"/>
      <c r="AX190" s="155"/>
      <c r="AY190" s="155"/>
      <c r="AZ190" s="49"/>
      <c r="BA190" s="49"/>
      <c r="BB190" s="49"/>
      <c r="BC190" s="49"/>
      <c r="BD190" s="49"/>
      <c r="BE190" s="49"/>
      <c r="BF190" s="49"/>
      <c r="BG190" s="49"/>
      <c r="BH190" s="49"/>
      <c r="BI190" s="155"/>
      <c r="BJ190" s="155"/>
      <c r="BK190" s="155"/>
      <c r="BL190" s="49"/>
      <c r="BM190" s="49"/>
      <c r="BN190" s="49"/>
      <c r="BO190" s="49"/>
      <c r="BP190" s="49"/>
      <c r="BQ190" s="49"/>
      <c r="BR190" s="49"/>
      <c r="BS190" s="49"/>
      <c r="BT190" s="49"/>
      <c r="BU190" s="49"/>
      <c r="BV190" s="49">
        <v>1</v>
      </c>
      <c r="BW190" s="274">
        <v>1</v>
      </c>
      <c r="BX190" s="274">
        <v>0</v>
      </c>
      <c r="BY190" s="274">
        <v>0</v>
      </c>
      <c r="BZ190" s="274">
        <v>0</v>
      </c>
      <c r="CA190" s="274"/>
      <c r="CB190" s="274"/>
      <c r="CC190" s="274">
        <v>0</v>
      </c>
      <c r="CD190" s="274">
        <v>0</v>
      </c>
      <c r="CE190" s="274">
        <v>0</v>
      </c>
      <c r="CF190" s="274">
        <v>0</v>
      </c>
      <c r="CG190" s="274">
        <v>0</v>
      </c>
      <c r="CH190" s="274">
        <v>0</v>
      </c>
      <c r="CI190" s="49"/>
      <c r="CJ190" s="49"/>
      <c r="CK190" s="49"/>
      <c r="CL190" s="49"/>
      <c r="CM190" s="49"/>
      <c r="CN190" s="49"/>
      <c r="CO190" s="49"/>
      <c r="CP190" s="49"/>
      <c r="CQ190" s="49"/>
      <c r="CR190" s="49"/>
      <c r="CS190" s="49"/>
      <c r="CT190" s="155"/>
      <c r="CU190" s="155"/>
      <c r="CV190" s="155"/>
      <c r="CW190" s="155"/>
      <c r="CX190" s="155"/>
      <c r="CY190" s="155"/>
      <c r="CZ190" s="155"/>
      <c r="DA190" s="155"/>
      <c r="DB190" s="155"/>
      <c r="DC190" s="155"/>
      <c r="DD190" s="155"/>
      <c r="DE190" s="155"/>
      <c r="DF190" s="155"/>
      <c r="DG190" s="155"/>
      <c r="DH190" s="155"/>
      <c r="DI190" s="155"/>
      <c r="DJ190" s="155"/>
      <c r="DK190" s="155"/>
      <c r="DL190" s="155"/>
      <c r="DM190" s="155"/>
      <c r="DN190" s="155"/>
      <c r="DO190" s="155"/>
      <c r="DP190" s="155"/>
      <c r="DQ190" s="155"/>
      <c r="DR190" s="155"/>
      <c r="DS190" s="155"/>
      <c r="DT190" s="155"/>
      <c r="DU190" s="155"/>
      <c r="DV190" s="155"/>
      <c r="DW190" s="155"/>
      <c r="DX190" s="155"/>
    </row>
    <row r="191" spans="1:128" ht="18" customHeight="1">
      <c r="A191" s="271" t="str">
        <f t="shared" si="46"/>
        <v>禄存星戊</v>
      </c>
      <c r="B191" s="271" t="s">
        <v>723</v>
      </c>
      <c r="C191" s="271" t="s">
        <v>433</v>
      </c>
      <c r="D191" s="155" t="str">
        <f t="shared" si="47"/>
        <v>壬</v>
      </c>
      <c r="E191" s="49">
        <v>1949</v>
      </c>
      <c r="F191" s="279" t="s">
        <v>643</v>
      </c>
      <c r="G191" s="155"/>
      <c r="H191" s="155"/>
      <c r="I191" s="270"/>
      <c r="J191" s="271" t="s">
        <v>724</v>
      </c>
      <c r="K191" s="155" t="s">
        <v>660</v>
      </c>
      <c r="L191" s="270"/>
      <c r="M191" s="216" t="s">
        <v>725</v>
      </c>
      <c r="N191" s="216" t="s">
        <v>726</v>
      </c>
      <c r="O191" s="155" t="s">
        <v>727</v>
      </c>
      <c r="P191" s="155">
        <f>P186</f>
        <v>0</v>
      </c>
      <c r="Q191" s="155"/>
      <c r="R191" s="155"/>
      <c r="S191" s="155"/>
      <c r="T191" s="155"/>
      <c r="U191" s="158"/>
      <c r="V191" s="155"/>
      <c r="W191" s="155"/>
      <c r="X191" s="263"/>
      <c r="Y191" s="155"/>
      <c r="Z191" s="155"/>
      <c r="AA191" s="263"/>
      <c r="AB191" s="263"/>
      <c r="AC191" s="155"/>
      <c r="AD191" s="155"/>
      <c r="AE191" s="155"/>
      <c r="AF191" s="155" t="str">
        <f>IF(P186&lt;&gt;0,O143,IF(P187&lt;&gt;0,O142,"×"))</f>
        <v>戊</v>
      </c>
      <c r="AG191" s="270">
        <v>52</v>
      </c>
      <c r="AH191" s="271" t="s">
        <v>255</v>
      </c>
      <c r="AI191" s="271"/>
      <c r="AJ191" s="271"/>
      <c r="AK191" s="271" t="s">
        <v>255</v>
      </c>
      <c r="AL191" s="271" t="s">
        <v>464</v>
      </c>
      <c r="AM191" s="270">
        <v>11</v>
      </c>
      <c r="AN191" s="155" t="s">
        <v>255</v>
      </c>
      <c r="AO191" s="272"/>
      <c r="AP191" s="273"/>
      <c r="AQ191" s="273" t="s">
        <v>255</v>
      </c>
      <c r="AR191" s="155"/>
      <c r="AS191" s="155"/>
      <c r="AT191" s="155"/>
      <c r="AU191" s="155"/>
      <c r="AV191" s="155"/>
      <c r="AW191" s="155"/>
      <c r="AX191" s="155"/>
      <c r="AY191" s="155"/>
      <c r="AZ191" s="49"/>
      <c r="BA191" s="49"/>
      <c r="BB191" s="49"/>
      <c r="BC191" s="49"/>
      <c r="BD191" s="49"/>
      <c r="BE191" s="49"/>
      <c r="BF191" s="49"/>
      <c r="BG191" s="49"/>
      <c r="BH191" s="49"/>
      <c r="BI191" s="155"/>
      <c r="BJ191" s="155"/>
      <c r="BK191" s="155"/>
      <c r="BL191" s="49"/>
      <c r="BM191" s="49"/>
      <c r="BN191" s="49"/>
      <c r="BO191" s="49"/>
      <c r="BP191" s="49"/>
      <c r="BQ191" s="49">
        <v>1</v>
      </c>
      <c r="BR191" s="49"/>
      <c r="BS191" s="49"/>
      <c r="BT191" s="49" t="str">
        <f>"①"&amp;"天馳星"</f>
        <v>①天馳星</v>
      </c>
      <c r="BU191" s="49"/>
      <c r="BV191" s="49">
        <v>2</v>
      </c>
      <c r="BW191" s="274">
        <v>0</v>
      </c>
      <c r="BX191" s="274">
        <v>1</v>
      </c>
      <c r="BY191" s="274">
        <v>0</v>
      </c>
      <c r="BZ191" s="274">
        <v>0</v>
      </c>
      <c r="CA191" s="274"/>
      <c r="CB191" s="274"/>
      <c r="CC191" s="274">
        <v>0</v>
      </c>
      <c r="CD191" s="274">
        <v>0</v>
      </c>
      <c r="CE191" s="274">
        <v>0</v>
      </c>
      <c r="CF191" s="274">
        <v>0</v>
      </c>
      <c r="CG191" s="274">
        <v>0</v>
      </c>
      <c r="CH191" s="274">
        <v>0</v>
      </c>
      <c r="CI191" s="49"/>
      <c r="CJ191" s="49"/>
      <c r="CK191" s="49"/>
      <c r="CL191" s="49"/>
      <c r="CM191" s="49"/>
      <c r="CN191" s="49"/>
      <c r="CO191" s="49"/>
      <c r="CP191" s="49"/>
      <c r="CQ191" s="49"/>
      <c r="CR191" s="49"/>
      <c r="CS191" s="49"/>
      <c r="CT191" s="155"/>
      <c r="CU191" s="155"/>
      <c r="CV191" s="155"/>
      <c r="CW191" s="155"/>
      <c r="CX191" s="155"/>
      <c r="CY191" s="155"/>
      <c r="CZ191" s="155"/>
      <c r="DA191" s="155"/>
      <c r="DB191" s="155"/>
      <c r="DC191" s="155"/>
      <c r="DD191" s="155"/>
      <c r="DE191" s="155"/>
      <c r="DF191" s="155"/>
      <c r="DG191" s="155"/>
      <c r="DH191" s="155"/>
      <c r="DI191" s="155"/>
      <c r="DJ191" s="155"/>
      <c r="DK191" s="155"/>
      <c r="DL191" s="155"/>
      <c r="DM191" s="155"/>
      <c r="DN191" s="155"/>
      <c r="DO191" s="155"/>
      <c r="DP191" s="155"/>
      <c r="DQ191" s="155"/>
      <c r="DR191" s="155"/>
      <c r="DS191" s="155"/>
      <c r="DT191" s="155"/>
      <c r="DU191" s="155"/>
      <c r="DV191" s="155"/>
      <c r="DW191" s="155"/>
      <c r="DX191" s="155"/>
    </row>
    <row r="192" spans="1:128" ht="18" customHeight="1">
      <c r="A192" s="271" t="str">
        <f t="shared" si="46"/>
        <v>禄存星己</v>
      </c>
      <c r="B192" s="271" t="s">
        <v>728</v>
      </c>
      <c r="C192" s="271" t="s">
        <v>433</v>
      </c>
      <c r="D192" s="155" t="str">
        <f t="shared" si="47"/>
        <v>癸</v>
      </c>
      <c r="E192" s="49">
        <v>1950</v>
      </c>
      <c r="F192" s="279" t="s">
        <v>461</v>
      </c>
      <c r="G192" s="155"/>
      <c r="H192" s="155"/>
      <c r="I192" s="270"/>
      <c r="J192" s="271" t="s">
        <v>729</v>
      </c>
      <c r="K192" s="155" t="s">
        <v>622</v>
      </c>
      <c r="L192" s="270"/>
      <c r="M192" s="216" t="s">
        <v>730</v>
      </c>
      <c r="N192" s="216" t="s">
        <v>731</v>
      </c>
      <c r="O192" s="155" t="s">
        <v>732</v>
      </c>
      <c r="P192" s="155">
        <f>P189</f>
        <v>1</v>
      </c>
      <c r="Q192" s="155"/>
      <c r="R192" s="155"/>
      <c r="S192" s="155"/>
      <c r="T192" s="155"/>
      <c r="U192" s="158"/>
      <c r="V192" s="155"/>
      <c r="W192" s="155"/>
      <c r="X192" s="263"/>
      <c r="Y192" s="155"/>
      <c r="Z192" s="155"/>
      <c r="AA192" s="263"/>
      <c r="AB192" s="263"/>
      <c r="AC192" s="155"/>
      <c r="AD192" s="155"/>
      <c r="AE192" s="155"/>
      <c r="AF192" s="155" t="str">
        <f>IF(P189&lt;&gt;0,O144,IF(P188&lt;&gt;0,O145,"×"))</f>
        <v>庚</v>
      </c>
      <c r="AG192" s="270">
        <v>53</v>
      </c>
      <c r="AH192" s="271" t="s">
        <v>259</v>
      </c>
      <c r="AI192" s="271" t="s">
        <v>255</v>
      </c>
      <c r="AJ192" s="271" t="s">
        <v>276</v>
      </c>
      <c r="AK192" s="271" t="s">
        <v>267</v>
      </c>
      <c r="AL192" s="271" t="s">
        <v>469</v>
      </c>
      <c r="AM192" s="270">
        <v>10</v>
      </c>
      <c r="AN192" s="155" t="s">
        <v>259</v>
      </c>
      <c r="AO192" s="272" t="s">
        <v>255</v>
      </c>
      <c r="AP192" s="273" t="s">
        <v>276</v>
      </c>
      <c r="AQ192" s="273" t="s">
        <v>267</v>
      </c>
      <c r="AR192" s="155"/>
      <c r="AS192" s="155"/>
      <c r="AT192" s="155"/>
      <c r="AU192" s="155"/>
      <c r="AV192" s="155"/>
      <c r="AW192" s="155"/>
      <c r="AX192" s="155"/>
      <c r="AY192" s="155"/>
      <c r="AZ192" s="49"/>
      <c r="BA192" s="49"/>
      <c r="BB192" s="49"/>
      <c r="BC192" s="49"/>
      <c r="BD192" s="49"/>
      <c r="BE192" s="49"/>
      <c r="BF192" s="49"/>
      <c r="BG192" s="49"/>
      <c r="BH192" s="49"/>
      <c r="BI192" s="155"/>
      <c r="BJ192" s="155"/>
      <c r="BK192" s="155"/>
      <c r="BL192" s="49"/>
      <c r="BM192" s="49"/>
      <c r="BN192" s="49"/>
      <c r="BO192" s="49"/>
      <c r="BP192" s="49"/>
      <c r="BQ192" s="49">
        <v>2</v>
      </c>
      <c r="BR192" s="49"/>
      <c r="BS192" s="49"/>
      <c r="BT192" s="49" t="str">
        <f>"②"&amp;"天極星"</f>
        <v>②天極星</v>
      </c>
      <c r="BU192" s="49"/>
      <c r="BV192" s="49">
        <v>3</v>
      </c>
      <c r="BW192" s="274">
        <v>0</v>
      </c>
      <c r="BX192" s="274">
        <v>0</v>
      </c>
      <c r="BY192" s="274">
        <v>1</v>
      </c>
      <c r="BZ192" s="274">
        <v>0</v>
      </c>
      <c r="CA192" s="274"/>
      <c r="CB192" s="274"/>
      <c r="CC192" s="274">
        <v>0</v>
      </c>
      <c r="CD192" s="274">
        <v>0</v>
      </c>
      <c r="CE192" s="274">
        <v>0</v>
      </c>
      <c r="CF192" s="274">
        <v>0</v>
      </c>
      <c r="CG192" s="274">
        <v>0</v>
      </c>
      <c r="CH192" s="274">
        <v>0</v>
      </c>
      <c r="CI192" s="49"/>
      <c r="CJ192" s="49"/>
      <c r="CK192" s="49"/>
      <c r="CL192" s="49"/>
      <c r="CM192" s="49"/>
      <c r="CN192" s="49"/>
      <c r="CO192" s="49"/>
      <c r="CP192" s="49"/>
      <c r="CQ192" s="49"/>
      <c r="CR192" s="49"/>
      <c r="CS192" s="49"/>
      <c r="CT192" s="155"/>
      <c r="CU192" s="155"/>
      <c r="CV192" s="155"/>
      <c r="CW192" s="155"/>
      <c r="CX192" s="155"/>
      <c r="CY192" s="155"/>
      <c r="CZ192" s="155"/>
      <c r="DA192" s="155"/>
      <c r="DB192" s="155"/>
      <c r="DC192" s="155"/>
      <c r="DD192" s="155"/>
      <c r="DE192" s="155"/>
      <c r="DF192" s="155"/>
      <c r="DG192" s="155"/>
      <c r="DH192" s="155"/>
      <c r="DI192" s="155"/>
      <c r="DJ192" s="155"/>
      <c r="DK192" s="155"/>
      <c r="DL192" s="155"/>
      <c r="DM192" s="155"/>
      <c r="DN192" s="155"/>
      <c r="DO192" s="155"/>
      <c r="DP192" s="155"/>
      <c r="DQ192" s="155"/>
      <c r="DR192" s="155"/>
      <c r="DS192" s="155"/>
      <c r="DT192" s="155"/>
      <c r="DU192" s="155"/>
      <c r="DV192" s="155"/>
      <c r="DW192" s="155"/>
      <c r="DX192" s="155"/>
    </row>
    <row r="193" spans="1:128" ht="18" customHeight="1">
      <c r="A193" s="271" t="str">
        <f t="shared" si="46"/>
        <v>禄存星甲</v>
      </c>
      <c r="B193" s="271" t="s">
        <v>733</v>
      </c>
      <c r="C193" s="271" t="s">
        <v>433</v>
      </c>
      <c r="D193" s="155" t="str">
        <f t="shared" si="47"/>
        <v>戊</v>
      </c>
      <c r="E193" s="49">
        <v>1951</v>
      </c>
      <c r="F193" s="279" t="s">
        <v>734</v>
      </c>
      <c r="G193" s="155"/>
      <c r="H193" s="155"/>
      <c r="I193" s="270"/>
      <c r="J193" s="271" t="s">
        <v>735</v>
      </c>
      <c r="K193" s="155" t="s">
        <v>612</v>
      </c>
      <c r="L193" s="270"/>
      <c r="M193" s="216" t="s">
        <v>736</v>
      </c>
      <c r="N193" s="216" t="s">
        <v>737</v>
      </c>
      <c r="O193" s="155" t="s">
        <v>738</v>
      </c>
      <c r="P193" s="155">
        <f>P188</f>
        <v>2</v>
      </c>
      <c r="Q193" s="155"/>
      <c r="R193" s="155"/>
      <c r="S193" s="155"/>
      <c r="T193" s="155"/>
      <c r="U193" s="158"/>
      <c r="V193" s="155"/>
      <c r="W193" s="155"/>
      <c r="X193" s="263"/>
      <c r="Y193" s="155"/>
      <c r="Z193" s="155"/>
      <c r="AA193" s="263"/>
      <c r="AB193" s="263"/>
      <c r="AC193" s="155"/>
      <c r="AD193" s="155"/>
      <c r="AE193" s="155"/>
      <c r="AF193" s="155" t="str">
        <f>IF(P188&lt;&gt;0,O145,IF(P189&lt;&gt;0,O144,"×"))</f>
        <v>辛</v>
      </c>
      <c r="AG193" s="270">
        <v>54</v>
      </c>
      <c r="AH193" s="271" t="s">
        <v>263</v>
      </c>
      <c r="AI193" s="271" t="s">
        <v>267</v>
      </c>
      <c r="AJ193" s="271" t="s">
        <v>273</v>
      </c>
      <c r="AK193" s="271" t="s">
        <v>259</v>
      </c>
      <c r="AL193" s="271" t="s">
        <v>475</v>
      </c>
      <c r="AM193" s="270">
        <v>12</v>
      </c>
      <c r="AN193" s="155" t="s">
        <v>263</v>
      </c>
      <c r="AO193" s="272" t="s">
        <v>267</v>
      </c>
      <c r="AP193" s="273" t="s">
        <v>273</v>
      </c>
      <c r="AQ193" s="273" t="s">
        <v>259</v>
      </c>
      <c r="AR193" s="155"/>
      <c r="AS193" s="155"/>
      <c r="AT193" s="155"/>
      <c r="AU193" s="155"/>
      <c r="AV193" s="155"/>
      <c r="AW193" s="155"/>
      <c r="AX193" s="155"/>
      <c r="AY193" s="155"/>
      <c r="AZ193" s="49"/>
      <c r="BA193" s="49"/>
      <c r="BB193" s="49"/>
      <c r="BC193" s="49"/>
      <c r="BD193" s="49"/>
      <c r="BE193" s="49"/>
      <c r="BF193" s="49"/>
      <c r="BG193" s="49"/>
      <c r="BH193" s="49"/>
      <c r="BI193" s="155"/>
      <c r="BJ193" s="155"/>
      <c r="BK193" s="155"/>
      <c r="BL193" s="49"/>
      <c r="BM193" s="49"/>
      <c r="BN193" s="49"/>
      <c r="BO193" s="49"/>
      <c r="BP193" s="49"/>
      <c r="BQ193" s="49">
        <v>3</v>
      </c>
      <c r="BR193" s="49"/>
      <c r="BS193" s="49"/>
      <c r="BT193" s="49" t="str">
        <f>"③"&amp;"天報星"</f>
        <v>③天報星</v>
      </c>
      <c r="BU193" s="49"/>
      <c r="BV193" s="49">
        <v>4</v>
      </c>
      <c r="BW193" s="274">
        <v>0</v>
      </c>
      <c r="BX193" s="274">
        <v>0</v>
      </c>
      <c r="BY193" s="274">
        <v>0</v>
      </c>
      <c r="BZ193" s="274">
        <v>1</v>
      </c>
      <c r="CA193" s="274"/>
      <c r="CB193" s="274"/>
      <c r="CC193" s="274">
        <v>0</v>
      </c>
      <c r="CD193" s="274">
        <v>0</v>
      </c>
      <c r="CE193" s="274">
        <v>0</v>
      </c>
      <c r="CF193" s="274">
        <v>0</v>
      </c>
      <c r="CG193" s="274">
        <v>0</v>
      </c>
      <c r="CH193" s="274">
        <v>0</v>
      </c>
      <c r="CI193" s="49"/>
      <c r="CJ193" s="49"/>
      <c r="CK193" s="49"/>
      <c r="CL193" s="49"/>
      <c r="CM193" s="49"/>
      <c r="CN193" s="49"/>
      <c r="CO193" s="49"/>
      <c r="CP193" s="49"/>
      <c r="CQ193" s="49"/>
      <c r="CR193" s="49"/>
      <c r="CS193" s="49"/>
      <c r="CT193" s="155"/>
      <c r="CU193" s="155"/>
      <c r="CV193" s="155"/>
      <c r="CW193" s="155"/>
      <c r="CX193" s="155"/>
      <c r="CY193" s="155"/>
      <c r="CZ193" s="155"/>
      <c r="DA193" s="155"/>
      <c r="DB193" s="155"/>
      <c r="DC193" s="155"/>
      <c r="DD193" s="155"/>
      <c r="DE193" s="155"/>
      <c r="DF193" s="155"/>
      <c r="DG193" s="155"/>
      <c r="DH193" s="155"/>
      <c r="DI193" s="155"/>
      <c r="DJ193" s="155"/>
      <c r="DK193" s="155"/>
      <c r="DL193" s="155"/>
      <c r="DM193" s="155"/>
      <c r="DN193" s="155"/>
      <c r="DO193" s="155"/>
      <c r="DP193" s="155"/>
      <c r="DQ193" s="155"/>
      <c r="DR193" s="155"/>
      <c r="DS193" s="155"/>
      <c r="DT193" s="155"/>
      <c r="DU193" s="155"/>
      <c r="DV193" s="155"/>
      <c r="DW193" s="155"/>
      <c r="DX193" s="155"/>
    </row>
    <row r="194" spans="1:128" ht="18" customHeight="1">
      <c r="A194" s="271" t="str">
        <f t="shared" si="46"/>
        <v>禄存星乙</v>
      </c>
      <c r="B194" s="271" t="s">
        <v>739</v>
      </c>
      <c r="C194" s="271" t="s">
        <v>433</v>
      </c>
      <c r="D194" s="155" t="str">
        <f t="shared" si="47"/>
        <v>己</v>
      </c>
      <c r="E194" s="49">
        <v>1952</v>
      </c>
      <c r="F194" s="279" t="s">
        <v>740</v>
      </c>
      <c r="G194" s="155"/>
      <c r="H194" s="155"/>
      <c r="I194" s="270"/>
      <c r="J194" s="271" t="s">
        <v>741</v>
      </c>
      <c r="K194" s="155" t="s">
        <v>612</v>
      </c>
      <c r="L194" s="270"/>
      <c r="M194" s="216" t="s">
        <v>742</v>
      </c>
      <c r="N194" s="216" t="s">
        <v>743</v>
      </c>
      <c r="O194" s="155" t="s">
        <v>744</v>
      </c>
      <c r="P194" s="155">
        <f>P181</f>
        <v>1</v>
      </c>
      <c r="Q194" s="155"/>
      <c r="R194" s="155"/>
      <c r="S194" s="155"/>
      <c r="T194" s="155"/>
      <c r="U194" s="158"/>
      <c r="V194" s="155"/>
      <c r="W194" s="155"/>
      <c r="X194" s="263"/>
      <c r="Y194" s="155"/>
      <c r="Z194" s="155"/>
      <c r="AA194" s="263"/>
      <c r="AB194" s="263"/>
      <c r="AC194" s="155"/>
      <c r="AD194" s="155"/>
      <c r="AE194" s="155"/>
      <c r="AF194" s="155" t="str">
        <f>IF(P181&lt;&gt;0,O146,IF(P180&lt;&gt;0,O147,"×"))</f>
        <v>壬</v>
      </c>
      <c r="AG194" s="270">
        <v>55</v>
      </c>
      <c r="AH194" s="271" t="s">
        <v>267</v>
      </c>
      <c r="AI194" s="271"/>
      <c r="AJ194" s="271" t="s">
        <v>271</v>
      </c>
      <c r="AK194" s="271" t="s">
        <v>263</v>
      </c>
      <c r="AL194" s="271" t="s">
        <v>481</v>
      </c>
      <c r="AM194" s="270">
        <v>12</v>
      </c>
      <c r="AN194" s="155" t="s">
        <v>267</v>
      </c>
      <c r="AO194" s="272"/>
      <c r="AP194" s="273" t="s">
        <v>271</v>
      </c>
      <c r="AQ194" s="273" t="s">
        <v>263</v>
      </c>
      <c r="AR194" s="155"/>
      <c r="AS194" s="155"/>
      <c r="AT194" s="155"/>
      <c r="AU194" s="155"/>
      <c r="AV194" s="155"/>
      <c r="AW194" s="155"/>
      <c r="AX194" s="155"/>
      <c r="AY194" s="155"/>
      <c r="AZ194" s="49"/>
      <c r="BA194" s="49"/>
      <c r="BB194" s="49"/>
      <c r="BC194" s="49"/>
      <c r="BD194" s="49"/>
      <c r="BE194" s="49"/>
      <c r="BF194" s="49"/>
      <c r="BG194" s="49"/>
      <c r="BH194" s="49"/>
      <c r="BI194" s="155"/>
      <c r="BJ194" s="155"/>
      <c r="BK194" s="155"/>
      <c r="BL194" s="49"/>
      <c r="BM194" s="49"/>
      <c r="BN194" s="49"/>
      <c r="BO194" s="49"/>
      <c r="BP194" s="49"/>
      <c r="BQ194" s="49">
        <v>4</v>
      </c>
      <c r="BR194" s="49"/>
      <c r="BS194" s="49"/>
      <c r="BT194" s="49" t="str">
        <f>"④"&amp;"天胡星"</f>
        <v>④天胡星</v>
      </c>
      <c r="BU194" s="49"/>
      <c r="BV194" s="49">
        <v>5</v>
      </c>
      <c r="BW194" s="274">
        <v>0</v>
      </c>
      <c r="BX194" s="274">
        <v>0</v>
      </c>
      <c r="BY194" s="274">
        <v>0</v>
      </c>
      <c r="BZ194" s="274">
        <v>0</v>
      </c>
      <c r="CA194" s="274"/>
      <c r="CB194" s="274"/>
      <c r="CC194" s="274">
        <v>1</v>
      </c>
      <c r="CD194" s="274">
        <v>0</v>
      </c>
      <c r="CE194" s="274">
        <v>0</v>
      </c>
      <c r="CF194" s="274">
        <v>0</v>
      </c>
      <c r="CG194" s="274">
        <v>0</v>
      </c>
      <c r="CH194" s="274">
        <v>0</v>
      </c>
      <c r="CI194" s="49"/>
      <c r="CJ194" s="49"/>
      <c r="CK194" s="49"/>
      <c r="CL194" s="49"/>
      <c r="CM194" s="49"/>
      <c r="CN194" s="49"/>
      <c r="CO194" s="49"/>
      <c r="CP194" s="49"/>
      <c r="CQ194" s="49"/>
      <c r="CR194" s="49"/>
      <c r="CS194" s="49"/>
      <c r="CT194" s="155"/>
      <c r="CU194" s="155"/>
      <c r="CV194" s="155"/>
      <c r="CW194" s="155"/>
      <c r="CX194" s="155"/>
      <c r="CY194" s="155"/>
      <c r="CZ194" s="155"/>
      <c r="DA194" s="155"/>
      <c r="DB194" s="155"/>
      <c r="DC194" s="155"/>
      <c r="DD194" s="155"/>
      <c r="DE194" s="155"/>
      <c r="DF194" s="155"/>
      <c r="DG194" s="155"/>
      <c r="DH194" s="155"/>
      <c r="DI194" s="155"/>
      <c r="DJ194" s="155"/>
      <c r="DK194" s="155"/>
      <c r="DL194" s="155"/>
      <c r="DM194" s="155"/>
      <c r="DN194" s="155"/>
      <c r="DO194" s="155"/>
      <c r="DP194" s="155"/>
      <c r="DQ194" s="155"/>
      <c r="DR194" s="155"/>
      <c r="DS194" s="155"/>
      <c r="DT194" s="155"/>
      <c r="DU194" s="155"/>
      <c r="DV194" s="155"/>
      <c r="DW194" s="155"/>
      <c r="DX194" s="155"/>
    </row>
    <row r="195" spans="1:128" ht="18" customHeight="1">
      <c r="A195" s="271" t="str">
        <f t="shared" si="46"/>
        <v>車騎星丙</v>
      </c>
      <c r="B195" s="271" t="s">
        <v>745</v>
      </c>
      <c r="C195" s="271" t="s">
        <v>499</v>
      </c>
      <c r="D195" s="155" t="str">
        <f t="shared" si="47"/>
        <v>壬</v>
      </c>
      <c r="E195" s="49">
        <v>1953</v>
      </c>
      <c r="F195" s="279" t="s">
        <v>746</v>
      </c>
      <c r="G195" s="155"/>
      <c r="H195" s="155"/>
      <c r="I195" s="270"/>
      <c r="J195" s="271" t="s">
        <v>747</v>
      </c>
      <c r="K195" s="155" t="s">
        <v>645</v>
      </c>
      <c r="L195" s="270"/>
      <c r="M195" s="216" t="s">
        <v>748</v>
      </c>
      <c r="N195" s="216" t="s">
        <v>749</v>
      </c>
      <c r="O195" s="155" t="s">
        <v>750</v>
      </c>
      <c r="P195" s="155">
        <f>P180</f>
        <v>1</v>
      </c>
      <c r="Q195" s="155"/>
      <c r="R195" s="155"/>
      <c r="S195" s="155"/>
      <c r="T195" s="155"/>
      <c r="U195" s="158"/>
      <c r="V195" s="155"/>
      <c r="W195" s="155"/>
      <c r="X195" s="263"/>
      <c r="Y195" s="155"/>
      <c r="Z195" s="155"/>
      <c r="AA195" s="263"/>
      <c r="AB195" s="263"/>
      <c r="AC195" s="155"/>
      <c r="AD195" s="155"/>
      <c r="AE195" s="155"/>
      <c r="AF195" s="155" t="str">
        <f>IF(P180&lt;&gt;0,O147,IF(P181&lt;&gt;0,O146,"×"))</f>
        <v>癸</v>
      </c>
      <c r="AG195" s="270">
        <v>56</v>
      </c>
      <c r="AH195" s="271" t="s">
        <v>271</v>
      </c>
      <c r="AI195" s="271" t="s">
        <v>263</v>
      </c>
      <c r="AJ195" s="271" t="s">
        <v>255</v>
      </c>
      <c r="AK195" s="271" t="s">
        <v>271</v>
      </c>
      <c r="AL195" s="271" t="s">
        <v>486</v>
      </c>
      <c r="AM195" s="270">
        <v>10</v>
      </c>
      <c r="AN195" s="155" t="s">
        <v>271</v>
      </c>
      <c r="AO195" s="272" t="s">
        <v>263</v>
      </c>
      <c r="AP195" s="273" t="s">
        <v>255</v>
      </c>
      <c r="AQ195" s="273" t="s">
        <v>271</v>
      </c>
      <c r="AR195" s="155"/>
      <c r="AS195" s="155"/>
      <c r="AT195" s="155"/>
      <c r="AU195" s="155"/>
      <c r="AV195" s="155"/>
      <c r="AW195" s="155"/>
      <c r="AX195" s="155"/>
      <c r="AY195" s="155"/>
      <c r="AZ195" s="49"/>
      <c r="BA195" s="49"/>
      <c r="BB195" s="49"/>
      <c r="BC195" s="49"/>
      <c r="BD195" s="49"/>
      <c r="BE195" s="49"/>
      <c r="BF195" s="49"/>
      <c r="BG195" s="49"/>
      <c r="BH195" s="49"/>
      <c r="BI195" s="155"/>
      <c r="BJ195" s="155"/>
      <c r="BK195" s="155"/>
      <c r="BL195" s="49"/>
      <c r="BM195" s="49"/>
      <c r="BN195" s="49"/>
      <c r="BO195" s="49"/>
      <c r="BP195" s="49"/>
      <c r="BQ195" s="49">
        <v>5</v>
      </c>
      <c r="BR195" s="49"/>
      <c r="BS195" s="49"/>
      <c r="BT195" s="49" t="str">
        <f>"⑤"&amp;"天庫星"</f>
        <v>⑤天庫星</v>
      </c>
      <c r="BU195" s="49"/>
      <c r="BV195" s="49">
        <v>6</v>
      </c>
      <c r="BW195" s="274">
        <v>0</v>
      </c>
      <c r="BX195" s="274">
        <v>0</v>
      </c>
      <c r="BY195" s="274">
        <v>0</v>
      </c>
      <c r="BZ195" s="274">
        <v>0</v>
      </c>
      <c r="CA195" s="274"/>
      <c r="CB195" s="274"/>
      <c r="CC195" s="274">
        <v>0</v>
      </c>
      <c r="CD195" s="274">
        <v>1</v>
      </c>
      <c r="CE195" s="274">
        <v>0</v>
      </c>
      <c r="CF195" s="274">
        <v>0</v>
      </c>
      <c r="CG195" s="274">
        <v>0</v>
      </c>
      <c r="CH195" s="274">
        <v>0</v>
      </c>
      <c r="CI195" s="49"/>
      <c r="CJ195" s="49"/>
      <c r="CK195" s="49"/>
      <c r="CL195" s="49"/>
      <c r="CM195" s="49"/>
      <c r="CN195" s="49"/>
      <c r="CO195" s="49"/>
      <c r="CP195" s="49"/>
      <c r="CQ195" s="49"/>
      <c r="CR195" s="49"/>
      <c r="CS195" s="49"/>
      <c r="CT195" s="155"/>
      <c r="CU195" s="155"/>
      <c r="CV195" s="155"/>
      <c r="CW195" s="155"/>
      <c r="CX195" s="155"/>
      <c r="CY195" s="155"/>
      <c r="CZ195" s="155"/>
      <c r="DA195" s="155"/>
      <c r="DB195" s="155"/>
      <c r="DC195" s="155"/>
      <c r="DD195" s="155"/>
      <c r="DE195" s="155"/>
      <c r="DF195" s="155"/>
      <c r="DG195" s="155"/>
      <c r="DH195" s="155"/>
      <c r="DI195" s="155"/>
      <c r="DJ195" s="155"/>
      <c r="DK195" s="155"/>
      <c r="DL195" s="155"/>
      <c r="DM195" s="155"/>
      <c r="DN195" s="155"/>
      <c r="DO195" s="155"/>
      <c r="DP195" s="155"/>
      <c r="DQ195" s="155"/>
      <c r="DR195" s="155"/>
      <c r="DS195" s="155"/>
      <c r="DT195" s="155"/>
      <c r="DU195" s="155"/>
      <c r="DV195" s="155"/>
      <c r="DW195" s="155"/>
      <c r="DX195" s="155"/>
    </row>
    <row r="196" spans="1:128" ht="18" customHeight="1">
      <c r="A196" s="271" t="str">
        <f t="shared" si="46"/>
        <v>車騎星丁</v>
      </c>
      <c r="B196" s="271" t="s">
        <v>751</v>
      </c>
      <c r="C196" s="271" t="s">
        <v>499</v>
      </c>
      <c r="D196" s="155" t="str">
        <f t="shared" si="47"/>
        <v>癸</v>
      </c>
      <c r="E196" s="49">
        <v>1954</v>
      </c>
      <c r="F196" s="279" t="s">
        <v>461</v>
      </c>
      <c r="G196" s="155"/>
      <c r="H196" s="155"/>
      <c r="I196" s="270"/>
      <c r="J196" s="271" t="s">
        <v>752</v>
      </c>
      <c r="K196" s="155" t="s">
        <v>628</v>
      </c>
      <c r="L196" s="270"/>
      <c r="M196" s="216" t="s">
        <v>753</v>
      </c>
      <c r="N196" s="216" t="s">
        <v>754</v>
      </c>
      <c r="O196" s="155" t="s">
        <v>755</v>
      </c>
      <c r="P196" s="155">
        <f>P183</f>
        <v>0</v>
      </c>
      <c r="Q196" s="155"/>
      <c r="R196" s="155"/>
      <c r="S196" s="155"/>
      <c r="T196" s="155"/>
      <c r="U196" s="158"/>
      <c r="V196" s="155"/>
      <c r="W196" s="155"/>
      <c r="X196" s="263"/>
      <c r="Y196" s="155"/>
      <c r="Z196" s="155"/>
      <c r="AA196" s="263"/>
      <c r="AB196" s="263"/>
      <c r="AC196" s="155"/>
      <c r="AD196" s="155"/>
      <c r="AE196" s="155"/>
      <c r="AF196" s="155" t="str">
        <f>IF(P183&lt;&gt;0,O138,IF(P182&lt;&gt;0,O139,"×"))</f>
        <v>×</v>
      </c>
      <c r="AG196" s="270">
        <v>57</v>
      </c>
      <c r="AH196" s="271" t="s">
        <v>273</v>
      </c>
      <c r="AI196" s="271" t="s">
        <v>267</v>
      </c>
      <c r="AJ196" s="271" t="s">
        <v>275</v>
      </c>
      <c r="AK196" s="271" t="s">
        <v>273</v>
      </c>
      <c r="AL196" s="271" t="s">
        <v>491</v>
      </c>
      <c r="AM196" s="270">
        <v>11</v>
      </c>
      <c r="AN196" s="155" t="s">
        <v>273</v>
      </c>
      <c r="AO196" s="272" t="s">
        <v>267</v>
      </c>
      <c r="AP196" s="273" t="s">
        <v>275</v>
      </c>
      <c r="AQ196" s="273" t="s">
        <v>273</v>
      </c>
      <c r="AR196" s="155"/>
      <c r="AS196" s="155"/>
      <c r="AT196" s="155"/>
      <c r="AU196" s="155"/>
      <c r="AV196" s="155"/>
      <c r="AW196" s="155"/>
      <c r="AX196" s="155"/>
      <c r="AY196" s="155"/>
      <c r="AZ196" s="49"/>
      <c r="BA196" s="49"/>
      <c r="BB196" s="49"/>
      <c r="BC196" s="49"/>
      <c r="BD196" s="49"/>
      <c r="BE196" s="49"/>
      <c r="BF196" s="49"/>
      <c r="BG196" s="49"/>
      <c r="BH196" s="49"/>
      <c r="BI196" s="155"/>
      <c r="BJ196" s="155"/>
      <c r="BK196" s="155"/>
      <c r="BL196" s="49"/>
      <c r="BM196" s="49"/>
      <c r="BN196" s="49"/>
      <c r="BO196" s="49"/>
      <c r="BP196" s="49"/>
      <c r="BQ196" s="49">
        <v>6</v>
      </c>
      <c r="BR196" s="49"/>
      <c r="BS196" s="49"/>
      <c r="BT196" s="49" t="str">
        <f>"⑥"&amp;"天印星"</f>
        <v>⑥天印星</v>
      </c>
      <c r="BU196" s="49"/>
      <c r="BV196" s="49">
        <v>7</v>
      </c>
      <c r="BW196" s="274">
        <v>0</v>
      </c>
      <c r="BX196" s="274">
        <v>0</v>
      </c>
      <c r="BY196" s="274">
        <v>0</v>
      </c>
      <c r="BZ196" s="274">
        <v>0</v>
      </c>
      <c r="CA196" s="274"/>
      <c r="CB196" s="274"/>
      <c r="CC196" s="274">
        <v>0</v>
      </c>
      <c r="CD196" s="274">
        <v>0</v>
      </c>
      <c r="CE196" s="274">
        <v>1</v>
      </c>
      <c r="CF196" s="274">
        <v>0</v>
      </c>
      <c r="CG196" s="274">
        <v>0</v>
      </c>
      <c r="CH196" s="274">
        <v>0</v>
      </c>
      <c r="CI196" s="49"/>
      <c r="CJ196" s="49"/>
      <c r="CK196" s="49"/>
      <c r="CL196" s="49"/>
      <c r="CM196" s="49"/>
      <c r="CN196" s="49"/>
      <c r="CO196" s="49"/>
      <c r="CP196" s="49"/>
      <c r="CQ196" s="49"/>
      <c r="CR196" s="49"/>
      <c r="CS196" s="49"/>
      <c r="CT196" s="155"/>
      <c r="CU196" s="155"/>
      <c r="CV196" s="155"/>
      <c r="CW196" s="155"/>
      <c r="CX196" s="155"/>
      <c r="CY196" s="155"/>
      <c r="CZ196" s="155"/>
      <c r="DA196" s="155"/>
      <c r="DB196" s="155"/>
      <c r="DC196" s="155"/>
      <c r="DD196" s="155"/>
      <c r="DE196" s="155"/>
      <c r="DF196" s="155"/>
      <c r="DG196" s="155"/>
      <c r="DH196" s="155"/>
      <c r="DI196" s="155"/>
      <c r="DJ196" s="155"/>
      <c r="DK196" s="155"/>
      <c r="DL196" s="155"/>
      <c r="DM196" s="155"/>
      <c r="DN196" s="155"/>
      <c r="DO196" s="155"/>
      <c r="DP196" s="155"/>
      <c r="DQ196" s="155"/>
      <c r="DR196" s="155"/>
      <c r="DS196" s="155"/>
      <c r="DT196" s="155"/>
      <c r="DU196" s="155"/>
      <c r="DV196" s="155"/>
      <c r="DW196" s="155"/>
      <c r="DX196" s="155"/>
    </row>
    <row r="197" spans="1:128" ht="18" customHeight="1">
      <c r="A197" s="271" t="str">
        <f t="shared" si="46"/>
        <v>車騎星庚</v>
      </c>
      <c r="B197" s="271" t="s">
        <v>756</v>
      </c>
      <c r="C197" s="271" t="s">
        <v>499</v>
      </c>
      <c r="D197" s="155" t="str">
        <f t="shared" si="47"/>
        <v>丙</v>
      </c>
      <c r="E197" s="49">
        <v>1955</v>
      </c>
      <c r="F197" s="279" t="s">
        <v>461</v>
      </c>
      <c r="G197" s="155"/>
      <c r="H197" s="155"/>
      <c r="I197" s="270"/>
      <c r="J197" s="271" t="s">
        <v>757</v>
      </c>
      <c r="K197" s="280" t="s">
        <v>628</v>
      </c>
      <c r="L197" s="270"/>
      <c r="M197" s="216" t="s">
        <v>758</v>
      </c>
      <c r="N197" s="216" t="s">
        <v>759</v>
      </c>
      <c r="O197" s="155" t="s">
        <v>760</v>
      </c>
      <c r="P197" s="155">
        <f>P182</f>
        <v>0</v>
      </c>
      <c r="Q197" s="155"/>
      <c r="R197" s="155"/>
      <c r="S197" s="155"/>
      <c r="T197" s="155"/>
      <c r="U197" s="158"/>
      <c r="V197" s="155"/>
      <c r="W197" s="155"/>
      <c r="X197" s="263"/>
      <c r="Y197" s="155"/>
      <c r="Z197" s="155"/>
      <c r="AA197" s="263"/>
      <c r="AB197" s="263"/>
      <c r="AC197" s="155"/>
      <c r="AD197" s="155"/>
      <c r="AE197" s="155"/>
      <c r="AF197" s="155" t="str">
        <f>IF(P182&lt;&gt;0,O139,IF(P183&lt;&gt;0,O138,"×"))</f>
        <v>×</v>
      </c>
      <c r="AG197" s="270">
        <v>58</v>
      </c>
      <c r="AH197" s="271" t="s">
        <v>274</v>
      </c>
      <c r="AI197" s="271"/>
      <c r="AJ197" s="271"/>
      <c r="AK197" s="271" t="s">
        <v>274</v>
      </c>
      <c r="AL197" s="271" t="s">
        <v>498</v>
      </c>
      <c r="AM197" s="270">
        <v>11</v>
      </c>
      <c r="AN197" s="155" t="s">
        <v>274</v>
      </c>
      <c r="AO197" s="272"/>
      <c r="AP197" s="273"/>
      <c r="AQ197" s="273" t="s">
        <v>274</v>
      </c>
      <c r="AR197" s="155"/>
      <c r="AS197" s="155"/>
      <c r="AT197" s="155"/>
      <c r="AU197" s="155"/>
      <c r="AV197" s="155"/>
      <c r="AW197" s="155"/>
      <c r="AX197" s="155"/>
      <c r="AY197" s="155"/>
      <c r="AZ197" s="49"/>
      <c r="BA197" s="49"/>
      <c r="BB197" s="49"/>
      <c r="BC197" s="49"/>
      <c r="BD197" s="49"/>
      <c r="BE197" s="49"/>
      <c r="BF197" s="49"/>
      <c r="BG197" s="49"/>
      <c r="BH197" s="49"/>
      <c r="BI197" s="155"/>
      <c r="BJ197" s="155"/>
      <c r="BK197" s="155"/>
      <c r="BL197" s="49"/>
      <c r="BM197" s="49"/>
      <c r="BN197" s="49"/>
      <c r="BO197" s="49"/>
      <c r="BP197" s="49"/>
      <c r="BQ197" s="49">
        <v>7</v>
      </c>
      <c r="BR197" s="49"/>
      <c r="BS197" s="49"/>
      <c r="BT197" s="49" t="str">
        <f>"⑦"&amp;"天恍星"</f>
        <v>⑦天恍星</v>
      </c>
      <c r="BU197" s="49"/>
      <c r="BV197" s="49">
        <v>8</v>
      </c>
      <c r="BW197" s="274">
        <v>0</v>
      </c>
      <c r="BX197" s="274">
        <v>0</v>
      </c>
      <c r="BY197" s="274">
        <v>0</v>
      </c>
      <c r="BZ197" s="274">
        <v>0</v>
      </c>
      <c r="CA197" s="274"/>
      <c r="CB197" s="274"/>
      <c r="CC197" s="274">
        <v>0</v>
      </c>
      <c r="CD197" s="274">
        <v>0</v>
      </c>
      <c r="CE197" s="274">
        <v>0</v>
      </c>
      <c r="CF197" s="274">
        <v>1</v>
      </c>
      <c r="CG197" s="274">
        <v>0</v>
      </c>
      <c r="CH197" s="274">
        <v>0</v>
      </c>
      <c r="CI197" s="49"/>
      <c r="CJ197" s="49"/>
      <c r="CK197" s="49"/>
      <c r="CL197" s="49"/>
      <c r="CM197" s="49"/>
      <c r="CN197" s="49"/>
      <c r="CO197" s="49"/>
      <c r="CP197" s="49"/>
      <c r="CQ197" s="49"/>
      <c r="CR197" s="49"/>
      <c r="CS197" s="49"/>
      <c r="CT197" s="155"/>
      <c r="CU197" s="155"/>
      <c r="CV197" s="155"/>
      <c r="CW197" s="155"/>
      <c r="CX197" s="155"/>
      <c r="CY197" s="155"/>
      <c r="CZ197" s="155"/>
      <c r="DA197" s="155"/>
      <c r="DB197" s="155"/>
      <c r="DC197" s="155"/>
      <c r="DD197" s="155"/>
      <c r="DE197" s="155"/>
      <c r="DF197" s="155"/>
      <c r="DG197" s="155"/>
      <c r="DH197" s="155"/>
      <c r="DI197" s="155"/>
      <c r="DJ197" s="155"/>
      <c r="DK197" s="155"/>
      <c r="DL197" s="155"/>
      <c r="DM197" s="155"/>
      <c r="DN197" s="155"/>
      <c r="DO197" s="155"/>
      <c r="DP197" s="155"/>
      <c r="DQ197" s="155"/>
      <c r="DR197" s="155"/>
      <c r="DS197" s="155"/>
      <c r="DT197" s="155"/>
      <c r="DU197" s="155"/>
      <c r="DV197" s="155"/>
      <c r="DW197" s="155"/>
      <c r="DX197" s="155"/>
    </row>
    <row r="198" spans="1:128" ht="18" customHeight="1">
      <c r="A198" s="271" t="str">
        <f t="shared" si="46"/>
        <v>車騎星辛</v>
      </c>
      <c r="B198" s="271" t="s">
        <v>761</v>
      </c>
      <c r="C198" s="271" t="s">
        <v>499</v>
      </c>
      <c r="D198" s="155" t="str">
        <f t="shared" si="47"/>
        <v>丁</v>
      </c>
      <c r="E198" s="49">
        <v>1956</v>
      </c>
      <c r="F198" s="279" t="s">
        <v>762</v>
      </c>
      <c r="G198" s="155"/>
      <c r="H198" s="155"/>
      <c r="I198" s="270"/>
      <c r="J198" s="271" t="s">
        <v>763</v>
      </c>
      <c r="K198" s="280" t="s">
        <v>645</v>
      </c>
      <c r="L198" s="270"/>
      <c r="M198" s="216" t="s">
        <v>764</v>
      </c>
      <c r="N198" s="216" t="s">
        <v>765</v>
      </c>
      <c r="O198" s="155" t="s">
        <v>766</v>
      </c>
      <c r="P198" s="155">
        <f>P185</f>
        <v>1</v>
      </c>
      <c r="Q198" s="155"/>
      <c r="R198" s="155"/>
      <c r="S198" s="155"/>
      <c r="T198" s="155"/>
      <c r="U198" s="158"/>
      <c r="V198" s="155"/>
      <c r="W198" s="155"/>
      <c r="X198" s="263"/>
      <c r="Y198" s="155"/>
      <c r="Z198" s="155"/>
      <c r="AA198" s="263"/>
      <c r="AB198" s="263"/>
      <c r="AC198" s="155"/>
      <c r="AD198" s="155"/>
      <c r="AE198" s="155"/>
      <c r="AF198" s="155" t="str">
        <f>IF(P185&lt;&gt;0,O140,IF(P184&lt;&gt;0,O141,"×"))</f>
        <v>丙</v>
      </c>
      <c r="AG198" s="270">
        <v>59</v>
      </c>
      <c r="AH198" s="271" t="s">
        <v>275</v>
      </c>
      <c r="AI198" s="271" t="s">
        <v>274</v>
      </c>
      <c r="AJ198" s="271" t="s">
        <v>263</v>
      </c>
      <c r="AK198" s="271" t="s">
        <v>267</v>
      </c>
      <c r="AL198" s="271" t="s">
        <v>505</v>
      </c>
      <c r="AM198" s="270">
        <v>10</v>
      </c>
      <c r="AN198" s="155" t="s">
        <v>275</v>
      </c>
      <c r="AO198" s="272" t="s">
        <v>274</v>
      </c>
      <c r="AP198" s="273" t="s">
        <v>263</v>
      </c>
      <c r="AQ198" s="273" t="s">
        <v>267</v>
      </c>
      <c r="AR198" s="155"/>
      <c r="AS198" s="155"/>
      <c r="AT198" s="155"/>
      <c r="AU198" s="155"/>
      <c r="AV198" s="155"/>
      <c r="AW198" s="155"/>
      <c r="AX198" s="155"/>
      <c r="AY198" s="155"/>
      <c r="AZ198" s="49"/>
      <c r="BA198" s="49"/>
      <c r="BB198" s="49"/>
      <c r="BC198" s="49"/>
      <c r="BD198" s="49"/>
      <c r="BE198" s="49"/>
      <c r="BF198" s="49"/>
      <c r="BG198" s="49"/>
      <c r="BH198" s="49"/>
      <c r="BI198" s="155"/>
      <c r="BJ198" s="155"/>
      <c r="BK198" s="155"/>
      <c r="BL198" s="49"/>
      <c r="BM198" s="49"/>
      <c r="BN198" s="49"/>
      <c r="BO198" s="49"/>
      <c r="BP198" s="49"/>
      <c r="BQ198" s="49">
        <v>8</v>
      </c>
      <c r="BR198" s="49"/>
      <c r="BS198" s="49"/>
      <c r="BT198" s="49" t="str">
        <f>"⑧"&amp;"天堂星"</f>
        <v>⑧天堂星</v>
      </c>
      <c r="BU198" s="49"/>
      <c r="BV198" s="49">
        <v>9</v>
      </c>
      <c r="BW198" s="274">
        <v>0</v>
      </c>
      <c r="BX198" s="274">
        <v>0</v>
      </c>
      <c r="BY198" s="274">
        <v>0</v>
      </c>
      <c r="BZ198" s="274">
        <v>0</v>
      </c>
      <c r="CA198" s="274"/>
      <c r="CB198" s="274"/>
      <c r="CC198" s="274">
        <v>0</v>
      </c>
      <c r="CD198" s="274">
        <v>0</v>
      </c>
      <c r="CE198" s="274">
        <v>0</v>
      </c>
      <c r="CF198" s="274">
        <v>0</v>
      </c>
      <c r="CG198" s="274">
        <v>1</v>
      </c>
      <c r="CH198" s="274">
        <v>0</v>
      </c>
      <c r="CI198" s="49"/>
      <c r="CJ198" s="49"/>
      <c r="CK198" s="49"/>
      <c r="CL198" s="49"/>
      <c r="CM198" s="49"/>
      <c r="CN198" s="49"/>
      <c r="CO198" s="49"/>
      <c r="CP198" s="49"/>
      <c r="CQ198" s="49"/>
      <c r="CR198" s="49"/>
      <c r="CS198" s="49"/>
      <c r="CT198" s="155"/>
      <c r="CU198" s="155"/>
      <c r="CV198" s="155"/>
      <c r="CW198" s="155"/>
      <c r="CX198" s="155"/>
      <c r="CY198" s="155"/>
      <c r="CZ198" s="155"/>
      <c r="DA198" s="155"/>
      <c r="DB198" s="155"/>
      <c r="DC198" s="155"/>
      <c r="DD198" s="155"/>
      <c r="DE198" s="155"/>
      <c r="DF198" s="155"/>
      <c r="DG198" s="155"/>
      <c r="DH198" s="155"/>
      <c r="DI198" s="155"/>
      <c r="DJ198" s="155"/>
      <c r="DK198" s="155"/>
      <c r="DL198" s="155"/>
      <c r="DM198" s="155"/>
      <c r="DN198" s="155"/>
      <c r="DO198" s="155"/>
      <c r="DP198" s="155"/>
      <c r="DQ198" s="155"/>
      <c r="DR198" s="155"/>
      <c r="DS198" s="155"/>
      <c r="DT198" s="155"/>
      <c r="DU198" s="155"/>
      <c r="DV198" s="155"/>
      <c r="DW198" s="155"/>
      <c r="DX198" s="155"/>
    </row>
    <row r="199" spans="1:128" ht="18" customHeight="1">
      <c r="A199" s="271" t="str">
        <f t="shared" si="46"/>
        <v>車騎星壬</v>
      </c>
      <c r="B199" s="271" t="s">
        <v>767</v>
      </c>
      <c r="C199" s="271" t="s">
        <v>499</v>
      </c>
      <c r="D199" s="155" t="str">
        <f t="shared" si="47"/>
        <v>戊</v>
      </c>
      <c r="E199" s="49">
        <v>1957</v>
      </c>
      <c r="F199" s="279" t="s">
        <v>768</v>
      </c>
      <c r="G199" s="155"/>
      <c r="H199" s="155"/>
      <c r="I199" s="270"/>
      <c r="J199" s="271" t="s">
        <v>769</v>
      </c>
      <c r="K199" s="280" t="s">
        <v>622</v>
      </c>
      <c r="L199" s="270"/>
      <c r="M199" s="216" t="s">
        <v>770</v>
      </c>
      <c r="N199" s="216" t="s">
        <v>771</v>
      </c>
      <c r="O199" s="155" t="s">
        <v>772</v>
      </c>
      <c r="P199" s="155">
        <f>P184</f>
        <v>0</v>
      </c>
      <c r="Q199" s="155"/>
      <c r="R199" s="155"/>
      <c r="S199" s="155"/>
      <c r="T199" s="155"/>
      <c r="U199" s="158"/>
      <c r="V199" s="155"/>
      <c r="W199" s="155"/>
      <c r="X199" s="263"/>
      <c r="Y199" s="155"/>
      <c r="Z199" s="155"/>
      <c r="AA199" s="263"/>
      <c r="AB199" s="263"/>
      <c r="AC199" s="155"/>
      <c r="AD199" s="155"/>
      <c r="AE199" s="155"/>
      <c r="AF199" s="155" t="str">
        <f>IF(P184&lt;&gt;0,O141,IF(P185&lt;&gt;0,O140,"×"))</f>
        <v>丙</v>
      </c>
      <c r="AG199" s="270">
        <v>60</v>
      </c>
      <c r="AH199" s="271" t="s">
        <v>276</v>
      </c>
      <c r="AI199" s="271"/>
      <c r="AJ199" s="271" t="s">
        <v>249</v>
      </c>
      <c r="AK199" s="271" t="s">
        <v>275</v>
      </c>
      <c r="AL199" s="271" t="s">
        <v>510</v>
      </c>
      <c r="AM199" s="270">
        <v>12</v>
      </c>
      <c r="AN199" s="155" t="s">
        <v>276</v>
      </c>
      <c r="AO199" s="272"/>
      <c r="AP199" s="273" t="s">
        <v>249</v>
      </c>
      <c r="AQ199" s="273" t="s">
        <v>275</v>
      </c>
      <c r="AR199" s="155"/>
      <c r="AS199" s="155"/>
      <c r="AT199" s="155"/>
      <c r="AU199" s="155"/>
      <c r="AV199" s="155"/>
      <c r="AW199" s="155"/>
      <c r="AX199" s="155"/>
      <c r="AY199" s="155"/>
      <c r="AZ199" s="49"/>
      <c r="BA199" s="49"/>
      <c r="BB199" s="49"/>
      <c r="BC199" s="49"/>
      <c r="BD199" s="49"/>
      <c r="BE199" s="49"/>
      <c r="BF199" s="49"/>
      <c r="BG199" s="49"/>
      <c r="BH199" s="49"/>
      <c r="BI199" s="155"/>
      <c r="BJ199" s="155"/>
      <c r="BK199" s="155"/>
      <c r="BL199" s="49"/>
      <c r="BM199" s="49"/>
      <c r="BN199" s="49"/>
      <c r="BO199" s="49"/>
      <c r="BP199" s="49"/>
      <c r="BQ199" s="49">
        <v>9</v>
      </c>
      <c r="BR199" s="49"/>
      <c r="BS199" s="49"/>
      <c r="BT199" s="49" t="str">
        <f>"⑨"&amp;"天貴星"</f>
        <v>⑨天貴星</v>
      </c>
      <c r="BU199" s="49"/>
      <c r="BV199" s="49">
        <v>10</v>
      </c>
      <c r="BW199" s="274">
        <v>0</v>
      </c>
      <c r="BX199" s="274">
        <v>0</v>
      </c>
      <c r="BY199" s="274">
        <v>0</v>
      </c>
      <c r="BZ199" s="274">
        <v>0</v>
      </c>
      <c r="CA199" s="274"/>
      <c r="CB199" s="274"/>
      <c r="CC199" s="274">
        <v>0</v>
      </c>
      <c r="CD199" s="274">
        <v>0</v>
      </c>
      <c r="CE199" s="274">
        <v>0</v>
      </c>
      <c r="CF199" s="274">
        <v>0</v>
      </c>
      <c r="CG199" s="274">
        <v>0</v>
      </c>
      <c r="CH199" s="274">
        <v>1</v>
      </c>
      <c r="CI199" s="49"/>
      <c r="CJ199" s="49"/>
      <c r="CK199" s="49"/>
      <c r="CL199" s="49"/>
      <c r="CM199" s="49"/>
      <c r="CN199" s="49"/>
      <c r="CO199" s="49"/>
      <c r="CP199" s="49"/>
      <c r="CQ199" s="49"/>
      <c r="CR199" s="49"/>
      <c r="CS199" s="49"/>
      <c r="CT199" s="155"/>
      <c r="CU199" s="155"/>
      <c r="CV199" s="155"/>
      <c r="CW199" s="155"/>
      <c r="CX199" s="155"/>
      <c r="CY199" s="155"/>
      <c r="CZ199" s="155"/>
      <c r="DA199" s="155"/>
      <c r="DB199" s="155"/>
      <c r="DC199" s="155"/>
      <c r="DD199" s="155"/>
      <c r="DE199" s="155"/>
      <c r="DF199" s="155"/>
      <c r="DG199" s="155"/>
      <c r="DH199" s="155"/>
      <c r="DI199" s="155"/>
      <c r="DJ199" s="155"/>
      <c r="DK199" s="155"/>
      <c r="DL199" s="155"/>
      <c r="DM199" s="155"/>
      <c r="DN199" s="155"/>
      <c r="DO199" s="155"/>
      <c r="DP199" s="155"/>
      <c r="DQ199" s="155"/>
      <c r="DR199" s="155"/>
      <c r="DS199" s="155"/>
      <c r="DT199" s="155"/>
      <c r="DU199" s="155"/>
      <c r="DV199" s="155"/>
      <c r="DW199" s="155"/>
      <c r="DX199" s="155"/>
    </row>
    <row r="200" spans="1:128" ht="18" customHeight="1">
      <c r="A200" s="271" t="str">
        <f t="shared" si="46"/>
        <v>車騎星癸</v>
      </c>
      <c r="B200" s="271" t="s">
        <v>773</v>
      </c>
      <c r="C200" s="271" t="s">
        <v>499</v>
      </c>
      <c r="D200" s="155" t="str">
        <f t="shared" si="47"/>
        <v>己</v>
      </c>
      <c r="E200" s="49">
        <v>1958</v>
      </c>
      <c r="F200" s="279" t="s">
        <v>599</v>
      </c>
      <c r="G200" s="155"/>
      <c r="H200" s="155"/>
      <c r="I200" s="270"/>
      <c r="J200" s="271" t="s">
        <v>774</v>
      </c>
      <c r="K200" s="280" t="s">
        <v>622</v>
      </c>
      <c r="L200" s="270"/>
      <c r="M200" s="49" t="s">
        <v>473</v>
      </c>
      <c r="N200" s="216" t="s">
        <v>775</v>
      </c>
      <c r="O200" s="155" t="s">
        <v>776</v>
      </c>
      <c r="P200" s="155">
        <f>P187</f>
        <v>1</v>
      </c>
      <c r="Q200" s="155"/>
      <c r="R200" s="155"/>
      <c r="S200" s="155"/>
      <c r="T200" s="155"/>
      <c r="U200" s="158"/>
      <c r="V200" s="155"/>
      <c r="W200" s="155"/>
      <c r="X200" s="263"/>
      <c r="Y200" s="155"/>
      <c r="Z200" s="155"/>
      <c r="AA200" s="263"/>
      <c r="AB200" s="263"/>
      <c r="AC200" s="155"/>
      <c r="AD200" s="155"/>
      <c r="AE200" s="155"/>
      <c r="AF200" s="155" t="str">
        <f>IF(P187&lt;&gt;0,O142,IF(P186&lt;&gt;0,O143,"×"))</f>
        <v>戊</v>
      </c>
      <c r="AG200" s="155"/>
      <c r="AH200" s="155"/>
      <c r="AI200" s="155"/>
      <c r="AJ200" s="155"/>
      <c r="AK200" s="155"/>
      <c r="AL200" s="155"/>
      <c r="AM200" s="155"/>
      <c r="AN200" s="155"/>
      <c r="AO200" s="155"/>
      <c r="AP200" s="49"/>
      <c r="AQ200" s="49"/>
      <c r="AR200" s="155"/>
      <c r="AS200" s="155"/>
      <c r="AT200" s="155"/>
      <c r="AU200" s="155"/>
      <c r="AV200" s="155"/>
      <c r="AW200" s="155"/>
      <c r="AX200" s="155"/>
      <c r="AY200" s="155"/>
      <c r="AZ200" s="49"/>
      <c r="BA200" s="49"/>
      <c r="BB200" s="49"/>
      <c r="BC200" s="49"/>
      <c r="BD200" s="49"/>
      <c r="BE200" s="49"/>
      <c r="BF200" s="49"/>
      <c r="BG200" s="49"/>
      <c r="BH200" s="49"/>
      <c r="BI200" s="155"/>
      <c r="BJ200" s="155"/>
      <c r="BK200" s="155"/>
      <c r="BL200" s="49"/>
      <c r="BM200" s="49"/>
      <c r="BN200" s="49"/>
      <c r="BO200" s="49"/>
      <c r="BP200" s="49"/>
      <c r="BQ200" s="49">
        <v>10</v>
      </c>
      <c r="BR200" s="49"/>
      <c r="BS200" s="49"/>
      <c r="BT200" s="49" t="str">
        <f>"⑩"&amp;"天南星"</f>
        <v>⑩天南星</v>
      </c>
      <c r="BU200" s="49"/>
      <c r="BV200" s="49"/>
      <c r="BW200" s="49"/>
      <c r="BX200" s="49"/>
      <c r="BY200" s="49"/>
      <c r="BZ200" s="49"/>
      <c r="CA200" s="49"/>
      <c r="CB200" s="49"/>
      <c r="CC200" s="49"/>
      <c r="CD200" s="49"/>
      <c r="CE200" s="49"/>
      <c r="CF200" s="49"/>
      <c r="CG200" s="49"/>
      <c r="CH200" s="49"/>
      <c r="CI200" s="49"/>
      <c r="CJ200" s="49"/>
      <c r="CK200" s="49"/>
      <c r="CL200" s="49"/>
      <c r="CM200" s="49"/>
      <c r="CN200" s="49"/>
      <c r="CO200" s="49"/>
      <c r="CP200" s="49"/>
      <c r="CQ200" s="49"/>
      <c r="CR200" s="49"/>
      <c r="CS200" s="49"/>
      <c r="CT200" s="155"/>
      <c r="CU200" s="155"/>
      <c r="CV200" s="155"/>
      <c r="CW200" s="155"/>
      <c r="CX200" s="155"/>
      <c r="CY200" s="155"/>
      <c r="CZ200" s="155"/>
      <c r="DA200" s="155"/>
      <c r="DB200" s="155"/>
      <c r="DC200" s="155"/>
      <c r="DD200" s="155"/>
      <c r="DE200" s="155"/>
      <c r="DF200" s="155"/>
      <c r="DG200" s="155"/>
      <c r="DH200" s="155"/>
      <c r="DI200" s="155"/>
      <c r="DJ200" s="155"/>
      <c r="DK200" s="155"/>
      <c r="DL200" s="155"/>
      <c r="DM200" s="155"/>
      <c r="DN200" s="155"/>
      <c r="DO200" s="155"/>
      <c r="DP200" s="155"/>
      <c r="DQ200" s="155"/>
      <c r="DR200" s="155"/>
      <c r="DS200" s="155"/>
      <c r="DT200" s="155"/>
      <c r="DU200" s="155"/>
      <c r="DV200" s="155"/>
      <c r="DW200" s="155"/>
      <c r="DX200" s="155"/>
    </row>
    <row r="201" spans="1:128" ht="18" customHeight="1">
      <c r="A201" s="271" t="str">
        <f t="shared" si="46"/>
        <v>車騎星戊</v>
      </c>
      <c r="B201" s="271" t="s">
        <v>777</v>
      </c>
      <c r="C201" s="271" t="s">
        <v>499</v>
      </c>
      <c r="D201" s="155" t="str">
        <f t="shared" si="47"/>
        <v>甲</v>
      </c>
      <c r="E201" s="49">
        <v>1959</v>
      </c>
      <c r="F201" s="279" t="s">
        <v>461</v>
      </c>
      <c r="G201" s="155"/>
      <c r="H201" s="155"/>
      <c r="I201" s="270"/>
      <c r="J201" s="271" t="s">
        <v>778</v>
      </c>
      <c r="K201" s="280" t="s">
        <v>645</v>
      </c>
      <c r="L201" s="270"/>
      <c r="M201" s="49" t="s">
        <v>779</v>
      </c>
      <c r="N201" s="216" t="s">
        <v>780</v>
      </c>
      <c r="O201" s="155" t="s">
        <v>781</v>
      </c>
      <c r="P201" s="270">
        <v>0</v>
      </c>
      <c r="Q201" s="270"/>
      <c r="R201" s="270"/>
      <c r="S201" s="270"/>
      <c r="T201" s="155"/>
      <c r="U201" s="158"/>
      <c r="V201" s="155"/>
      <c r="W201" s="155"/>
      <c r="X201" s="263"/>
      <c r="Y201" s="155"/>
      <c r="Z201" s="155"/>
      <c r="AA201" s="263"/>
      <c r="AB201" s="263"/>
      <c r="AC201" s="155"/>
      <c r="AD201" s="155"/>
      <c r="AE201" s="155"/>
      <c r="AF201" s="155" t="str">
        <f>"×"</f>
        <v>×</v>
      </c>
      <c r="AG201" s="155"/>
      <c r="AH201" s="155"/>
      <c r="AI201" s="155"/>
      <c r="AJ201" s="155"/>
      <c r="AK201" s="155"/>
      <c r="AL201" s="155"/>
      <c r="AM201" s="155"/>
      <c r="AN201" s="155"/>
      <c r="AO201" s="155"/>
      <c r="AP201" s="49"/>
      <c r="AQ201" s="49"/>
      <c r="AR201" s="270"/>
      <c r="AS201" s="270"/>
      <c r="AT201" s="270"/>
      <c r="AU201" s="155"/>
      <c r="AV201" s="155"/>
      <c r="AW201" s="155"/>
      <c r="AX201" s="155"/>
      <c r="AY201" s="155"/>
      <c r="AZ201" s="49"/>
      <c r="BA201" s="49"/>
      <c r="BB201" s="49"/>
      <c r="BC201" s="49"/>
      <c r="BD201" s="49"/>
      <c r="BE201" s="49"/>
      <c r="BF201" s="49"/>
      <c r="BG201" s="49"/>
      <c r="BH201" s="49"/>
      <c r="BI201" s="270"/>
      <c r="BJ201" s="270"/>
      <c r="BK201" s="270"/>
      <c r="BL201" s="49"/>
      <c r="BM201" s="49"/>
      <c r="BN201" s="49"/>
      <c r="BO201" s="49"/>
      <c r="BP201" s="49"/>
      <c r="BQ201" s="49">
        <v>11</v>
      </c>
      <c r="BR201" s="49"/>
      <c r="BS201" s="49"/>
      <c r="BT201" s="49" t="str">
        <f>"⑪"&amp;"天禄星"</f>
        <v>⑪天禄星</v>
      </c>
      <c r="BU201" s="49"/>
      <c r="BV201" s="49"/>
      <c r="BW201" s="49"/>
      <c r="BX201" s="49"/>
      <c r="BY201" s="49"/>
      <c r="BZ201" s="49"/>
      <c r="CA201" s="49"/>
      <c r="CB201" s="49"/>
      <c r="CC201" s="49"/>
      <c r="CD201" s="49"/>
      <c r="CE201" s="49"/>
      <c r="CF201" s="49"/>
      <c r="CG201" s="49"/>
      <c r="CH201" s="49"/>
      <c r="CI201" s="49"/>
      <c r="CJ201" s="49"/>
      <c r="CK201" s="49"/>
      <c r="CL201" s="49"/>
      <c r="CM201" s="49"/>
      <c r="CN201" s="49"/>
      <c r="CO201" s="49"/>
      <c r="CP201" s="49"/>
      <c r="CQ201" s="49"/>
      <c r="CR201" s="49"/>
      <c r="CS201" s="49"/>
      <c r="CT201" s="155"/>
      <c r="CU201" s="155"/>
      <c r="CV201" s="155"/>
      <c r="CW201" s="155"/>
      <c r="CX201" s="155"/>
      <c r="CY201" s="155"/>
      <c r="CZ201" s="155"/>
      <c r="DA201" s="155"/>
      <c r="DB201" s="155"/>
      <c r="DC201" s="155"/>
      <c r="DD201" s="155"/>
      <c r="DE201" s="155"/>
      <c r="DF201" s="155"/>
      <c r="DG201" s="155"/>
      <c r="DH201" s="155"/>
      <c r="DI201" s="155"/>
      <c r="DJ201" s="155"/>
      <c r="DK201" s="155"/>
      <c r="DL201" s="155"/>
      <c r="DM201" s="155"/>
      <c r="DN201" s="155"/>
      <c r="DO201" s="155"/>
      <c r="DP201" s="155"/>
      <c r="DQ201" s="155"/>
      <c r="DR201" s="155"/>
      <c r="DS201" s="155"/>
      <c r="DT201" s="155"/>
      <c r="DU201" s="155"/>
      <c r="DV201" s="155"/>
      <c r="DW201" s="155"/>
      <c r="DX201" s="155"/>
    </row>
    <row r="202" spans="1:128" ht="18" customHeight="1">
      <c r="A202" s="271" t="str">
        <f t="shared" si="46"/>
        <v>車騎星己</v>
      </c>
      <c r="B202" s="271" t="s">
        <v>782</v>
      </c>
      <c r="C202" s="271" t="s">
        <v>499</v>
      </c>
      <c r="D202" s="155" t="str">
        <f t="shared" si="47"/>
        <v>乙</v>
      </c>
      <c r="E202" s="49">
        <v>1960</v>
      </c>
      <c r="F202" s="279" t="s">
        <v>762</v>
      </c>
      <c r="G202" s="155"/>
      <c r="H202" s="155"/>
      <c r="I202" s="270"/>
      <c r="J202" s="271" t="s">
        <v>783</v>
      </c>
      <c r="K202" s="280" t="s">
        <v>660</v>
      </c>
      <c r="L202" s="270"/>
      <c r="M202" s="49" t="s">
        <v>784</v>
      </c>
      <c r="N202" s="216" t="s">
        <v>785</v>
      </c>
      <c r="O202" s="155"/>
      <c r="P202" s="155"/>
      <c r="Q202" s="155"/>
      <c r="R202" s="155"/>
      <c r="S202" s="155"/>
      <c r="T202" s="155"/>
      <c r="U202" s="158"/>
      <c r="V202" s="155"/>
      <c r="W202" s="155"/>
      <c r="X202" s="263"/>
      <c r="Y202" s="155"/>
      <c r="Z202" s="155"/>
      <c r="AA202" s="263"/>
      <c r="AB202" s="263"/>
      <c r="AC202" s="155"/>
      <c r="AD202" s="155"/>
      <c r="AE202" s="155"/>
      <c r="AF202" s="155"/>
      <c r="AG202" s="239"/>
      <c r="AH202" s="239" t="s">
        <v>786</v>
      </c>
      <c r="AI202" s="239" t="s">
        <v>455</v>
      </c>
      <c r="AJ202" s="155"/>
      <c r="AK202" s="155"/>
      <c r="AL202" s="155">
        <f>VLOOKUP(F7,AL204:AO215,4,FALSE)</f>
        <v>3</v>
      </c>
      <c r="AM202" s="155">
        <f>VLOOKUP(G7,AL204:AO215,4,FALSE)</f>
        <v>3</v>
      </c>
      <c r="AN202" s="155">
        <f>VLOOKUP(H7,AL204:AO215,4,FALSE)</f>
        <v>3</v>
      </c>
      <c r="AO202" s="155"/>
      <c r="AP202" s="49"/>
      <c r="AQ202" s="49"/>
      <c r="AR202" s="155"/>
      <c r="AS202" s="155"/>
      <c r="AT202" s="155"/>
      <c r="AU202" s="155"/>
      <c r="AV202" s="155"/>
      <c r="AW202" s="155"/>
      <c r="AX202" s="155"/>
      <c r="AY202" s="155"/>
      <c r="AZ202" s="49"/>
      <c r="BA202" s="49"/>
      <c r="BB202" s="49"/>
      <c r="BC202" s="49"/>
      <c r="BD202" s="49"/>
      <c r="BE202" s="49"/>
      <c r="BF202" s="49"/>
      <c r="BG202" s="49"/>
      <c r="BH202" s="49"/>
      <c r="BI202" s="155"/>
      <c r="BJ202" s="155"/>
      <c r="BK202" s="155"/>
      <c r="BL202" s="49"/>
      <c r="BM202" s="49"/>
      <c r="BN202" s="49"/>
      <c r="BO202" s="49"/>
      <c r="BP202" s="49"/>
      <c r="BQ202" s="49">
        <v>12</v>
      </c>
      <c r="BR202" s="49"/>
      <c r="BS202" s="49"/>
      <c r="BT202" s="49" t="str">
        <f>"⑫"&amp;"天将星"</f>
        <v>⑫天将星</v>
      </c>
      <c r="BU202" s="49"/>
      <c r="BV202" s="49"/>
      <c r="BW202" s="49"/>
      <c r="BX202" s="49"/>
      <c r="BY202" s="49"/>
      <c r="BZ202" s="49"/>
      <c r="CA202" s="49"/>
      <c r="CB202" s="49"/>
      <c r="CC202" s="49"/>
      <c r="CD202" s="49"/>
      <c r="CE202" s="49"/>
      <c r="CF202" s="49"/>
      <c r="CG202" s="49"/>
      <c r="CH202" s="49"/>
      <c r="CI202" s="49"/>
      <c r="CJ202" s="49"/>
      <c r="CK202" s="49"/>
      <c r="CL202" s="49"/>
      <c r="CM202" s="49"/>
      <c r="CN202" s="49"/>
      <c r="CO202" s="49"/>
      <c r="CP202" s="49"/>
      <c r="CQ202" s="49"/>
      <c r="CR202" s="49"/>
      <c r="CS202" s="49"/>
      <c r="CT202" s="155"/>
      <c r="CU202" s="155"/>
      <c r="CV202" s="155"/>
      <c r="CW202" s="155"/>
      <c r="CX202" s="155"/>
      <c r="CY202" s="155"/>
      <c r="CZ202" s="155"/>
      <c r="DA202" s="155"/>
      <c r="DB202" s="155"/>
      <c r="DC202" s="155"/>
      <c r="DD202" s="155"/>
      <c r="DE202" s="155"/>
      <c r="DF202" s="155"/>
      <c r="DG202" s="155"/>
      <c r="DH202" s="155"/>
      <c r="DI202" s="155"/>
      <c r="DJ202" s="155"/>
      <c r="DK202" s="155"/>
      <c r="DL202" s="155"/>
      <c r="DM202" s="155"/>
      <c r="DN202" s="155"/>
      <c r="DO202" s="155"/>
      <c r="DP202" s="155"/>
      <c r="DQ202" s="155"/>
      <c r="DR202" s="155"/>
      <c r="DS202" s="155"/>
      <c r="DT202" s="155"/>
      <c r="DU202" s="155"/>
      <c r="DV202" s="155"/>
      <c r="DW202" s="155"/>
      <c r="DX202" s="155"/>
    </row>
    <row r="203" spans="1:128" ht="18" customHeight="1">
      <c r="A203" s="271" t="str">
        <f t="shared" si="46"/>
        <v>車騎星甲</v>
      </c>
      <c r="B203" s="271" t="s">
        <v>787</v>
      </c>
      <c r="C203" s="271" t="s">
        <v>499</v>
      </c>
      <c r="D203" s="155" t="str">
        <f t="shared" si="47"/>
        <v>庚</v>
      </c>
      <c r="E203" s="49">
        <v>1961</v>
      </c>
      <c r="F203" s="279" t="s">
        <v>768</v>
      </c>
      <c r="G203" s="155"/>
      <c r="H203" s="155"/>
      <c r="I203" s="270"/>
      <c r="J203" s="271" t="s">
        <v>788</v>
      </c>
      <c r="K203" s="280" t="s">
        <v>660</v>
      </c>
      <c r="L203" s="270"/>
      <c r="M203" s="49" t="s">
        <v>789</v>
      </c>
      <c r="N203" s="216" t="s">
        <v>490</v>
      </c>
      <c r="O203" s="155" t="s">
        <v>790</v>
      </c>
      <c r="P203" s="155">
        <f>IF(O141=F7,P141-1,P141)</f>
        <v>0</v>
      </c>
      <c r="Q203" s="155"/>
      <c r="R203" s="155"/>
      <c r="S203" s="155"/>
      <c r="T203" s="155" t="s">
        <v>791</v>
      </c>
      <c r="U203" s="158" t="s">
        <v>792</v>
      </c>
      <c r="V203" s="155"/>
      <c r="W203" s="155" t="s">
        <v>793</v>
      </c>
      <c r="X203" s="263"/>
      <c r="Y203" s="155"/>
      <c r="Z203" s="155"/>
      <c r="AA203" s="263"/>
      <c r="AB203" s="263"/>
      <c r="AC203" s="155"/>
      <c r="AD203" s="155"/>
      <c r="AE203" s="155"/>
      <c r="AF203" s="155" t="str">
        <f>IF(P203&lt;&gt;0,O141,IF(P204&lt;&gt;0,O140,G6))</f>
        <v>丙</v>
      </c>
      <c r="AG203" s="271"/>
      <c r="AH203" s="271" t="s">
        <v>611</v>
      </c>
      <c r="AI203" s="270">
        <v>9</v>
      </c>
      <c r="AJ203" s="155"/>
      <c r="AK203" s="155"/>
      <c r="AL203" s="239" t="s">
        <v>786</v>
      </c>
      <c r="AM203" s="239" t="s">
        <v>794</v>
      </c>
      <c r="AN203" s="239" t="s">
        <v>795</v>
      </c>
      <c r="AO203" s="155"/>
      <c r="AP203" s="49"/>
      <c r="AQ203" s="49"/>
      <c r="AR203" s="155"/>
      <c r="AS203" s="155"/>
      <c r="AT203" s="155"/>
      <c r="AU203" s="155"/>
      <c r="AV203" s="155"/>
      <c r="AW203" s="155"/>
      <c r="AX203" s="155"/>
      <c r="AY203" s="155"/>
      <c r="AZ203" s="49"/>
      <c r="BA203" s="49"/>
      <c r="BB203" s="49"/>
      <c r="BC203" s="49"/>
      <c r="BD203" s="49"/>
      <c r="BE203" s="49"/>
      <c r="BF203" s="49"/>
      <c r="BG203" s="49"/>
      <c r="BH203" s="49"/>
      <c r="BI203" s="155"/>
      <c r="BJ203" s="155"/>
      <c r="BK203" s="155"/>
      <c r="BL203" s="49"/>
      <c r="BM203" s="49"/>
      <c r="BN203" s="49"/>
      <c r="BO203" s="49"/>
      <c r="BP203" s="49"/>
      <c r="BQ203" s="49"/>
      <c r="BR203" s="49"/>
      <c r="BS203" s="49"/>
      <c r="BT203" s="49"/>
      <c r="BU203" s="49"/>
      <c r="BV203" s="49"/>
      <c r="BW203" s="85" t="s">
        <v>796</v>
      </c>
      <c r="BX203" s="85" t="s">
        <v>198</v>
      </c>
      <c r="BY203" s="239"/>
      <c r="BZ203" s="239" t="s">
        <v>797</v>
      </c>
      <c r="CA203" s="239"/>
      <c r="CB203" s="239"/>
      <c r="CC203" s="239" t="s">
        <v>798</v>
      </c>
      <c r="CD203" s="239" t="s">
        <v>799</v>
      </c>
      <c r="CE203" s="239" t="s">
        <v>800</v>
      </c>
      <c r="CF203" s="239" t="s">
        <v>801</v>
      </c>
      <c r="CG203" s="239" t="s">
        <v>802</v>
      </c>
      <c r="CH203" s="239" t="s">
        <v>444</v>
      </c>
      <c r="CI203" s="239" t="s">
        <v>803</v>
      </c>
      <c r="CJ203" s="239" t="s">
        <v>804</v>
      </c>
      <c r="CK203" s="239" t="s">
        <v>805</v>
      </c>
      <c r="CL203" s="239" t="s">
        <v>806</v>
      </c>
      <c r="CM203" s="239" t="s">
        <v>807</v>
      </c>
      <c r="CN203" s="239" t="s">
        <v>808</v>
      </c>
      <c r="CO203" s="239" t="s">
        <v>809</v>
      </c>
      <c r="CP203" s="239" t="s">
        <v>810</v>
      </c>
      <c r="CQ203" s="239" t="s">
        <v>811</v>
      </c>
      <c r="CR203" s="239" t="s">
        <v>812</v>
      </c>
      <c r="CS203" s="239" t="s">
        <v>813</v>
      </c>
      <c r="CT203" s="239" t="s">
        <v>814</v>
      </c>
      <c r="CU203" s="239" t="s">
        <v>815</v>
      </c>
      <c r="CV203" s="239" t="s">
        <v>816</v>
      </c>
      <c r="CW203" s="239" t="s">
        <v>817</v>
      </c>
      <c r="CX203" s="155" t="s">
        <v>818</v>
      </c>
      <c r="CY203" s="155" t="s">
        <v>819</v>
      </c>
      <c r="CZ203" s="155" t="s">
        <v>820</v>
      </c>
      <c r="DA203" s="155" t="s">
        <v>821</v>
      </c>
      <c r="DB203" s="155" t="s">
        <v>822</v>
      </c>
      <c r="DC203" s="155" t="s">
        <v>791</v>
      </c>
      <c r="DD203" s="155" t="s">
        <v>792</v>
      </c>
      <c r="DE203" s="155" t="s">
        <v>793</v>
      </c>
      <c r="DF203" s="155"/>
      <c r="DG203" s="155"/>
      <c r="DH203" s="155"/>
      <c r="DI203" s="155"/>
      <c r="DJ203" s="155"/>
      <c r="DK203" s="155"/>
      <c r="DL203" s="155"/>
      <c r="DM203" s="155"/>
      <c r="DN203" s="155"/>
      <c r="DO203" s="155"/>
      <c r="DP203" s="155"/>
      <c r="DQ203" s="155"/>
      <c r="DR203" s="155"/>
      <c r="DS203" s="155"/>
      <c r="DT203" s="155"/>
      <c r="DU203" s="155"/>
      <c r="DV203" s="155"/>
      <c r="DW203" s="155"/>
      <c r="DX203" s="155"/>
    </row>
    <row r="204" spans="1:128" ht="18" customHeight="1">
      <c r="A204" s="271" t="str">
        <f t="shared" si="46"/>
        <v>車騎星乙</v>
      </c>
      <c r="B204" s="271" t="s">
        <v>823</v>
      </c>
      <c r="C204" s="271" t="s">
        <v>499</v>
      </c>
      <c r="D204" s="155" t="str">
        <f t="shared" si="47"/>
        <v>辛</v>
      </c>
      <c r="E204" s="49">
        <v>1962</v>
      </c>
      <c r="F204" s="279" t="s">
        <v>643</v>
      </c>
      <c r="G204" s="155"/>
      <c r="H204" s="155"/>
      <c r="I204" s="270"/>
      <c r="J204" s="271" t="s">
        <v>824</v>
      </c>
      <c r="K204" s="280" t="s">
        <v>645</v>
      </c>
      <c r="L204" s="270"/>
      <c r="M204" s="49" t="s">
        <v>825</v>
      </c>
      <c r="N204" s="216" t="s">
        <v>496</v>
      </c>
      <c r="O204" s="155" t="s">
        <v>826</v>
      </c>
      <c r="P204" s="155">
        <f>IF(O140=F7,P140-1,P140)</f>
        <v>1</v>
      </c>
      <c r="Q204" s="155"/>
      <c r="R204" s="155"/>
      <c r="S204" s="155"/>
      <c r="T204" s="155" t="str">
        <f>F204</f>
        <v>646566788987</v>
      </c>
      <c r="U204" s="158" t="str">
        <f>C204</f>
        <v>車騎星</v>
      </c>
      <c r="V204" s="155"/>
      <c r="W204" s="155" t="str">
        <f>D204</f>
        <v>辛</v>
      </c>
      <c r="X204" s="263"/>
      <c r="Y204" s="155"/>
      <c r="Z204" s="155"/>
      <c r="AA204" s="263"/>
      <c r="AB204" s="263"/>
      <c r="AC204" s="155"/>
      <c r="AD204" s="155"/>
      <c r="AE204" s="155"/>
      <c r="AF204" s="155" t="str">
        <f>IF(P204&lt;&gt;0,O140,IF(P203&lt;&gt;0,O141,G6))</f>
        <v>丙</v>
      </c>
      <c r="AG204" s="271"/>
      <c r="AH204" s="271" t="s">
        <v>617</v>
      </c>
      <c r="AI204" s="270">
        <v>7</v>
      </c>
      <c r="AJ204" s="155"/>
      <c r="AK204" s="155"/>
      <c r="AL204" s="271" t="s">
        <v>510</v>
      </c>
      <c r="AM204" s="270">
        <v>0</v>
      </c>
      <c r="AN204" s="270">
        <v>12</v>
      </c>
      <c r="AO204" s="155">
        <f>IF(K141&lt;0,3,IF(K141&lt;13,2,3))</f>
        <v>3</v>
      </c>
      <c r="AP204" s="49"/>
      <c r="AQ204" s="49"/>
      <c r="AR204" s="155"/>
      <c r="AS204" s="155"/>
      <c r="AT204" s="155"/>
      <c r="AU204" s="155"/>
      <c r="AV204" s="155"/>
      <c r="AW204" s="155"/>
      <c r="AX204" s="155"/>
      <c r="AY204" s="155"/>
      <c r="AZ204" s="49"/>
      <c r="BA204" s="49"/>
      <c r="BB204" s="49"/>
      <c r="BC204" s="49"/>
      <c r="BD204" s="49"/>
      <c r="BE204" s="49"/>
      <c r="BF204" s="49"/>
      <c r="BG204" s="49"/>
      <c r="BH204" s="49"/>
      <c r="BI204" s="155"/>
      <c r="BJ204" s="155"/>
      <c r="BK204" s="155"/>
      <c r="BL204" s="49"/>
      <c r="BM204" s="49"/>
      <c r="BN204" s="49"/>
      <c r="BO204" s="49"/>
      <c r="BP204" s="49"/>
      <c r="BQ204" s="49"/>
      <c r="BR204" s="49"/>
      <c r="BS204" s="49"/>
      <c r="BT204" s="49"/>
      <c r="BU204" s="49"/>
      <c r="BV204" s="49"/>
      <c r="BW204" s="275" t="s">
        <v>249</v>
      </c>
      <c r="BX204" s="275" t="s">
        <v>200</v>
      </c>
      <c r="BY204" s="271" t="str">
        <f t="shared" ref="BY204:BY223" si="48">BW204&amp;BX204</f>
        <v>甲男</v>
      </c>
      <c r="BZ204" s="271" t="s">
        <v>276</v>
      </c>
      <c r="CA204" s="271"/>
      <c r="CB204" s="271"/>
      <c r="CC204" s="271" t="s">
        <v>267</v>
      </c>
      <c r="CD204" s="271" t="s">
        <v>273</v>
      </c>
      <c r="CE204" s="271" t="s">
        <v>255</v>
      </c>
      <c r="CF204" s="271" t="s">
        <v>263</v>
      </c>
      <c r="CG204" s="271" t="s">
        <v>275</v>
      </c>
      <c r="CH204" s="271" t="s">
        <v>271</v>
      </c>
      <c r="CI204" s="271" t="s">
        <v>259</v>
      </c>
      <c r="CJ204" s="271" t="s">
        <v>274</v>
      </c>
      <c r="CK204" s="271" t="s">
        <v>273</v>
      </c>
      <c r="CL204" s="271" t="s">
        <v>255</v>
      </c>
      <c r="CM204" s="271" t="s">
        <v>275</v>
      </c>
      <c r="CN204" s="271" t="s">
        <v>263</v>
      </c>
      <c r="CO204" s="271" t="s">
        <v>274</v>
      </c>
      <c r="CP204" s="271" t="s">
        <v>259</v>
      </c>
      <c r="CQ204" s="271" t="s">
        <v>249</v>
      </c>
      <c r="CR204" s="271" t="s">
        <v>271</v>
      </c>
      <c r="CS204" s="271" t="s">
        <v>267</v>
      </c>
      <c r="CT204" s="271" t="s">
        <v>263</v>
      </c>
      <c r="CU204" s="271" t="s">
        <v>275</v>
      </c>
      <c r="CV204" s="271" t="s">
        <v>274</v>
      </c>
      <c r="CW204" s="271" t="s">
        <v>259</v>
      </c>
      <c r="CX204" s="155" t="str">
        <f>CH204</f>
        <v>己</v>
      </c>
      <c r="CY204" s="155" t="str">
        <f>CQ204</f>
        <v>甲</v>
      </c>
      <c r="CZ204" s="155" t="str">
        <f>CG204</f>
        <v>壬</v>
      </c>
      <c r="DA204" s="155" t="str">
        <f>CF204</f>
        <v>丁</v>
      </c>
      <c r="DB204" s="155" t="str">
        <f>CQ204</f>
        <v>甲</v>
      </c>
      <c r="DC204" s="155" t="str">
        <f>CR204</f>
        <v>己</v>
      </c>
      <c r="DD204" s="155" t="str">
        <f>CO204</f>
        <v>辛</v>
      </c>
      <c r="DE204" s="155" t="str">
        <f>CP204</f>
        <v>丙</v>
      </c>
      <c r="DF204" s="155"/>
      <c r="DG204" s="155"/>
      <c r="DH204" s="155"/>
      <c r="DI204" s="155"/>
      <c r="DJ204" s="155"/>
      <c r="DK204" s="155"/>
      <c r="DL204" s="155"/>
      <c r="DM204" s="155"/>
      <c r="DN204" s="155"/>
      <c r="DO204" s="155"/>
      <c r="DP204" s="155"/>
      <c r="DQ204" s="155"/>
      <c r="DR204" s="155"/>
      <c r="DS204" s="155"/>
      <c r="DT204" s="155"/>
      <c r="DU204" s="155"/>
      <c r="DV204" s="155"/>
      <c r="DW204" s="155"/>
      <c r="DX204" s="155"/>
    </row>
    <row r="205" spans="1:128" ht="18" customHeight="1">
      <c r="A205" s="271" t="str">
        <f t="shared" si="46"/>
        <v>調舒星丙</v>
      </c>
      <c r="B205" s="271" t="s">
        <v>827</v>
      </c>
      <c r="C205" s="271" t="s">
        <v>435</v>
      </c>
      <c r="D205" s="155" t="str">
        <f t="shared" si="47"/>
        <v>己</v>
      </c>
      <c r="E205" s="49">
        <v>1963</v>
      </c>
      <c r="F205" s="279" t="s">
        <v>461</v>
      </c>
      <c r="G205" s="155"/>
      <c r="H205" s="155"/>
      <c r="I205" s="270"/>
      <c r="J205" s="271" t="s">
        <v>828</v>
      </c>
      <c r="K205" s="155" t="s">
        <v>612</v>
      </c>
      <c r="L205" s="270"/>
      <c r="M205" s="49" t="s">
        <v>829</v>
      </c>
      <c r="N205" s="216" t="s">
        <v>830</v>
      </c>
      <c r="O205" s="155" t="s">
        <v>831</v>
      </c>
      <c r="P205" s="155">
        <f>IF(O143=F7,P143-1,P143)</f>
        <v>0</v>
      </c>
      <c r="Q205" s="155"/>
      <c r="R205" s="155"/>
      <c r="S205" s="155"/>
      <c r="T205" s="155" t="str">
        <f>F205</f>
        <v>646566888988</v>
      </c>
      <c r="U205" s="158" t="str">
        <f>C205</f>
        <v>調舒星</v>
      </c>
      <c r="V205" s="155"/>
      <c r="W205" s="155" t="str">
        <f>D205</f>
        <v>己</v>
      </c>
      <c r="X205" s="263"/>
      <c r="Y205" s="155"/>
      <c r="Z205" s="155"/>
      <c r="AA205" s="263"/>
      <c r="AB205" s="263"/>
      <c r="AC205" s="155"/>
      <c r="AD205" s="155"/>
      <c r="AE205" s="155"/>
      <c r="AF205" s="155" t="str">
        <f>IF(P205&lt;&gt;0,O143,IF(P206&lt;&gt;0,O142,G6))</f>
        <v>戊</v>
      </c>
      <c r="AG205" s="271"/>
      <c r="AH205" s="271" t="s">
        <v>621</v>
      </c>
      <c r="AI205" s="270">
        <v>10</v>
      </c>
      <c r="AJ205" s="155"/>
      <c r="AK205" s="155"/>
      <c r="AL205" s="271" t="s">
        <v>464</v>
      </c>
      <c r="AM205" s="270">
        <v>0</v>
      </c>
      <c r="AN205" s="270">
        <v>0</v>
      </c>
      <c r="AO205" s="155">
        <f>3</f>
        <v>3</v>
      </c>
      <c r="AP205" s="49"/>
      <c r="AQ205" s="49"/>
      <c r="AR205" s="155"/>
      <c r="AS205" s="155"/>
      <c r="AT205" s="155"/>
      <c r="AU205" s="155"/>
      <c r="AV205" s="155"/>
      <c r="AW205" s="155"/>
      <c r="AX205" s="155"/>
      <c r="AY205" s="155"/>
      <c r="AZ205" s="49"/>
      <c r="BA205" s="49"/>
      <c r="BB205" s="49"/>
      <c r="BC205" s="49"/>
      <c r="BD205" s="49"/>
      <c r="BE205" s="49"/>
      <c r="BF205" s="49"/>
      <c r="BG205" s="49"/>
      <c r="BH205" s="49"/>
      <c r="BI205" s="155"/>
      <c r="BJ205" s="155"/>
      <c r="BK205" s="155"/>
      <c r="BL205" s="49"/>
      <c r="BM205" s="49"/>
      <c r="BN205" s="49"/>
      <c r="BO205" s="49"/>
      <c r="BP205" s="49"/>
      <c r="BQ205" s="49"/>
      <c r="BR205" s="49"/>
      <c r="BS205" s="49"/>
      <c r="BT205" s="49"/>
      <c r="BU205" s="49"/>
      <c r="BV205" s="49"/>
      <c r="BW205" s="275" t="s">
        <v>249</v>
      </c>
      <c r="BX205" s="275" t="s">
        <v>407</v>
      </c>
      <c r="BY205" s="271" t="str">
        <f t="shared" si="48"/>
        <v>甲女</v>
      </c>
      <c r="BZ205" s="271" t="s">
        <v>276</v>
      </c>
      <c r="CA205" s="271"/>
      <c r="CB205" s="271"/>
      <c r="CC205" s="271" t="s">
        <v>267</v>
      </c>
      <c r="CD205" s="271" t="s">
        <v>273</v>
      </c>
      <c r="CE205" s="271" t="s">
        <v>255</v>
      </c>
      <c r="CF205" s="271" t="s">
        <v>263</v>
      </c>
      <c r="CG205" s="271" t="s">
        <v>275</v>
      </c>
      <c r="CH205" s="271" t="s">
        <v>271</v>
      </c>
      <c r="CI205" s="271" t="s">
        <v>259</v>
      </c>
      <c r="CJ205" s="271" t="s">
        <v>274</v>
      </c>
      <c r="CK205" s="271" t="s">
        <v>263</v>
      </c>
      <c r="CL205" s="271" t="s">
        <v>275</v>
      </c>
      <c r="CM205" s="271" t="s">
        <v>275</v>
      </c>
      <c r="CN205" s="271" t="s">
        <v>263</v>
      </c>
      <c r="CO205" s="271" t="s">
        <v>274</v>
      </c>
      <c r="CP205" s="271" t="s">
        <v>259</v>
      </c>
      <c r="CQ205" s="271" t="s">
        <v>249</v>
      </c>
      <c r="CR205" s="271" t="s">
        <v>271</v>
      </c>
      <c r="CS205" s="271" t="s">
        <v>267</v>
      </c>
      <c r="CT205" s="271" t="s">
        <v>263</v>
      </c>
      <c r="CU205" s="271" t="s">
        <v>275</v>
      </c>
      <c r="CV205" s="271" t="s">
        <v>259</v>
      </c>
      <c r="CW205" s="271" t="s">
        <v>274</v>
      </c>
      <c r="CX205" s="155" t="str">
        <f>CX204</f>
        <v>己</v>
      </c>
      <c r="CY205" s="155" t="str">
        <f>CQ205</f>
        <v>甲</v>
      </c>
      <c r="CZ205" s="155" t="str">
        <f>CG205</f>
        <v>壬</v>
      </c>
      <c r="DA205" s="155" t="str">
        <f>CF205</f>
        <v>丁</v>
      </c>
      <c r="DB205" s="155" t="str">
        <f>CQ205</f>
        <v>甲</v>
      </c>
      <c r="DC205" s="155" t="str">
        <f>CR205</f>
        <v>己</v>
      </c>
      <c r="DD205" s="155" t="str">
        <f>CO205</f>
        <v>辛</v>
      </c>
      <c r="DE205" s="155" t="str">
        <f>CP205</f>
        <v>丙</v>
      </c>
      <c r="DF205" s="155"/>
      <c r="DG205" s="155"/>
      <c r="DH205" s="155"/>
      <c r="DI205" s="155"/>
      <c r="DJ205" s="155"/>
      <c r="DK205" s="155"/>
      <c r="DL205" s="155"/>
      <c r="DM205" s="155"/>
      <c r="DN205" s="155"/>
      <c r="DO205" s="155"/>
      <c r="DP205" s="155"/>
      <c r="DQ205" s="155"/>
      <c r="DR205" s="155"/>
      <c r="DS205" s="155"/>
      <c r="DT205" s="155"/>
      <c r="DU205" s="155"/>
      <c r="DV205" s="155"/>
      <c r="DW205" s="155"/>
      <c r="DX205" s="155"/>
    </row>
    <row r="206" spans="1:128" ht="18" customHeight="1">
      <c r="A206" s="271" t="str">
        <f t="shared" si="46"/>
        <v>調舒星丁</v>
      </c>
      <c r="B206" s="271" t="s">
        <v>832</v>
      </c>
      <c r="C206" s="271" t="s">
        <v>435</v>
      </c>
      <c r="D206" s="155" t="str">
        <f t="shared" si="47"/>
        <v>戊</v>
      </c>
      <c r="E206" s="49">
        <v>1964</v>
      </c>
      <c r="F206" s="279" t="s">
        <v>762</v>
      </c>
      <c r="G206" s="155"/>
      <c r="H206" s="155"/>
      <c r="I206" s="270"/>
      <c r="J206" s="271" t="s">
        <v>833</v>
      </c>
      <c r="K206" s="155" t="s">
        <v>612</v>
      </c>
      <c r="L206" s="270"/>
      <c r="M206" s="49" t="s">
        <v>834</v>
      </c>
      <c r="N206" s="216" t="s">
        <v>835</v>
      </c>
      <c r="O206" s="155" t="s">
        <v>836</v>
      </c>
      <c r="P206" s="155">
        <f>IF(O142=F7,P142-1,P142)</f>
        <v>1</v>
      </c>
      <c r="Q206" s="155"/>
      <c r="R206" s="155"/>
      <c r="S206" s="155"/>
      <c r="T206" s="155" t="str">
        <f>B206</f>
        <v>丁戊</v>
      </c>
      <c r="U206" s="158" t="e">
        <f>#REF!</f>
        <v>#REF!</v>
      </c>
      <c r="V206" s="155"/>
      <c r="W206" s="155" t="e">
        <f>#REF!</f>
        <v>#REF!</v>
      </c>
      <c r="X206" s="263"/>
      <c r="Y206" s="155"/>
      <c r="Z206" s="155"/>
      <c r="AA206" s="263"/>
      <c r="AB206" s="263"/>
      <c r="AC206" s="155"/>
      <c r="AD206" s="155"/>
      <c r="AE206" s="155"/>
      <c r="AF206" s="155" t="str">
        <f>IF(P206&lt;&gt;0,O142,IF(P205&lt;&gt;0,O143,G6))</f>
        <v>戊</v>
      </c>
      <c r="AG206" s="271"/>
      <c r="AH206" s="271" t="s">
        <v>627</v>
      </c>
      <c r="AI206" s="270">
        <v>11</v>
      </c>
      <c r="AJ206" s="155"/>
      <c r="AK206" s="155"/>
      <c r="AL206" s="271" t="s">
        <v>458</v>
      </c>
      <c r="AM206" s="270">
        <v>9</v>
      </c>
      <c r="AN206" s="270">
        <v>12</v>
      </c>
      <c r="AO206" s="155">
        <f>IF(K141&lt;0,3,IF(K141&lt;10,1,IF(K141&lt;13,2,3)))</f>
        <v>3</v>
      </c>
      <c r="AP206" s="49"/>
      <c r="AQ206" s="49"/>
      <c r="AR206" s="155"/>
      <c r="AS206" s="155"/>
      <c r="AT206" s="155"/>
      <c r="AU206" s="155"/>
      <c r="AV206" s="155"/>
      <c r="AW206" s="155"/>
      <c r="AX206" s="155"/>
      <c r="AY206" s="155"/>
      <c r="AZ206" s="49"/>
      <c r="BA206" s="49"/>
      <c r="BB206" s="49"/>
      <c r="BC206" s="49"/>
      <c r="BD206" s="49"/>
      <c r="BE206" s="49"/>
      <c r="BF206" s="49"/>
      <c r="BG206" s="49"/>
      <c r="BH206" s="49"/>
      <c r="BI206" s="155"/>
      <c r="BJ206" s="155"/>
      <c r="BK206" s="155"/>
      <c r="BL206" s="49"/>
      <c r="BM206" s="49"/>
      <c r="BN206" s="49"/>
      <c r="BO206" s="49"/>
      <c r="BP206" s="49"/>
      <c r="BQ206" s="49"/>
      <c r="BR206" s="49"/>
      <c r="BS206" s="49"/>
      <c r="BT206" s="49"/>
      <c r="BU206" s="49"/>
      <c r="BV206" s="49"/>
      <c r="BW206" s="275" t="s">
        <v>255</v>
      </c>
      <c r="BX206" s="275" t="s">
        <v>200</v>
      </c>
      <c r="BY206" s="271" t="str">
        <f t="shared" si="48"/>
        <v>乙男</v>
      </c>
      <c r="BZ206" s="271" t="s">
        <v>275</v>
      </c>
      <c r="CA206" s="271"/>
      <c r="CB206" s="271"/>
      <c r="CC206" s="271" t="s">
        <v>263</v>
      </c>
      <c r="CD206" s="271" t="s">
        <v>274</v>
      </c>
      <c r="CE206" s="271" t="s">
        <v>259</v>
      </c>
      <c r="CF206" s="271" t="s">
        <v>249</v>
      </c>
      <c r="CG206" s="271" t="s">
        <v>271</v>
      </c>
      <c r="CH206" s="271" t="s">
        <v>273</v>
      </c>
      <c r="CI206" s="271" t="s">
        <v>271</v>
      </c>
      <c r="CJ206" s="271" t="s">
        <v>249</v>
      </c>
      <c r="CK206" s="271" t="s">
        <v>276</v>
      </c>
      <c r="CL206" s="271" t="s">
        <v>267</v>
      </c>
      <c r="CM206" s="271" t="s">
        <v>276</v>
      </c>
      <c r="CN206" s="271" t="s">
        <v>267</v>
      </c>
      <c r="CO206" s="271" t="s">
        <v>273</v>
      </c>
      <c r="CP206" s="271" t="s">
        <v>255</v>
      </c>
      <c r="CQ206" s="271" t="s">
        <v>263</v>
      </c>
      <c r="CR206" s="271" t="s">
        <v>275</v>
      </c>
      <c r="CS206" s="271" t="s">
        <v>274</v>
      </c>
      <c r="CT206" s="271" t="s">
        <v>267</v>
      </c>
      <c r="CU206" s="271" t="s">
        <v>276</v>
      </c>
      <c r="CV206" s="271" t="s">
        <v>275</v>
      </c>
      <c r="CW206" s="271" t="s">
        <v>263</v>
      </c>
      <c r="CX206" s="155" t="str">
        <f>CN206</f>
        <v>戊</v>
      </c>
      <c r="CY206" s="155" t="str">
        <f>CM206</f>
        <v>癸</v>
      </c>
      <c r="CZ206" s="155" t="str">
        <f>CP206</f>
        <v>乙</v>
      </c>
      <c r="DA206" s="155" t="str">
        <f>CO206</f>
        <v>庚</v>
      </c>
      <c r="DB206" s="155" t="str">
        <f>CM206</f>
        <v>癸</v>
      </c>
      <c r="DC206" s="155" t="str">
        <f>CN206</f>
        <v>戊</v>
      </c>
      <c r="DD206" s="155" t="str">
        <f>CE206</f>
        <v>丙</v>
      </c>
      <c r="DE206" s="155" t="str">
        <f>CD206</f>
        <v>辛</v>
      </c>
      <c r="DF206" s="155"/>
      <c r="DG206" s="155"/>
      <c r="DH206" s="155"/>
      <c r="DI206" s="155"/>
      <c r="DJ206" s="155"/>
      <c r="DK206" s="155"/>
      <c r="DL206" s="155"/>
      <c r="DM206" s="155"/>
      <c r="DN206" s="155"/>
      <c r="DO206" s="155"/>
      <c r="DP206" s="155"/>
      <c r="DQ206" s="155"/>
      <c r="DR206" s="155"/>
      <c r="DS206" s="155"/>
      <c r="DT206" s="155"/>
      <c r="DU206" s="155"/>
      <c r="DV206" s="155"/>
      <c r="DW206" s="155"/>
      <c r="DX206" s="155"/>
    </row>
    <row r="207" spans="1:128" ht="18" customHeight="1">
      <c r="A207" s="271" t="str">
        <f t="shared" si="46"/>
        <v>調舒星庚</v>
      </c>
      <c r="B207" s="271" t="s">
        <v>837</v>
      </c>
      <c r="C207" s="271" t="s">
        <v>435</v>
      </c>
      <c r="D207" s="155" t="str">
        <f t="shared" si="47"/>
        <v>癸</v>
      </c>
      <c r="E207" s="49">
        <v>1965</v>
      </c>
      <c r="F207" s="279" t="s">
        <v>768</v>
      </c>
      <c r="G207" s="155"/>
      <c r="H207" s="155"/>
      <c r="I207" s="270"/>
      <c r="J207" s="271" t="s">
        <v>838</v>
      </c>
      <c r="K207" s="155" t="s">
        <v>645</v>
      </c>
      <c r="L207" s="270"/>
      <c r="M207" s="49" t="s">
        <v>839</v>
      </c>
      <c r="N207" s="216" t="s">
        <v>840</v>
      </c>
      <c r="O207" s="155" t="s">
        <v>841</v>
      </c>
      <c r="P207" s="155">
        <f>IF(O145=F7,P145-1,P145)</f>
        <v>2</v>
      </c>
      <c r="Q207" s="155"/>
      <c r="R207" s="155"/>
      <c r="S207" s="155"/>
      <c r="T207" s="155" t="str">
        <f>B207</f>
        <v>庚癸</v>
      </c>
      <c r="U207" s="158" t="e">
        <f>#REF!</f>
        <v>#REF!</v>
      </c>
      <c r="V207" s="155"/>
      <c r="W207" s="155" t="e">
        <f>#REF!</f>
        <v>#REF!</v>
      </c>
      <c r="X207" s="263"/>
      <c r="Y207" s="155"/>
      <c r="Z207" s="155"/>
      <c r="AA207" s="263"/>
      <c r="AB207" s="263"/>
      <c r="AC207" s="155"/>
      <c r="AD207" s="155"/>
      <c r="AE207" s="155"/>
      <c r="AF207" s="155" t="str">
        <f>IF(P207&lt;&gt;0,O145,IF(P208&lt;&gt;0,O144,G6))</f>
        <v>辛</v>
      </c>
      <c r="AG207" s="271"/>
      <c r="AH207" s="271" t="s">
        <v>633</v>
      </c>
      <c r="AI207" s="270">
        <v>12</v>
      </c>
      <c r="AJ207" s="155"/>
      <c r="AK207" s="155"/>
      <c r="AL207" s="271" t="s">
        <v>481</v>
      </c>
      <c r="AM207" s="270">
        <v>0</v>
      </c>
      <c r="AN207" s="270">
        <v>19</v>
      </c>
      <c r="AO207" s="155">
        <f>IF(K141&lt;0,3,IF(K141&lt;20,2,3))</f>
        <v>3</v>
      </c>
      <c r="AP207" s="49"/>
      <c r="AQ207" s="49"/>
      <c r="AR207" s="155"/>
      <c r="AS207" s="155"/>
      <c r="AT207" s="155"/>
      <c r="AU207" s="155"/>
      <c r="AV207" s="155"/>
      <c r="AW207" s="155"/>
      <c r="AX207" s="155"/>
      <c r="AY207" s="155"/>
      <c r="AZ207" s="49"/>
      <c r="BA207" s="49"/>
      <c r="BB207" s="49"/>
      <c r="BC207" s="49"/>
      <c r="BD207" s="49"/>
      <c r="BE207" s="49"/>
      <c r="BF207" s="49"/>
      <c r="BG207" s="49"/>
      <c r="BH207" s="49"/>
      <c r="BI207" s="155"/>
      <c r="BJ207" s="155"/>
      <c r="BK207" s="155"/>
      <c r="BL207" s="49"/>
      <c r="BM207" s="49"/>
      <c r="BN207" s="49"/>
      <c r="BO207" s="49"/>
      <c r="BP207" s="49"/>
      <c r="BQ207" s="49"/>
      <c r="BR207" s="49"/>
      <c r="BS207" s="49"/>
      <c r="BT207" s="49"/>
      <c r="BU207" s="49"/>
      <c r="BV207" s="49"/>
      <c r="BW207" s="275" t="s">
        <v>255</v>
      </c>
      <c r="BX207" s="275" t="s">
        <v>407</v>
      </c>
      <c r="BY207" s="271" t="str">
        <f t="shared" si="48"/>
        <v>乙女</v>
      </c>
      <c r="BZ207" s="271" t="s">
        <v>275</v>
      </c>
      <c r="CA207" s="271"/>
      <c r="CB207" s="271"/>
      <c r="CC207" s="271" t="s">
        <v>263</v>
      </c>
      <c r="CD207" s="271" t="s">
        <v>274</v>
      </c>
      <c r="CE207" s="271" t="s">
        <v>259</v>
      </c>
      <c r="CF207" s="271" t="s">
        <v>249</v>
      </c>
      <c r="CG207" s="271" t="s">
        <v>271</v>
      </c>
      <c r="CH207" s="271" t="s">
        <v>273</v>
      </c>
      <c r="CI207" s="271" t="s">
        <v>271</v>
      </c>
      <c r="CJ207" s="271" t="s">
        <v>249</v>
      </c>
      <c r="CK207" s="271" t="s">
        <v>259</v>
      </c>
      <c r="CL207" s="271" t="s">
        <v>274</v>
      </c>
      <c r="CM207" s="271" t="s">
        <v>276</v>
      </c>
      <c r="CN207" s="271" t="s">
        <v>267</v>
      </c>
      <c r="CO207" s="271" t="s">
        <v>273</v>
      </c>
      <c r="CP207" s="271" t="s">
        <v>255</v>
      </c>
      <c r="CQ207" s="271" t="s">
        <v>263</v>
      </c>
      <c r="CR207" s="271" t="s">
        <v>275</v>
      </c>
      <c r="CS207" s="271" t="s">
        <v>274</v>
      </c>
      <c r="CT207" s="271" t="s">
        <v>267</v>
      </c>
      <c r="CU207" s="271" t="s">
        <v>276</v>
      </c>
      <c r="CV207" s="271" t="s">
        <v>263</v>
      </c>
      <c r="CW207" s="271" t="s">
        <v>275</v>
      </c>
      <c r="CX207" s="155" t="str">
        <f>CX206</f>
        <v>戊</v>
      </c>
      <c r="CY207" s="155" t="str">
        <f>CM207</f>
        <v>癸</v>
      </c>
      <c r="CZ207" s="155" t="str">
        <f>CP207</f>
        <v>乙</v>
      </c>
      <c r="DA207" s="155" t="str">
        <f>CO207</f>
        <v>庚</v>
      </c>
      <c r="DB207" s="155" t="str">
        <f>CM207</f>
        <v>癸</v>
      </c>
      <c r="DC207" s="155" t="str">
        <f>CN207</f>
        <v>戊</v>
      </c>
      <c r="DD207" s="155" t="str">
        <f>CE207</f>
        <v>丙</v>
      </c>
      <c r="DE207" s="155" t="str">
        <f>CD207</f>
        <v>辛</v>
      </c>
      <c r="DF207" s="155"/>
      <c r="DG207" s="155"/>
      <c r="DH207" s="155"/>
      <c r="DI207" s="155"/>
      <c r="DJ207" s="155"/>
      <c r="DK207" s="155"/>
      <c r="DL207" s="155"/>
      <c r="DM207" s="155"/>
      <c r="DN207" s="155"/>
      <c r="DO207" s="155"/>
      <c r="DP207" s="155"/>
      <c r="DQ207" s="155"/>
      <c r="DR207" s="155"/>
      <c r="DS207" s="155"/>
      <c r="DT207" s="155"/>
      <c r="DU207" s="155"/>
      <c r="DV207" s="155"/>
      <c r="DW207" s="155"/>
      <c r="DX207" s="155"/>
    </row>
    <row r="208" spans="1:128" ht="18" customHeight="1">
      <c r="A208" s="271" t="str">
        <f t="shared" si="46"/>
        <v>調舒星辛</v>
      </c>
      <c r="B208" s="271" t="s">
        <v>842</v>
      </c>
      <c r="C208" s="271" t="s">
        <v>435</v>
      </c>
      <c r="D208" s="155" t="str">
        <f t="shared" si="47"/>
        <v>壬</v>
      </c>
      <c r="E208" s="49">
        <v>1966</v>
      </c>
      <c r="F208" s="279" t="s">
        <v>643</v>
      </c>
      <c r="G208" s="155"/>
      <c r="H208" s="155"/>
      <c r="I208" s="270"/>
      <c r="J208" s="271" t="s">
        <v>843</v>
      </c>
      <c r="K208" s="155" t="s">
        <v>628</v>
      </c>
      <c r="L208" s="270"/>
      <c r="M208" s="49" t="s">
        <v>844</v>
      </c>
      <c r="N208" s="216" t="s">
        <v>520</v>
      </c>
      <c r="O208" s="155" t="s">
        <v>845</v>
      </c>
      <c r="P208" s="155">
        <f>IF(O144=F7,P144-1,P144)</f>
        <v>1</v>
      </c>
      <c r="Q208" s="155"/>
      <c r="R208" s="155"/>
      <c r="S208" s="155"/>
      <c r="T208" s="155" t="str">
        <f>F208</f>
        <v>646566788987</v>
      </c>
      <c r="U208" s="158" t="str">
        <f>C208</f>
        <v>調舒星</v>
      </c>
      <c r="V208" s="155"/>
      <c r="W208" s="155" t="str">
        <f>D208</f>
        <v>壬</v>
      </c>
      <c r="X208" s="263"/>
      <c r="Y208" s="155"/>
      <c r="Z208" s="155"/>
      <c r="AA208" s="263"/>
      <c r="AB208" s="263"/>
      <c r="AC208" s="155"/>
      <c r="AD208" s="155"/>
      <c r="AE208" s="155"/>
      <c r="AF208" s="155" t="str">
        <f>IF(P208&lt;&gt;0,O144,IF(P207&lt;&gt;0,O145,G6))</f>
        <v>庚</v>
      </c>
      <c r="AG208" s="271"/>
      <c r="AH208" s="271" t="s">
        <v>638</v>
      </c>
      <c r="AI208" s="270">
        <v>8</v>
      </c>
      <c r="AJ208" s="155"/>
      <c r="AK208" s="155"/>
      <c r="AL208" s="271" t="s">
        <v>456</v>
      </c>
      <c r="AM208" s="270">
        <v>0</v>
      </c>
      <c r="AN208" s="270">
        <v>0</v>
      </c>
      <c r="AO208" s="155">
        <f>3</f>
        <v>3</v>
      </c>
      <c r="AP208" s="49"/>
      <c r="AQ208" s="49"/>
      <c r="AR208" s="155"/>
      <c r="AS208" s="155"/>
      <c r="AT208" s="155"/>
      <c r="AU208" s="155"/>
      <c r="AV208" s="155"/>
      <c r="AW208" s="155"/>
      <c r="AX208" s="155"/>
      <c r="AY208" s="155"/>
      <c r="AZ208" s="49"/>
      <c r="BA208" s="49"/>
      <c r="BB208" s="49"/>
      <c r="BC208" s="49"/>
      <c r="BD208" s="49"/>
      <c r="BE208" s="49"/>
      <c r="BF208" s="49"/>
      <c r="BG208" s="49"/>
      <c r="BH208" s="49"/>
      <c r="BI208" s="155"/>
      <c r="BJ208" s="155"/>
      <c r="BK208" s="155"/>
      <c r="BL208" s="49"/>
      <c r="BM208" s="49"/>
      <c r="BN208" s="49"/>
      <c r="BO208" s="49"/>
      <c r="BP208" s="49"/>
      <c r="BQ208" s="49"/>
      <c r="BR208" s="49"/>
      <c r="BS208" s="49"/>
      <c r="BT208" s="49"/>
      <c r="BU208" s="49"/>
      <c r="BV208" s="49"/>
      <c r="BW208" s="275" t="s">
        <v>267</v>
      </c>
      <c r="BX208" s="275" t="s">
        <v>200</v>
      </c>
      <c r="BY208" s="271" t="str">
        <f t="shared" si="48"/>
        <v>戊男</v>
      </c>
      <c r="BZ208" s="271" t="s">
        <v>263</v>
      </c>
      <c r="CA208" s="271"/>
      <c r="CB208" s="271"/>
      <c r="CC208" s="271" t="s">
        <v>275</v>
      </c>
      <c r="CD208" s="271" t="s">
        <v>249</v>
      </c>
      <c r="CE208" s="271" t="s">
        <v>271</v>
      </c>
      <c r="CF208" s="271" t="s">
        <v>274</v>
      </c>
      <c r="CG208" s="271" t="s">
        <v>259</v>
      </c>
      <c r="CH208" s="271" t="s">
        <v>276</v>
      </c>
      <c r="CI208" s="271" t="s">
        <v>273</v>
      </c>
      <c r="CJ208" s="271" t="s">
        <v>255</v>
      </c>
      <c r="CK208" s="271" t="s">
        <v>249</v>
      </c>
      <c r="CL208" s="271" t="s">
        <v>271</v>
      </c>
      <c r="CM208" s="271" t="s">
        <v>259</v>
      </c>
      <c r="CN208" s="271" t="s">
        <v>274</v>
      </c>
      <c r="CO208" s="271" t="s">
        <v>255</v>
      </c>
      <c r="CP208" s="271" t="s">
        <v>273</v>
      </c>
      <c r="CQ208" s="271" t="s">
        <v>267</v>
      </c>
      <c r="CR208" s="271" t="s">
        <v>276</v>
      </c>
      <c r="CS208" s="271" t="s">
        <v>275</v>
      </c>
      <c r="CT208" s="271" t="s">
        <v>274</v>
      </c>
      <c r="CU208" s="271" t="s">
        <v>259</v>
      </c>
      <c r="CV208" s="271" t="s">
        <v>255</v>
      </c>
      <c r="CW208" s="271" t="s">
        <v>273</v>
      </c>
      <c r="CX208" s="155" t="str">
        <f>CH208</f>
        <v>癸</v>
      </c>
      <c r="CY208" s="155" t="str">
        <f>CQ208</f>
        <v>戊</v>
      </c>
      <c r="CZ208" s="155" t="str">
        <f>CG208</f>
        <v>丙</v>
      </c>
      <c r="DA208" s="155" t="str">
        <f>CF208</f>
        <v>辛</v>
      </c>
      <c r="DB208" s="155" t="str">
        <f>CQ208</f>
        <v>戊</v>
      </c>
      <c r="DC208" s="155" t="str">
        <f>CR208</f>
        <v>癸</v>
      </c>
      <c r="DD208" s="155" t="str">
        <f>CO208</f>
        <v>乙</v>
      </c>
      <c r="DE208" s="155" t="str">
        <f>CP208</f>
        <v>庚</v>
      </c>
      <c r="DF208" s="155"/>
      <c r="DG208" s="155"/>
      <c r="DH208" s="155"/>
      <c r="DI208" s="155"/>
      <c r="DJ208" s="155"/>
      <c r="DK208" s="155"/>
      <c r="DL208" s="155"/>
      <c r="DM208" s="155"/>
      <c r="DN208" s="155"/>
      <c r="DO208" s="155"/>
      <c r="DP208" s="155"/>
      <c r="DQ208" s="155"/>
      <c r="DR208" s="155"/>
      <c r="DS208" s="155"/>
      <c r="DT208" s="155"/>
      <c r="DU208" s="155"/>
      <c r="DV208" s="155"/>
      <c r="DW208" s="155"/>
      <c r="DX208" s="155"/>
    </row>
    <row r="209" spans="1:128" ht="18" customHeight="1">
      <c r="A209" s="271" t="str">
        <f t="shared" si="46"/>
        <v>調舒星壬</v>
      </c>
      <c r="B209" s="271" t="s">
        <v>846</v>
      </c>
      <c r="C209" s="271" t="s">
        <v>435</v>
      </c>
      <c r="D209" s="155" t="str">
        <f t="shared" si="47"/>
        <v>乙</v>
      </c>
      <c r="E209" s="49">
        <v>1967</v>
      </c>
      <c r="F209" s="279" t="s">
        <v>461</v>
      </c>
      <c r="G209" s="155"/>
      <c r="H209" s="155"/>
      <c r="I209" s="270"/>
      <c r="J209" s="271" t="s">
        <v>847</v>
      </c>
      <c r="K209" s="280" t="s">
        <v>628</v>
      </c>
      <c r="L209" s="270"/>
      <c r="M209" s="49" t="s">
        <v>848</v>
      </c>
      <c r="N209" s="216" t="s">
        <v>849</v>
      </c>
      <c r="O209" s="155" t="s">
        <v>850</v>
      </c>
      <c r="P209" s="155">
        <f>IF(O147=F7,P147-1,P147)</f>
        <v>1</v>
      </c>
      <c r="Q209" s="155"/>
      <c r="R209" s="155"/>
      <c r="S209" s="155"/>
      <c r="T209" s="155" t="str">
        <f>F209</f>
        <v>646566888988</v>
      </c>
      <c r="U209" s="158" t="str">
        <f>C209</f>
        <v>調舒星</v>
      </c>
      <c r="V209" s="155"/>
      <c r="W209" s="155" t="str">
        <f>D209</f>
        <v>乙</v>
      </c>
      <c r="X209" s="263"/>
      <c r="Y209" s="155"/>
      <c r="Z209" s="155"/>
      <c r="AA209" s="263"/>
      <c r="AB209" s="263"/>
      <c r="AC209" s="155"/>
      <c r="AD209" s="155"/>
      <c r="AE209" s="155"/>
      <c r="AF209" s="155" t="str">
        <f>IF(P209&lt;&gt;0,O147,IF(P210&lt;&gt;0,O146,G6))</f>
        <v>癸</v>
      </c>
      <c r="AG209" s="271"/>
      <c r="AH209" s="271" t="s">
        <v>644</v>
      </c>
      <c r="AI209" s="270">
        <v>4</v>
      </c>
      <c r="AJ209" s="155"/>
      <c r="AK209" s="155"/>
      <c r="AL209" s="271" t="s">
        <v>491</v>
      </c>
      <c r="AM209" s="270">
        <v>10</v>
      </c>
      <c r="AN209" s="270">
        <v>13</v>
      </c>
      <c r="AO209" s="155">
        <f>IF(K141&lt;0,3,IF(K141&lt;11,1,IF(K141&lt;14,2,3)))</f>
        <v>3</v>
      </c>
      <c r="AP209" s="49"/>
      <c r="AQ209" s="49"/>
      <c r="AR209" s="155"/>
      <c r="AS209" s="155"/>
      <c r="AT209" s="155"/>
      <c r="AU209" s="155"/>
      <c r="AV209" s="155"/>
      <c r="AW209" s="155"/>
      <c r="AX209" s="155"/>
      <c r="AY209" s="155"/>
      <c r="AZ209" s="49"/>
      <c r="BA209" s="49"/>
      <c r="BB209" s="49"/>
      <c r="BC209" s="49"/>
      <c r="BD209" s="49"/>
      <c r="BE209" s="49"/>
      <c r="BF209" s="49"/>
      <c r="BG209" s="49"/>
      <c r="BH209" s="49"/>
      <c r="BI209" s="155"/>
      <c r="BJ209" s="155"/>
      <c r="BK209" s="155"/>
      <c r="BL209" s="49"/>
      <c r="BM209" s="49"/>
      <c r="BN209" s="49"/>
      <c r="BO209" s="49"/>
      <c r="BP209" s="49"/>
      <c r="BQ209" s="49"/>
      <c r="BR209" s="49"/>
      <c r="BS209" s="49"/>
      <c r="BT209" s="49"/>
      <c r="BU209" s="49"/>
      <c r="BV209" s="49"/>
      <c r="BW209" s="275" t="s">
        <v>267</v>
      </c>
      <c r="BX209" s="275" t="s">
        <v>407</v>
      </c>
      <c r="BY209" s="271" t="str">
        <f t="shared" si="48"/>
        <v>戊女</v>
      </c>
      <c r="BZ209" s="271" t="s">
        <v>263</v>
      </c>
      <c r="CA209" s="271"/>
      <c r="CB209" s="271"/>
      <c r="CC209" s="271" t="s">
        <v>275</v>
      </c>
      <c r="CD209" s="271" t="s">
        <v>249</v>
      </c>
      <c r="CE209" s="271" t="s">
        <v>271</v>
      </c>
      <c r="CF209" s="271" t="s">
        <v>274</v>
      </c>
      <c r="CG209" s="271" t="s">
        <v>259</v>
      </c>
      <c r="CH209" s="271" t="s">
        <v>276</v>
      </c>
      <c r="CI209" s="271" t="s">
        <v>273</v>
      </c>
      <c r="CJ209" s="271" t="s">
        <v>255</v>
      </c>
      <c r="CK209" s="271" t="s">
        <v>274</v>
      </c>
      <c r="CL209" s="271" t="s">
        <v>259</v>
      </c>
      <c r="CM209" s="271" t="s">
        <v>259</v>
      </c>
      <c r="CN209" s="271" t="s">
        <v>274</v>
      </c>
      <c r="CO209" s="271" t="s">
        <v>255</v>
      </c>
      <c r="CP209" s="271" t="s">
        <v>273</v>
      </c>
      <c r="CQ209" s="271" t="s">
        <v>267</v>
      </c>
      <c r="CR209" s="271" t="s">
        <v>276</v>
      </c>
      <c r="CS209" s="271" t="s">
        <v>275</v>
      </c>
      <c r="CT209" s="271" t="s">
        <v>274</v>
      </c>
      <c r="CU209" s="271" t="s">
        <v>259</v>
      </c>
      <c r="CV209" s="271" t="s">
        <v>273</v>
      </c>
      <c r="CW209" s="271" t="s">
        <v>255</v>
      </c>
      <c r="CX209" s="155" t="str">
        <f>CX208</f>
        <v>癸</v>
      </c>
      <c r="CY209" s="155" t="str">
        <f>CQ209</f>
        <v>戊</v>
      </c>
      <c r="CZ209" s="155" t="str">
        <f>CG209</f>
        <v>丙</v>
      </c>
      <c r="DA209" s="155" t="str">
        <f>CF209</f>
        <v>辛</v>
      </c>
      <c r="DB209" s="155" t="str">
        <f>CQ209</f>
        <v>戊</v>
      </c>
      <c r="DC209" s="155" t="str">
        <f>CR209</f>
        <v>癸</v>
      </c>
      <c r="DD209" s="155" t="str">
        <f>CO209</f>
        <v>乙</v>
      </c>
      <c r="DE209" s="155" t="str">
        <f>CP209</f>
        <v>庚</v>
      </c>
      <c r="DF209" s="155"/>
      <c r="DG209" s="155"/>
      <c r="DH209" s="155"/>
      <c r="DI209" s="155"/>
      <c r="DJ209" s="155"/>
      <c r="DK209" s="155"/>
      <c r="DL209" s="155"/>
      <c r="DM209" s="155"/>
      <c r="DN209" s="155"/>
      <c r="DO209" s="155"/>
      <c r="DP209" s="155"/>
      <c r="DQ209" s="155"/>
      <c r="DR209" s="155"/>
      <c r="DS209" s="155"/>
      <c r="DT209" s="155"/>
      <c r="DU209" s="155"/>
      <c r="DV209" s="155"/>
      <c r="DW209" s="155"/>
      <c r="DX209" s="155"/>
    </row>
    <row r="210" spans="1:128" ht="18" customHeight="1">
      <c r="A210" s="271" t="str">
        <f t="shared" si="46"/>
        <v>調舒星癸</v>
      </c>
      <c r="B210" s="271" t="s">
        <v>851</v>
      </c>
      <c r="C210" s="271" t="s">
        <v>435</v>
      </c>
      <c r="D210" s="155" t="str">
        <f t="shared" si="47"/>
        <v>甲</v>
      </c>
      <c r="E210" s="49">
        <v>1968</v>
      </c>
      <c r="F210" s="279" t="s">
        <v>852</v>
      </c>
      <c r="G210" s="155"/>
      <c r="H210" s="155"/>
      <c r="I210" s="270"/>
      <c r="J210" s="271" t="s">
        <v>853</v>
      </c>
      <c r="K210" s="280" t="s">
        <v>645</v>
      </c>
      <c r="L210" s="270"/>
      <c r="M210" s="49" t="s">
        <v>529</v>
      </c>
      <c r="N210" s="216" t="s">
        <v>854</v>
      </c>
      <c r="O210" s="155" t="s">
        <v>855</v>
      </c>
      <c r="P210" s="155">
        <f>IF(O146=F7,P146-1,P146)</f>
        <v>1</v>
      </c>
      <c r="Q210" s="155"/>
      <c r="R210" s="155"/>
      <c r="S210" s="155"/>
      <c r="T210" s="155" t="str">
        <f>B210</f>
        <v>癸甲</v>
      </c>
      <c r="U210" s="158" t="e">
        <f>#REF!</f>
        <v>#REF!</v>
      </c>
      <c r="V210" s="155"/>
      <c r="W210" s="155" t="e">
        <f>#REF!</f>
        <v>#REF!</v>
      </c>
      <c r="X210" s="263"/>
      <c r="Y210" s="155"/>
      <c r="Z210" s="155"/>
      <c r="AA210" s="263"/>
      <c r="AB210" s="263"/>
      <c r="AC210" s="155"/>
      <c r="AD210" s="155"/>
      <c r="AE210" s="155"/>
      <c r="AF210" s="155" t="str">
        <f>IF(P210&lt;&gt;0,O146,IF(P209&lt;&gt;0,O147,G6))</f>
        <v>壬</v>
      </c>
      <c r="AG210" s="271"/>
      <c r="AH210" s="271" t="s">
        <v>650</v>
      </c>
      <c r="AI210" s="270">
        <v>2</v>
      </c>
      <c r="AJ210" s="155"/>
      <c r="AK210" s="155"/>
      <c r="AL210" s="271" t="s">
        <v>469</v>
      </c>
      <c r="AM210" s="270">
        <v>9</v>
      </c>
      <c r="AN210" s="270">
        <v>12</v>
      </c>
      <c r="AO210" s="155">
        <f>IF(K141&lt;0,3,IF(K141&lt;10,1,IF(K141&lt;13,2,3)))</f>
        <v>3</v>
      </c>
      <c r="AP210" s="49"/>
      <c r="AQ210" s="49"/>
      <c r="AR210" s="155"/>
      <c r="AS210" s="155"/>
      <c r="AT210" s="155"/>
      <c r="AU210" s="155"/>
      <c r="AV210" s="155"/>
      <c r="AW210" s="155"/>
      <c r="AX210" s="155"/>
      <c r="AY210" s="155"/>
      <c r="AZ210" s="49"/>
      <c r="BA210" s="49"/>
      <c r="BB210" s="49"/>
      <c r="BC210" s="49"/>
      <c r="BD210" s="49"/>
      <c r="BE210" s="49"/>
      <c r="BF210" s="49"/>
      <c r="BG210" s="49"/>
      <c r="BH210" s="49"/>
      <c r="BI210" s="155"/>
      <c r="BJ210" s="155"/>
      <c r="BK210" s="155"/>
      <c r="BL210" s="49"/>
      <c r="BM210" s="49"/>
      <c r="BN210" s="49"/>
      <c r="BO210" s="49"/>
      <c r="BP210" s="49"/>
      <c r="BQ210" s="49"/>
      <c r="BR210" s="49"/>
      <c r="BS210" s="49"/>
      <c r="BT210" s="49"/>
      <c r="BU210" s="49"/>
      <c r="BV210" s="49"/>
      <c r="BW210" s="275" t="s">
        <v>271</v>
      </c>
      <c r="BX210" s="275" t="s">
        <v>200</v>
      </c>
      <c r="BY210" s="271" t="str">
        <f t="shared" si="48"/>
        <v>己男</v>
      </c>
      <c r="BZ210" s="271" t="s">
        <v>259</v>
      </c>
      <c r="CA210" s="271"/>
      <c r="CB210" s="271"/>
      <c r="CC210" s="271" t="s">
        <v>274</v>
      </c>
      <c r="CD210" s="271" t="s">
        <v>255</v>
      </c>
      <c r="CE210" s="271" t="s">
        <v>273</v>
      </c>
      <c r="CF210" s="271" t="s">
        <v>267</v>
      </c>
      <c r="CG210" s="271" t="s">
        <v>276</v>
      </c>
      <c r="CH210" s="271" t="s">
        <v>249</v>
      </c>
      <c r="CI210" s="271" t="s">
        <v>276</v>
      </c>
      <c r="CJ210" s="271" t="s">
        <v>267</v>
      </c>
      <c r="CK210" s="271" t="s">
        <v>263</v>
      </c>
      <c r="CL210" s="271" t="s">
        <v>275</v>
      </c>
      <c r="CM210" s="271" t="s">
        <v>263</v>
      </c>
      <c r="CN210" s="271" t="s">
        <v>275</v>
      </c>
      <c r="CO210" s="271" t="s">
        <v>249</v>
      </c>
      <c r="CP210" s="271" t="s">
        <v>271</v>
      </c>
      <c r="CQ210" s="271" t="s">
        <v>274</v>
      </c>
      <c r="CR210" s="271" t="s">
        <v>259</v>
      </c>
      <c r="CS210" s="271" t="s">
        <v>255</v>
      </c>
      <c r="CT210" s="271" t="s">
        <v>275</v>
      </c>
      <c r="CU210" s="271" t="s">
        <v>263</v>
      </c>
      <c r="CV210" s="271" t="s">
        <v>259</v>
      </c>
      <c r="CW210" s="271" t="s">
        <v>274</v>
      </c>
      <c r="CX210" s="155" t="str">
        <f>CN210</f>
        <v>壬</v>
      </c>
      <c r="CY210" s="155" t="str">
        <f>CM210</f>
        <v>丁</v>
      </c>
      <c r="CZ210" s="155" t="str">
        <f>CP210</f>
        <v>己</v>
      </c>
      <c r="DA210" s="155" t="str">
        <f>CO210</f>
        <v>甲</v>
      </c>
      <c r="DB210" s="155" t="str">
        <f>CM210</f>
        <v>丁</v>
      </c>
      <c r="DC210" s="155" t="str">
        <f>CN210</f>
        <v>壬</v>
      </c>
      <c r="DD210" s="155" t="str">
        <f>CE210</f>
        <v>庚</v>
      </c>
      <c r="DE210" s="155" t="str">
        <f>CD210</f>
        <v>乙</v>
      </c>
      <c r="DF210" s="155"/>
      <c r="DG210" s="155"/>
      <c r="DH210" s="155"/>
      <c r="DI210" s="155"/>
      <c r="DJ210" s="155"/>
      <c r="DK210" s="155"/>
      <c r="DL210" s="155"/>
      <c r="DM210" s="155"/>
      <c r="DN210" s="155"/>
      <c r="DO210" s="155"/>
      <c r="DP210" s="155"/>
      <c r="DQ210" s="155"/>
      <c r="DR210" s="155"/>
      <c r="DS210" s="155"/>
      <c r="DT210" s="155"/>
      <c r="DU210" s="155"/>
      <c r="DV210" s="155"/>
      <c r="DW210" s="155"/>
      <c r="DX210" s="155"/>
    </row>
    <row r="211" spans="1:128" ht="18" customHeight="1">
      <c r="A211" s="271" t="str">
        <f t="shared" si="46"/>
        <v>調舒星戊</v>
      </c>
      <c r="B211" s="271" t="s">
        <v>856</v>
      </c>
      <c r="C211" s="271" t="s">
        <v>435</v>
      </c>
      <c r="D211" s="155" t="str">
        <f t="shared" si="47"/>
        <v>辛</v>
      </c>
      <c r="E211" s="49">
        <v>1969</v>
      </c>
      <c r="F211" s="279" t="s">
        <v>857</v>
      </c>
      <c r="G211" s="155"/>
      <c r="H211" s="155"/>
      <c r="I211" s="270"/>
      <c r="J211" s="271" t="s">
        <v>858</v>
      </c>
      <c r="K211" s="280" t="s">
        <v>622</v>
      </c>
      <c r="L211" s="270"/>
      <c r="M211" s="49" t="s">
        <v>859</v>
      </c>
      <c r="N211" s="216" t="s">
        <v>860</v>
      </c>
      <c r="O211" s="155" t="s">
        <v>861</v>
      </c>
      <c r="P211" s="155">
        <f>IF(O139=F7,P139-1,P139)</f>
        <v>0</v>
      </c>
      <c r="Q211" s="155"/>
      <c r="R211" s="155"/>
      <c r="S211" s="155"/>
      <c r="T211" s="155" t="str">
        <f>B211</f>
        <v>戊辛</v>
      </c>
      <c r="U211" s="158" t="e">
        <f>#REF!</f>
        <v>#REF!</v>
      </c>
      <c r="V211" s="155"/>
      <c r="W211" s="155" t="e">
        <f>#REF!</f>
        <v>#REF!</v>
      </c>
      <c r="X211" s="263"/>
      <c r="Y211" s="155"/>
      <c r="Z211" s="155"/>
      <c r="AA211" s="263"/>
      <c r="AB211" s="263"/>
      <c r="AC211" s="155"/>
      <c r="AD211" s="155"/>
      <c r="AE211" s="155"/>
      <c r="AF211" s="155" t="str">
        <f>IF(P211&lt;&gt;0,O139,IF(P212&lt;&gt;0,O138,G6))</f>
        <v>丙</v>
      </c>
      <c r="AG211" s="271"/>
      <c r="AH211" s="271" t="s">
        <v>654</v>
      </c>
      <c r="AI211" s="270">
        <v>5</v>
      </c>
      <c r="AJ211" s="155"/>
      <c r="AK211" s="155"/>
      <c r="AL211" s="271" t="s">
        <v>459</v>
      </c>
      <c r="AM211" s="270">
        <v>7</v>
      </c>
      <c r="AN211" s="270">
        <v>14</v>
      </c>
      <c r="AO211" s="155">
        <f>IF(K141&lt;0,3,IF(K141&lt;8,1,IF(K141&lt;15,2,3)))</f>
        <v>3</v>
      </c>
      <c r="AP211" s="49"/>
      <c r="AQ211" s="49"/>
      <c r="AR211" s="155"/>
      <c r="AS211" s="155"/>
      <c r="AT211" s="155"/>
      <c r="AU211" s="155"/>
      <c r="AV211" s="155"/>
      <c r="AW211" s="155"/>
      <c r="AX211" s="155"/>
      <c r="AY211" s="155"/>
      <c r="AZ211" s="49"/>
      <c r="BA211" s="49"/>
      <c r="BB211" s="49"/>
      <c r="BC211" s="49"/>
      <c r="BD211" s="49"/>
      <c r="BE211" s="49"/>
      <c r="BF211" s="49"/>
      <c r="BG211" s="49"/>
      <c r="BH211" s="49"/>
      <c r="BI211" s="155"/>
      <c r="BJ211" s="155"/>
      <c r="BK211" s="155"/>
      <c r="BL211" s="49"/>
      <c r="BM211" s="49"/>
      <c r="BN211" s="49"/>
      <c r="BO211" s="49"/>
      <c r="BP211" s="49"/>
      <c r="BQ211" s="49"/>
      <c r="BR211" s="49"/>
      <c r="BS211" s="49"/>
      <c r="BT211" s="49"/>
      <c r="BU211" s="49"/>
      <c r="BV211" s="49"/>
      <c r="BW211" s="275" t="s">
        <v>271</v>
      </c>
      <c r="BX211" s="275" t="s">
        <v>407</v>
      </c>
      <c r="BY211" s="271" t="str">
        <f t="shared" si="48"/>
        <v>己女</v>
      </c>
      <c r="BZ211" s="271" t="s">
        <v>259</v>
      </c>
      <c r="CA211" s="271"/>
      <c r="CB211" s="271"/>
      <c r="CC211" s="271" t="s">
        <v>274</v>
      </c>
      <c r="CD211" s="271" t="s">
        <v>255</v>
      </c>
      <c r="CE211" s="271" t="s">
        <v>273</v>
      </c>
      <c r="CF211" s="271" t="s">
        <v>267</v>
      </c>
      <c r="CG211" s="271" t="s">
        <v>276</v>
      </c>
      <c r="CH211" s="271" t="s">
        <v>249</v>
      </c>
      <c r="CI211" s="271" t="s">
        <v>276</v>
      </c>
      <c r="CJ211" s="271" t="s">
        <v>267</v>
      </c>
      <c r="CK211" s="271" t="s">
        <v>273</v>
      </c>
      <c r="CL211" s="271" t="s">
        <v>255</v>
      </c>
      <c r="CM211" s="271" t="s">
        <v>263</v>
      </c>
      <c r="CN211" s="271" t="s">
        <v>275</v>
      </c>
      <c r="CO211" s="271" t="s">
        <v>249</v>
      </c>
      <c r="CP211" s="271" t="s">
        <v>271</v>
      </c>
      <c r="CQ211" s="271" t="s">
        <v>274</v>
      </c>
      <c r="CR211" s="271" t="s">
        <v>259</v>
      </c>
      <c r="CS211" s="271" t="s">
        <v>255</v>
      </c>
      <c r="CT211" s="271" t="s">
        <v>275</v>
      </c>
      <c r="CU211" s="271" t="s">
        <v>263</v>
      </c>
      <c r="CV211" s="271" t="s">
        <v>274</v>
      </c>
      <c r="CW211" s="271" t="s">
        <v>259</v>
      </c>
      <c r="CX211" s="155" t="str">
        <f>CX210</f>
        <v>壬</v>
      </c>
      <c r="CY211" s="155" t="str">
        <f>CM211</f>
        <v>丁</v>
      </c>
      <c r="CZ211" s="155" t="str">
        <f>CP211</f>
        <v>己</v>
      </c>
      <c r="DA211" s="155" t="str">
        <f>CO211</f>
        <v>甲</v>
      </c>
      <c r="DB211" s="155" t="str">
        <f>CM211</f>
        <v>丁</v>
      </c>
      <c r="DC211" s="155" t="str">
        <f>CN211</f>
        <v>壬</v>
      </c>
      <c r="DD211" s="155" t="str">
        <f>CE211</f>
        <v>庚</v>
      </c>
      <c r="DE211" s="155" t="str">
        <f>CD211</f>
        <v>乙</v>
      </c>
      <c r="DF211" s="155"/>
      <c r="DG211" s="155"/>
      <c r="DH211" s="155"/>
      <c r="DI211" s="155"/>
      <c r="DJ211" s="155"/>
      <c r="DK211" s="155"/>
      <c r="DL211" s="155"/>
      <c r="DM211" s="155"/>
      <c r="DN211" s="155"/>
      <c r="DO211" s="155"/>
      <c r="DP211" s="155"/>
      <c r="DQ211" s="155"/>
      <c r="DR211" s="155"/>
      <c r="DS211" s="155"/>
      <c r="DT211" s="155"/>
      <c r="DU211" s="155"/>
      <c r="DV211" s="155"/>
      <c r="DW211" s="155"/>
      <c r="DX211" s="155"/>
    </row>
    <row r="212" spans="1:128" ht="18" customHeight="1">
      <c r="A212" s="271" t="str">
        <f t="shared" si="46"/>
        <v>調舒星己</v>
      </c>
      <c r="B212" s="271" t="s">
        <v>862</v>
      </c>
      <c r="C212" s="271" t="s">
        <v>435</v>
      </c>
      <c r="D212" s="155" t="str">
        <f t="shared" si="47"/>
        <v>庚</v>
      </c>
      <c r="E212" s="49">
        <v>1970</v>
      </c>
      <c r="F212" s="279" t="s">
        <v>643</v>
      </c>
      <c r="G212" s="155"/>
      <c r="H212" s="155"/>
      <c r="I212" s="270"/>
      <c r="J212" s="271" t="s">
        <v>863</v>
      </c>
      <c r="K212" s="280" t="s">
        <v>622</v>
      </c>
      <c r="L212" s="270"/>
      <c r="M212" s="49" t="s">
        <v>864</v>
      </c>
      <c r="N212" s="216" t="s">
        <v>865</v>
      </c>
      <c r="O212" s="155" t="s">
        <v>866</v>
      </c>
      <c r="P212" s="155">
        <f>IF(O138=F7,P138-1,P138)</f>
        <v>0</v>
      </c>
      <c r="Q212" s="155"/>
      <c r="R212" s="155"/>
      <c r="S212" s="155"/>
      <c r="T212" s="155" t="str">
        <f>F212</f>
        <v>646566788987</v>
      </c>
      <c r="U212" s="158" t="str">
        <f>C212</f>
        <v>調舒星</v>
      </c>
      <c r="V212" s="155"/>
      <c r="W212" s="155" t="str">
        <f>D212</f>
        <v>庚</v>
      </c>
      <c r="X212" s="263"/>
      <c r="Y212" s="155"/>
      <c r="Z212" s="155"/>
      <c r="AA212" s="263"/>
      <c r="AB212" s="263"/>
      <c r="AC212" s="155"/>
      <c r="AD212" s="155"/>
      <c r="AE212" s="155"/>
      <c r="AF212" s="155" t="str">
        <f>IF(P212&lt;&gt;0,O138,IF(P211&lt;&gt;0,O139,G6))</f>
        <v>丙</v>
      </c>
      <c r="AG212" s="271"/>
      <c r="AH212" s="271" t="s">
        <v>659</v>
      </c>
      <c r="AI212" s="270">
        <v>1</v>
      </c>
      <c r="AJ212" s="155"/>
      <c r="AK212" s="155"/>
      <c r="AL212" s="271" t="s">
        <v>498</v>
      </c>
      <c r="AM212" s="270">
        <v>0</v>
      </c>
      <c r="AN212" s="270">
        <v>0</v>
      </c>
      <c r="AO212" s="155">
        <f>3</f>
        <v>3</v>
      </c>
      <c r="AP212" s="49"/>
      <c r="AQ212" s="49"/>
      <c r="AR212" s="155"/>
      <c r="AS212" s="155"/>
      <c r="AT212" s="155"/>
      <c r="AU212" s="155"/>
      <c r="AV212" s="155"/>
      <c r="AW212" s="155"/>
      <c r="AX212" s="155"/>
      <c r="AY212" s="155"/>
      <c r="AZ212" s="49"/>
      <c r="BA212" s="49"/>
      <c r="BB212" s="49"/>
      <c r="BC212" s="49"/>
      <c r="BD212" s="49"/>
      <c r="BE212" s="49"/>
      <c r="BF212" s="49"/>
      <c r="BG212" s="49"/>
      <c r="BH212" s="49"/>
      <c r="BI212" s="155"/>
      <c r="BJ212" s="155"/>
      <c r="BK212" s="155"/>
      <c r="BL212" s="49"/>
      <c r="BM212" s="49"/>
      <c r="BN212" s="49"/>
      <c r="BO212" s="49"/>
      <c r="BP212" s="49"/>
      <c r="BQ212" s="49"/>
      <c r="BR212" s="49"/>
      <c r="BS212" s="49"/>
      <c r="BT212" s="49"/>
      <c r="BU212" s="49"/>
      <c r="BV212" s="49"/>
      <c r="BW212" s="275" t="s">
        <v>275</v>
      </c>
      <c r="BX212" s="275" t="s">
        <v>200</v>
      </c>
      <c r="BY212" s="271" t="str">
        <f t="shared" si="48"/>
        <v>壬男</v>
      </c>
      <c r="BZ212" s="271" t="s">
        <v>274</v>
      </c>
      <c r="CA212" s="271"/>
      <c r="CB212" s="271"/>
      <c r="CC212" s="271" t="s">
        <v>259</v>
      </c>
      <c r="CD212" s="271" t="s">
        <v>267</v>
      </c>
      <c r="CE212" s="271" t="s">
        <v>276</v>
      </c>
      <c r="CF212" s="271" t="s">
        <v>255</v>
      </c>
      <c r="CG212" s="271" t="s">
        <v>273</v>
      </c>
      <c r="CH212" s="271" t="s">
        <v>263</v>
      </c>
      <c r="CI212" s="271" t="s">
        <v>249</v>
      </c>
      <c r="CJ212" s="271" t="s">
        <v>271</v>
      </c>
      <c r="CK212" s="271" t="s">
        <v>267</v>
      </c>
      <c r="CL212" s="271" t="s">
        <v>276</v>
      </c>
      <c r="CM212" s="271" t="s">
        <v>273</v>
      </c>
      <c r="CN212" s="271" t="s">
        <v>255</v>
      </c>
      <c r="CO212" s="271" t="s">
        <v>271</v>
      </c>
      <c r="CP212" s="271" t="s">
        <v>249</v>
      </c>
      <c r="CQ212" s="271" t="s">
        <v>275</v>
      </c>
      <c r="CR212" s="271" t="s">
        <v>263</v>
      </c>
      <c r="CS212" s="271" t="s">
        <v>259</v>
      </c>
      <c r="CT212" s="271" t="s">
        <v>255</v>
      </c>
      <c r="CU212" s="271" t="s">
        <v>273</v>
      </c>
      <c r="CV212" s="271" t="s">
        <v>271</v>
      </c>
      <c r="CW212" s="271" t="s">
        <v>249</v>
      </c>
      <c r="CX212" s="155" t="str">
        <f>CH212</f>
        <v>丁</v>
      </c>
      <c r="CY212" s="155" t="str">
        <f>CQ212</f>
        <v>壬</v>
      </c>
      <c r="CZ212" s="155" t="str">
        <f>CG212</f>
        <v>庚</v>
      </c>
      <c r="DA212" s="155" t="str">
        <f>CF212</f>
        <v>乙</v>
      </c>
      <c r="DB212" s="155" t="str">
        <f>CQ212</f>
        <v>壬</v>
      </c>
      <c r="DC212" s="155" t="str">
        <f>CR212</f>
        <v>丁</v>
      </c>
      <c r="DD212" s="155" t="str">
        <f>CO212</f>
        <v>己</v>
      </c>
      <c r="DE212" s="155" t="str">
        <f>CP212</f>
        <v>甲</v>
      </c>
      <c r="DF212" s="155"/>
      <c r="DG212" s="155"/>
      <c r="DH212" s="155"/>
      <c r="DI212" s="155"/>
      <c r="DJ212" s="155"/>
      <c r="DK212" s="155"/>
      <c r="DL212" s="155"/>
      <c r="DM212" s="155"/>
      <c r="DN212" s="155"/>
      <c r="DO212" s="155"/>
      <c r="DP212" s="155"/>
      <c r="DQ212" s="155"/>
      <c r="DR212" s="155"/>
      <c r="DS212" s="155"/>
      <c r="DT212" s="155"/>
      <c r="DU212" s="155"/>
      <c r="DV212" s="155"/>
      <c r="DW212" s="155"/>
      <c r="DX212" s="155"/>
    </row>
    <row r="213" spans="1:128" ht="18" customHeight="1">
      <c r="A213" s="271" t="str">
        <f t="shared" si="46"/>
        <v>調舒星甲</v>
      </c>
      <c r="B213" s="271" t="s">
        <v>867</v>
      </c>
      <c r="C213" s="271" t="s">
        <v>435</v>
      </c>
      <c r="D213" s="155" t="str">
        <f t="shared" si="47"/>
        <v>丁</v>
      </c>
      <c r="E213" s="49">
        <v>1971</v>
      </c>
      <c r="F213" s="279" t="s">
        <v>461</v>
      </c>
      <c r="G213" s="155"/>
      <c r="H213" s="155"/>
      <c r="I213" s="270"/>
      <c r="J213" s="271" t="s">
        <v>868</v>
      </c>
      <c r="K213" s="280" t="s">
        <v>645</v>
      </c>
      <c r="L213" s="270"/>
      <c r="M213" s="49" t="s">
        <v>869</v>
      </c>
      <c r="N213" s="216" t="s">
        <v>547</v>
      </c>
      <c r="O213" s="155"/>
      <c r="P213" s="155"/>
      <c r="Q213" s="155"/>
      <c r="R213" s="155"/>
      <c r="S213" s="155"/>
      <c r="T213" s="155" t="str">
        <f>F213</f>
        <v>646566888988</v>
      </c>
      <c r="U213" s="158" t="str">
        <f>C213</f>
        <v>調舒星</v>
      </c>
      <c r="V213" s="155"/>
      <c r="W213" s="155" t="str">
        <f>D213</f>
        <v>丁</v>
      </c>
      <c r="X213" s="263"/>
      <c r="Y213" s="155"/>
      <c r="Z213" s="155"/>
      <c r="AA213" s="263"/>
      <c r="AB213" s="263"/>
      <c r="AC213" s="155"/>
      <c r="AD213" s="155"/>
      <c r="AE213" s="155"/>
      <c r="AF213" s="155"/>
      <c r="AG213" s="271"/>
      <c r="AH213" s="271" t="s">
        <v>665</v>
      </c>
      <c r="AI213" s="270">
        <v>3</v>
      </c>
      <c r="AJ213" s="155"/>
      <c r="AK213" s="155"/>
      <c r="AL213" s="271" t="s">
        <v>486</v>
      </c>
      <c r="AM213" s="270">
        <v>9</v>
      </c>
      <c r="AN213" s="270">
        <v>12</v>
      </c>
      <c r="AO213" s="155">
        <f>IF(K141&lt;0,3,IF(K141&lt;10,1,IF(K141&lt;13,2,3)))</f>
        <v>3</v>
      </c>
      <c r="AP213" s="49"/>
      <c r="AQ213" s="49"/>
      <c r="AR213" s="155"/>
      <c r="AS213" s="155"/>
      <c r="AT213" s="155"/>
      <c r="AU213" s="155"/>
      <c r="AV213" s="155"/>
      <c r="AW213" s="155"/>
      <c r="AX213" s="155"/>
      <c r="AY213" s="155"/>
      <c r="AZ213" s="49"/>
      <c r="BA213" s="49"/>
      <c r="BB213" s="49"/>
      <c r="BC213" s="49"/>
      <c r="BD213" s="49"/>
      <c r="BE213" s="49"/>
      <c r="BF213" s="49"/>
      <c r="BG213" s="49"/>
      <c r="BH213" s="49"/>
      <c r="BI213" s="155"/>
      <c r="BJ213" s="155"/>
      <c r="BK213" s="155"/>
      <c r="BL213" s="49"/>
      <c r="BM213" s="49"/>
      <c r="BN213" s="49"/>
      <c r="BO213" s="49"/>
      <c r="BP213" s="49"/>
      <c r="BQ213" s="49"/>
      <c r="BR213" s="49"/>
      <c r="BS213" s="49"/>
      <c r="BT213" s="49"/>
      <c r="BU213" s="49"/>
      <c r="BV213" s="49"/>
      <c r="BW213" s="275" t="s">
        <v>275</v>
      </c>
      <c r="BX213" s="275" t="s">
        <v>407</v>
      </c>
      <c r="BY213" s="271" t="str">
        <f t="shared" si="48"/>
        <v>壬女</v>
      </c>
      <c r="BZ213" s="271" t="s">
        <v>274</v>
      </c>
      <c r="CA213" s="271"/>
      <c r="CB213" s="271"/>
      <c r="CC213" s="271" t="s">
        <v>259</v>
      </c>
      <c r="CD213" s="271" t="s">
        <v>267</v>
      </c>
      <c r="CE213" s="271" t="s">
        <v>276</v>
      </c>
      <c r="CF213" s="271" t="s">
        <v>255</v>
      </c>
      <c r="CG213" s="271" t="s">
        <v>273</v>
      </c>
      <c r="CH213" s="271" t="s">
        <v>263</v>
      </c>
      <c r="CI213" s="271" t="s">
        <v>249</v>
      </c>
      <c r="CJ213" s="271" t="s">
        <v>271</v>
      </c>
      <c r="CK213" s="271" t="s">
        <v>255</v>
      </c>
      <c r="CL213" s="271" t="s">
        <v>273</v>
      </c>
      <c r="CM213" s="271" t="s">
        <v>273</v>
      </c>
      <c r="CN213" s="271" t="s">
        <v>255</v>
      </c>
      <c r="CO213" s="271" t="s">
        <v>271</v>
      </c>
      <c r="CP213" s="271" t="s">
        <v>249</v>
      </c>
      <c r="CQ213" s="271" t="s">
        <v>275</v>
      </c>
      <c r="CR213" s="271" t="s">
        <v>263</v>
      </c>
      <c r="CS213" s="271" t="s">
        <v>259</v>
      </c>
      <c r="CT213" s="271" t="s">
        <v>255</v>
      </c>
      <c r="CU213" s="271" t="s">
        <v>273</v>
      </c>
      <c r="CV213" s="271" t="s">
        <v>249</v>
      </c>
      <c r="CW213" s="271" t="s">
        <v>271</v>
      </c>
      <c r="CX213" s="155" t="str">
        <f>CX212</f>
        <v>丁</v>
      </c>
      <c r="CY213" s="155" t="str">
        <f>CQ213</f>
        <v>壬</v>
      </c>
      <c r="CZ213" s="155" t="str">
        <f>CG213</f>
        <v>庚</v>
      </c>
      <c r="DA213" s="155" t="str">
        <f>CF213</f>
        <v>乙</v>
      </c>
      <c r="DB213" s="155" t="str">
        <f>CQ213</f>
        <v>壬</v>
      </c>
      <c r="DC213" s="155" t="str">
        <f>CR213</f>
        <v>丁</v>
      </c>
      <c r="DD213" s="155" t="str">
        <f>CO213</f>
        <v>己</v>
      </c>
      <c r="DE213" s="155" t="str">
        <f>CP213</f>
        <v>甲</v>
      </c>
      <c r="DF213" s="155"/>
      <c r="DG213" s="155"/>
      <c r="DH213" s="155"/>
      <c r="DI213" s="155"/>
      <c r="DJ213" s="155"/>
      <c r="DK213" s="155"/>
      <c r="DL213" s="155"/>
      <c r="DM213" s="155"/>
      <c r="DN213" s="155"/>
      <c r="DO213" s="155"/>
      <c r="DP213" s="155"/>
      <c r="DQ213" s="155"/>
      <c r="DR213" s="155"/>
      <c r="DS213" s="155"/>
      <c r="DT213" s="155"/>
      <c r="DU213" s="155"/>
      <c r="DV213" s="155"/>
      <c r="DW213" s="155"/>
      <c r="DX213" s="155"/>
    </row>
    <row r="214" spans="1:128" ht="18" customHeight="1">
      <c r="A214" s="271" t="str">
        <f t="shared" si="46"/>
        <v>調舒星乙</v>
      </c>
      <c r="B214" s="271" t="s">
        <v>870</v>
      </c>
      <c r="C214" s="271" t="s">
        <v>435</v>
      </c>
      <c r="D214" s="155" t="str">
        <f t="shared" si="47"/>
        <v>丙</v>
      </c>
      <c r="E214" s="49">
        <v>1972</v>
      </c>
      <c r="F214" s="279" t="s">
        <v>871</v>
      </c>
      <c r="G214" s="155"/>
      <c r="H214" s="155"/>
      <c r="I214" s="270"/>
      <c r="J214" s="271" t="s">
        <v>872</v>
      </c>
      <c r="K214" s="280" t="s">
        <v>660</v>
      </c>
      <c r="L214" s="270"/>
      <c r="M214" s="49" t="s">
        <v>873</v>
      </c>
      <c r="N214" s="216" t="s">
        <v>553</v>
      </c>
      <c r="O214" s="155" t="s">
        <v>591</v>
      </c>
      <c r="P214" s="155">
        <f>P143</f>
        <v>0</v>
      </c>
      <c r="Q214" s="155"/>
      <c r="R214" s="155"/>
      <c r="S214" s="155"/>
      <c r="T214" s="155" t="str">
        <f>B214</f>
        <v>乙丙</v>
      </c>
      <c r="U214" s="158" t="e">
        <f>#REF!</f>
        <v>#REF!</v>
      </c>
      <c r="V214" s="155"/>
      <c r="W214" s="155" t="e">
        <f>#REF!</f>
        <v>#REF!</v>
      </c>
      <c r="X214" s="263"/>
      <c r="Y214" s="155"/>
      <c r="Z214" s="155"/>
      <c r="AA214" s="263"/>
      <c r="AB214" s="263"/>
      <c r="AC214" s="155"/>
      <c r="AD214" s="155"/>
      <c r="AE214" s="155"/>
      <c r="AF214" s="155" t="str">
        <f>IF(P143&lt;&gt;0,O143,IF(P142&lt;&gt;0,O142,F10))</f>
        <v>戊</v>
      </c>
      <c r="AG214" s="271"/>
      <c r="AH214" s="271" t="s">
        <v>669</v>
      </c>
      <c r="AI214" s="270">
        <v>6</v>
      </c>
      <c r="AJ214" s="155"/>
      <c r="AK214" s="155"/>
      <c r="AL214" s="271" t="s">
        <v>475</v>
      </c>
      <c r="AM214" s="270">
        <v>5</v>
      </c>
      <c r="AN214" s="270">
        <v>14</v>
      </c>
      <c r="AO214" s="155">
        <f>IF(K141&lt;0,3,IF(K141&lt;6,1,IF(K141&lt;15,2,3)))</f>
        <v>3</v>
      </c>
      <c r="AP214" s="49"/>
      <c r="AQ214" s="49"/>
      <c r="AR214" s="155"/>
      <c r="AS214" s="155"/>
      <c r="AT214" s="155"/>
      <c r="AU214" s="155"/>
      <c r="AV214" s="155"/>
      <c r="AW214" s="155"/>
      <c r="AX214" s="155"/>
      <c r="AY214" s="155"/>
      <c r="AZ214" s="49"/>
      <c r="BA214" s="49"/>
      <c r="BB214" s="49"/>
      <c r="BC214" s="49"/>
      <c r="BD214" s="49"/>
      <c r="BE214" s="49"/>
      <c r="BF214" s="49"/>
      <c r="BG214" s="49"/>
      <c r="BH214" s="49"/>
      <c r="BI214" s="155"/>
      <c r="BJ214" s="155"/>
      <c r="BK214" s="155"/>
      <c r="BL214" s="49"/>
      <c r="BM214" s="49"/>
      <c r="BN214" s="49"/>
      <c r="BO214" s="49"/>
      <c r="BP214" s="49"/>
      <c r="BQ214" s="49"/>
      <c r="BR214" s="49"/>
      <c r="BS214" s="49"/>
      <c r="BT214" s="49"/>
      <c r="BU214" s="49"/>
      <c r="BV214" s="49"/>
      <c r="BW214" s="275" t="s">
        <v>276</v>
      </c>
      <c r="BX214" s="275" t="s">
        <v>200</v>
      </c>
      <c r="BY214" s="271" t="str">
        <f t="shared" si="48"/>
        <v>癸男</v>
      </c>
      <c r="BZ214" s="271" t="s">
        <v>273</v>
      </c>
      <c r="CA214" s="271"/>
      <c r="CB214" s="271"/>
      <c r="CC214" s="271" t="s">
        <v>255</v>
      </c>
      <c r="CD214" s="271" t="s">
        <v>271</v>
      </c>
      <c r="CE214" s="271" t="s">
        <v>249</v>
      </c>
      <c r="CF214" s="271" t="s">
        <v>275</v>
      </c>
      <c r="CG214" s="271" t="s">
        <v>263</v>
      </c>
      <c r="CH214" s="271" t="s">
        <v>267</v>
      </c>
      <c r="CI214" s="271" t="s">
        <v>263</v>
      </c>
      <c r="CJ214" s="271" t="s">
        <v>275</v>
      </c>
      <c r="CK214" s="271" t="s">
        <v>274</v>
      </c>
      <c r="CL214" s="271" t="s">
        <v>259</v>
      </c>
      <c r="CM214" s="271" t="s">
        <v>274</v>
      </c>
      <c r="CN214" s="271" t="s">
        <v>259</v>
      </c>
      <c r="CO214" s="271" t="s">
        <v>267</v>
      </c>
      <c r="CP214" s="271" t="s">
        <v>276</v>
      </c>
      <c r="CQ214" s="271" t="s">
        <v>255</v>
      </c>
      <c r="CR214" s="271" t="s">
        <v>273</v>
      </c>
      <c r="CS214" s="271" t="s">
        <v>271</v>
      </c>
      <c r="CT214" s="271" t="s">
        <v>259</v>
      </c>
      <c r="CU214" s="271" t="s">
        <v>274</v>
      </c>
      <c r="CV214" s="271" t="s">
        <v>273</v>
      </c>
      <c r="CW214" s="271" t="s">
        <v>255</v>
      </c>
      <c r="CX214" s="155" t="str">
        <f>CN214</f>
        <v>丙</v>
      </c>
      <c r="CY214" s="155" t="str">
        <f>CM214</f>
        <v>辛</v>
      </c>
      <c r="CZ214" s="155" t="str">
        <f>CP214</f>
        <v>癸</v>
      </c>
      <c r="DA214" s="155" t="str">
        <f>CO214</f>
        <v>戊</v>
      </c>
      <c r="DB214" s="155" t="str">
        <f>CM214</f>
        <v>辛</v>
      </c>
      <c r="DC214" s="155" t="str">
        <f>CN214</f>
        <v>丙</v>
      </c>
      <c r="DD214" s="155" t="str">
        <f>CE214</f>
        <v>甲</v>
      </c>
      <c r="DE214" s="155" t="str">
        <f>CD214</f>
        <v>己</v>
      </c>
      <c r="DF214" s="155"/>
      <c r="DG214" s="155"/>
      <c r="DH214" s="155"/>
      <c r="DI214" s="155"/>
      <c r="DJ214" s="155"/>
      <c r="DK214" s="155"/>
      <c r="DL214" s="155"/>
      <c r="DM214" s="155"/>
      <c r="DN214" s="155"/>
      <c r="DO214" s="155"/>
      <c r="DP214" s="155"/>
      <c r="DQ214" s="155"/>
      <c r="DR214" s="155"/>
      <c r="DS214" s="155"/>
      <c r="DT214" s="155"/>
      <c r="DU214" s="155"/>
      <c r="DV214" s="155"/>
      <c r="DW214" s="155"/>
      <c r="DX214" s="155"/>
    </row>
    <row r="215" spans="1:128" ht="18" customHeight="1">
      <c r="A215" s="271" t="str">
        <f t="shared" si="46"/>
        <v>玉堂星丙</v>
      </c>
      <c r="B215" s="271" t="s">
        <v>874</v>
      </c>
      <c r="C215" s="271" t="s">
        <v>431</v>
      </c>
      <c r="D215" s="155" t="str">
        <f t="shared" si="47"/>
        <v>乙</v>
      </c>
      <c r="E215" s="49">
        <v>1973</v>
      </c>
      <c r="F215" s="279" t="s">
        <v>857</v>
      </c>
      <c r="G215" s="155"/>
      <c r="H215" s="155"/>
      <c r="I215" s="270"/>
      <c r="J215" s="271" t="s">
        <v>875</v>
      </c>
      <c r="K215" s="280" t="s">
        <v>660</v>
      </c>
      <c r="L215" s="270"/>
      <c r="M215" s="49" t="s">
        <v>876</v>
      </c>
      <c r="N215" s="216" t="s">
        <v>560</v>
      </c>
      <c r="O215" s="155" t="s">
        <v>597</v>
      </c>
      <c r="P215" s="155">
        <f>P144</f>
        <v>1</v>
      </c>
      <c r="Q215" s="155"/>
      <c r="R215" s="155"/>
      <c r="S215" s="155"/>
      <c r="T215" s="155" t="str">
        <f>B215</f>
        <v>丙乙</v>
      </c>
      <c r="U215" s="158" t="e">
        <f>#REF!</f>
        <v>#REF!</v>
      </c>
      <c r="V215" s="155"/>
      <c r="W215" s="155" t="e">
        <f>#REF!</f>
        <v>#REF!</v>
      </c>
      <c r="X215" s="263"/>
      <c r="Y215" s="155"/>
      <c r="Z215" s="155"/>
      <c r="AA215" s="263"/>
      <c r="AB215" s="263"/>
      <c r="AC215" s="155"/>
      <c r="AD215" s="155"/>
      <c r="AE215" s="155"/>
      <c r="AF215" s="155" t="str">
        <f>IF(P144&lt;&gt;0,O144,IF(P145&lt;&gt;0,O145,F10))</f>
        <v>庚</v>
      </c>
      <c r="AG215" s="271"/>
      <c r="AH215" s="271" t="s">
        <v>709</v>
      </c>
      <c r="AI215" s="270">
        <v>9</v>
      </c>
      <c r="AJ215" s="155"/>
      <c r="AK215" s="155"/>
      <c r="AL215" s="271" t="s">
        <v>505</v>
      </c>
      <c r="AM215" s="270">
        <v>9</v>
      </c>
      <c r="AN215" s="270">
        <v>12</v>
      </c>
      <c r="AO215" s="155">
        <f>IF(K141&lt;0,3,IF(K141&lt;10,1,IF(K141&lt;13,2,3)))</f>
        <v>3</v>
      </c>
      <c r="AP215" s="49"/>
      <c r="AQ215" s="49"/>
      <c r="AR215" s="155"/>
      <c r="AS215" s="155"/>
      <c r="AT215" s="155"/>
      <c r="AU215" s="155"/>
      <c r="AV215" s="155"/>
      <c r="AW215" s="155"/>
      <c r="AX215" s="155"/>
      <c r="AY215" s="155"/>
      <c r="AZ215" s="49"/>
      <c r="BA215" s="49"/>
      <c r="BB215" s="49"/>
      <c r="BC215" s="49"/>
      <c r="BD215" s="49"/>
      <c r="BE215" s="49"/>
      <c r="BF215" s="49"/>
      <c r="BG215" s="49"/>
      <c r="BH215" s="49"/>
      <c r="BI215" s="155"/>
      <c r="BJ215" s="155"/>
      <c r="BK215" s="155"/>
      <c r="BL215" s="49"/>
      <c r="BM215" s="49"/>
      <c r="BN215" s="49"/>
      <c r="BO215" s="49"/>
      <c r="BP215" s="49"/>
      <c r="BQ215" s="49"/>
      <c r="BR215" s="49"/>
      <c r="BS215" s="49"/>
      <c r="BT215" s="49"/>
      <c r="BU215" s="49"/>
      <c r="BV215" s="49"/>
      <c r="BW215" s="275" t="s">
        <v>276</v>
      </c>
      <c r="BX215" s="275" t="s">
        <v>407</v>
      </c>
      <c r="BY215" s="271" t="str">
        <f t="shared" si="48"/>
        <v>癸女</v>
      </c>
      <c r="BZ215" s="271" t="s">
        <v>273</v>
      </c>
      <c r="CA215" s="271"/>
      <c r="CB215" s="271"/>
      <c r="CC215" s="271" t="s">
        <v>255</v>
      </c>
      <c r="CD215" s="271" t="s">
        <v>271</v>
      </c>
      <c r="CE215" s="271" t="s">
        <v>249</v>
      </c>
      <c r="CF215" s="271" t="s">
        <v>275</v>
      </c>
      <c r="CG215" s="271" t="s">
        <v>263</v>
      </c>
      <c r="CH215" s="271" t="s">
        <v>267</v>
      </c>
      <c r="CI215" s="271" t="s">
        <v>263</v>
      </c>
      <c r="CJ215" s="271" t="s">
        <v>275</v>
      </c>
      <c r="CK215" s="271" t="s">
        <v>249</v>
      </c>
      <c r="CL215" s="271" t="s">
        <v>271</v>
      </c>
      <c r="CM215" s="271" t="s">
        <v>274</v>
      </c>
      <c r="CN215" s="271" t="s">
        <v>259</v>
      </c>
      <c r="CO215" s="271" t="s">
        <v>267</v>
      </c>
      <c r="CP215" s="271" t="s">
        <v>276</v>
      </c>
      <c r="CQ215" s="271" t="s">
        <v>255</v>
      </c>
      <c r="CR215" s="271" t="s">
        <v>273</v>
      </c>
      <c r="CS215" s="271" t="s">
        <v>271</v>
      </c>
      <c r="CT215" s="271" t="s">
        <v>259</v>
      </c>
      <c r="CU215" s="271" t="s">
        <v>274</v>
      </c>
      <c r="CV215" s="271" t="s">
        <v>255</v>
      </c>
      <c r="CW215" s="271" t="s">
        <v>273</v>
      </c>
      <c r="CX215" s="155" t="str">
        <f>CX214</f>
        <v>丙</v>
      </c>
      <c r="CY215" s="155" t="str">
        <f>CM215</f>
        <v>辛</v>
      </c>
      <c r="CZ215" s="155" t="str">
        <f>CP215</f>
        <v>癸</v>
      </c>
      <c r="DA215" s="155" t="str">
        <f>CO215</f>
        <v>戊</v>
      </c>
      <c r="DB215" s="155" t="str">
        <f>CM215</f>
        <v>辛</v>
      </c>
      <c r="DC215" s="155" t="str">
        <f>CN215</f>
        <v>丙</v>
      </c>
      <c r="DD215" s="155" t="str">
        <f>CE215</f>
        <v>甲</v>
      </c>
      <c r="DE215" s="155" t="str">
        <f>CD215</f>
        <v>己</v>
      </c>
      <c r="DF215" s="155"/>
      <c r="DG215" s="155"/>
      <c r="DH215" s="155"/>
      <c r="DI215" s="155"/>
      <c r="DJ215" s="155"/>
      <c r="DK215" s="155"/>
      <c r="DL215" s="155"/>
      <c r="DM215" s="155"/>
      <c r="DN215" s="155"/>
      <c r="DO215" s="155"/>
      <c r="DP215" s="155"/>
      <c r="DQ215" s="155"/>
      <c r="DR215" s="155"/>
      <c r="DS215" s="155"/>
      <c r="DT215" s="155"/>
      <c r="DU215" s="155"/>
      <c r="DV215" s="155"/>
      <c r="DW215" s="155"/>
      <c r="DX215" s="155"/>
    </row>
    <row r="216" spans="1:128" ht="18" customHeight="1">
      <c r="A216" s="271" t="str">
        <f t="shared" si="46"/>
        <v>玉堂星丁</v>
      </c>
      <c r="B216" s="271" t="s">
        <v>877</v>
      </c>
      <c r="C216" s="271" t="s">
        <v>431</v>
      </c>
      <c r="D216" s="155" t="str">
        <f t="shared" si="47"/>
        <v>甲</v>
      </c>
      <c r="E216" s="49">
        <v>1974</v>
      </c>
      <c r="F216" s="279" t="s">
        <v>643</v>
      </c>
      <c r="G216" s="155"/>
      <c r="H216" s="155"/>
      <c r="I216" s="270"/>
      <c r="J216" s="271" t="s">
        <v>878</v>
      </c>
      <c r="K216" s="280" t="s">
        <v>645</v>
      </c>
      <c r="L216" s="270"/>
      <c r="M216" s="49" t="s">
        <v>879</v>
      </c>
      <c r="N216" s="216" t="s">
        <v>880</v>
      </c>
      <c r="O216" s="155"/>
      <c r="P216" s="270"/>
      <c r="Q216" s="270"/>
      <c r="R216" s="270"/>
      <c r="S216" s="270"/>
      <c r="T216" s="155" t="str">
        <f>F216</f>
        <v>646566788987</v>
      </c>
      <c r="U216" s="158" t="str">
        <f>C216</f>
        <v>玉堂星</v>
      </c>
      <c r="V216" s="155"/>
      <c r="W216" s="155" t="str">
        <f>D216</f>
        <v>甲</v>
      </c>
      <c r="X216" s="263"/>
      <c r="Y216" s="155"/>
      <c r="Z216" s="155"/>
      <c r="AA216" s="263"/>
      <c r="AB216" s="263"/>
      <c r="AC216" s="155"/>
      <c r="AD216" s="155"/>
      <c r="AE216" s="155"/>
      <c r="AF216" s="270"/>
      <c r="AG216" s="271"/>
      <c r="AH216" s="271" t="s">
        <v>704</v>
      </c>
      <c r="AI216" s="270">
        <v>7</v>
      </c>
      <c r="AJ216" s="155"/>
      <c r="AK216" s="155"/>
      <c r="AL216" s="155"/>
      <c r="AM216" s="270"/>
      <c r="AN216" s="270"/>
      <c r="AO216" s="155"/>
      <c r="AP216" s="49"/>
      <c r="AQ216" s="49"/>
      <c r="AR216" s="270"/>
      <c r="AS216" s="270"/>
      <c r="AT216" s="270"/>
      <c r="AU216" s="155"/>
      <c r="AV216" s="155"/>
      <c r="AW216" s="155"/>
      <c r="AX216" s="155"/>
      <c r="AY216" s="155"/>
      <c r="AZ216" s="49"/>
      <c r="BA216" s="49"/>
      <c r="BB216" s="49"/>
      <c r="BC216" s="49"/>
      <c r="BD216" s="49"/>
      <c r="BE216" s="49"/>
      <c r="BF216" s="49"/>
      <c r="BG216" s="49"/>
      <c r="BH216" s="49"/>
      <c r="BI216" s="270"/>
      <c r="BJ216" s="270"/>
      <c r="BK216" s="270"/>
      <c r="BL216" s="49"/>
      <c r="BM216" s="49"/>
      <c r="BN216" s="49"/>
      <c r="BO216" s="49"/>
      <c r="BP216" s="49"/>
      <c r="BQ216" s="49"/>
      <c r="BR216" s="49"/>
      <c r="BS216" s="49"/>
      <c r="BT216" s="49"/>
      <c r="BU216" s="49"/>
      <c r="BV216" s="49"/>
      <c r="BW216" s="275" t="s">
        <v>273</v>
      </c>
      <c r="BX216" s="275" t="s">
        <v>200</v>
      </c>
      <c r="BY216" s="271" t="str">
        <f t="shared" si="48"/>
        <v>庚男</v>
      </c>
      <c r="BZ216" s="271" t="s">
        <v>271</v>
      </c>
      <c r="CA216" s="271"/>
      <c r="CB216" s="271"/>
      <c r="CC216" s="271" t="s">
        <v>249</v>
      </c>
      <c r="CD216" s="271" t="s">
        <v>259</v>
      </c>
      <c r="CE216" s="271" t="s">
        <v>274</v>
      </c>
      <c r="CF216" s="271" t="s">
        <v>276</v>
      </c>
      <c r="CG216" s="271" t="s">
        <v>267</v>
      </c>
      <c r="CH216" s="271" t="s">
        <v>255</v>
      </c>
      <c r="CI216" s="271" t="s">
        <v>275</v>
      </c>
      <c r="CJ216" s="271" t="s">
        <v>263</v>
      </c>
      <c r="CK216" s="271" t="s">
        <v>259</v>
      </c>
      <c r="CL216" s="271" t="s">
        <v>274</v>
      </c>
      <c r="CM216" s="271" t="s">
        <v>267</v>
      </c>
      <c r="CN216" s="271" t="s">
        <v>276</v>
      </c>
      <c r="CO216" s="271" t="s">
        <v>263</v>
      </c>
      <c r="CP216" s="271" t="s">
        <v>275</v>
      </c>
      <c r="CQ216" s="271" t="s">
        <v>273</v>
      </c>
      <c r="CR216" s="271" t="s">
        <v>255</v>
      </c>
      <c r="CS216" s="271" t="s">
        <v>249</v>
      </c>
      <c r="CT216" s="271" t="s">
        <v>276</v>
      </c>
      <c r="CU216" s="271" t="s">
        <v>267</v>
      </c>
      <c r="CV216" s="271" t="s">
        <v>263</v>
      </c>
      <c r="CW216" s="271" t="s">
        <v>275</v>
      </c>
      <c r="CX216" s="155" t="str">
        <f>CH216</f>
        <v>乙</v>
      </c>
      <c r="CY216" s="155" t="str">
        <f>CQ216</f>
        <v>庚</v>
      </c>
      <c r="CZ216" s="155" t="str">
        <f>CG216</f>
        <v>戊</v>
      </c>
      <c r="DA216" s="155" t="str">
        <f>CF216</f>
        <v>癸</v>
      </c>
      <c r="DB216" s="155" t="str">
        <f>CQ216</f>
        <v>庚</v>
      </c>
      <c r="DC216" s="155" t="str">
        <f>CR216</f>
        <v>乙</v>
      </c>
      <c r="DD216" s="155" t="str">
        <f>CO216</f>
        <v>丁</v>
      </c>
      <c r="DE216" s="155" t="str">
        <f>CP216</f>
        <v>壬</v>
      </c>
      <c r="DF216" s="155"/>
      <c r="DG216" s="155"/>
      <c r="DH216" s="155"/>
      <c r="DI216" s="155"/>
      <c r="DJ216" s="155"/>
      <c r="DK216" s="155"/>
      <c r="DL216" s="155"/>
      <c r="DM216" s="155"/>
      <c r="DN216" s="155"/>
      <c r="DO216" s="155"/>
      <c r="DP216" s="155"/>
      <c r="DQ216" s="155"/>
      <c r="DR216" s="155"/>
      <c r="DS216" s="155"/>
      <c r="DT216" s="155"/>
      <c r="DU216" s="155"/>
      <c r="DV216" s="155"/>
      <c r="DW216" s="155"/>
      <c r="DX216" s="155"/>
    </row>
    <row r="217" spans="1:128" ht="18" customHeight="1">
      <c r="A217" s="271" t="str">
        <f t="shared" si="46"/>
        <v>玉堂星庚</v>
      </c>
      <c r="B217" s="271" t="s">
        <v>881</v>
      </c>
      <c r="C217" s="271" t="s">
        <v>431</v>
      </c>
      <c r="D217" s="155" t="str">
        <f t="shared" si="47"/>
        <v>己</v>
      </c>
      <c r="E217" s="49">
        <v>1975</v>
      </c>
      <c r="F217" s="279" t="s">
        <v>461</v>
      </c>
      <c r="G217" s="155"/>
      <c r="H217" s="155"/>
      <c r="I217" s="270"/>
      <c r="J217" s="271" t="s">
        <v>882</v>
      </c>
      <c r="K217" s="280" t="s">
        <v>660</v>
      </c>
      <c r="L217" s="270"/>
      <c r="M217" s="49" t="s">
        <v>883</v>
      </c>
      <c r="N217" s="216" t="s">
        <v>884</v>
      </c>
      <c r="O217" s="155" t="s">
        <v>609</v>
      </c>
      <c r="P217" s="155">
        <f>P145</f>
        <v>2</v>
      </c>
      <c r="Q217" s="155"/>
      <c r="R217" s="155"/>
      <c r="S217" s="155"/>
      <c r="T217" s="155" t="str">
        <f>F217</f>
        <v>646566888988</v>
      </c>
      <c r="U217" s="158" t="str">
        <f>C217</f>
        <v>玉堂星</v>
      </c>
      <c r="V217" s="155"/>
      <c r="W217" s="155" t="str">
        <f>D217</f>
        <v>己</v>
      </c>
      <c r="X217" s="263"/>
      <c r="Y217" s="155"/>
      <c r="Z217" s="155"/>
      <c r="AA217" s="263"/>
      <c r="AB217" s="263"/>
      <c r="AC217" s="155"/>
      <c r="AD217" s="155"/>
      <c r="AE217" s="155"/>
      <c r="AF217" s="155" t="str">
        <f>IF(P145&lt;&gt;0,O145,IF(P144&lt;&gt;0,O144,F10))</f>
        <v>辛</v>
      </c>
      <c r="AG217" s="271"/>
      <c r="AH217" s="271" t="s">
        <v>699</v>
      </c>
      <c r="AI217" s="270">
        <v>10</v>
      </c>
      <c r="AJ217" s="155"/>
      <c r="AK217" s="155"/>
      <c r="AL217" s="155"/>
      <c r="AM217" s="155"/>
      <c r="AN217" s="155"/>
      <c r="AO217" s="155"/>
      <c r="AP217" s="49"/>
      <c r="AQ217" s="49"/>
      <c r="AR217" s="155"/>
      <c r="AS217" s="155"/>
      <c r="AT217" s="155"/>
      <c r="AU217" s="155"/>
      <c r="AV217" s="155"/>
      <c r="AW217" s="155"/>
      <c r="AX217" s="155"/>
      <c r="AY217" s="155"/>
      <c r="AZ217" s="49"/>
      <c r="BA217" s="49"/>
      <c r="BB217" s="49"/>
      <c r="BC217" s="49"/>
      <c r="BD217" s="49"/>
      <c r="BE217" s="49"/>
      <c r="BF217" s="49"/>
      <c r="BG217" s="49"/>
      <c r="BH217" s="49"/>
      <c r="BI217" s="155"/>
      <c r="BJ217" s="155"/>
      <c r="BK217" s="155"/>
      <c r="BL217" s="49"/>
      <c r="BM217" s="49"/>
      <c r="BN217" s="49"/>
      <c r="BO217" s="49"/>
      <c r="BP217" s="49"/>
      <c r="BQ217" s="49"/>
      <c r="BR217" s="49"/>
      <c r="BS217" s="49"/>
      <c r="BT217" s="49"/>
      <c r="BU217" s="49"/>
      <c r="BV217" s="49"/>
      <c r="BW217" s="275" t="s">
        <v>273</v>
      </c>
      <c r="BX217" s="275" t="s">
        <v>407</v>
      </c>
      <c r="BY217" s="271" t="str">
        <f t="shared" si="48"/>
        <v>庚女</v>
      </c>
      <c r="BZ217" s="271" t="s">
        <v>271</v>
      </c>
      <c r="CA217" s="271"/>
      <c r="CB217" s="271"/>
      <c r="CC217" s="271" t="s">
        <v>249</v>
      </c>
      <c r="CD217" s="271" t="s">
        <v>259</v>
      </c>
      <c r="CE217" s="271" t="s">
        <v>274</v>
      </c>
      <c r="CF217" s="271" t="s">
        <v>276</v>
      </c>
      <c r="CG217" s="271" t="s">
        <v>267</v>
      </c>
      <c r="CH217" s="271" t="s">
        <v>255</v>
      </c>
      <c r="CI217" s="271" t="s">
        <v>275</v>
      </c>
      <c r="CJ217" s="271" t="s">
        <v>263</v>
      </c>
      <c r="CK217" s="271" t="s">
        <v>276</v>
      </c>
      <c r="CL217" s="271" t="s">
        <v>267</v>
      </c>
      <c r="CM217" s="271" t="s">
        <v>267</v>
      </c>
      <c r="CN217" s="271" t="s">
        <v>276</v>
      </c>
      <c r="CO217" s="271" t="s">
        <v>263</v>
      </c>
      <c r="CP217" s="271" t="s">
        <v>275</v>
      </c>
      <c r="CQ217" s="271" t="s">
        <v>273</v>
      </c>
      <c r="CR217" s="271" t="s">
        <v>255</v>
      </c>
      <c r="CS217" s="271" t="s">
        <v>249</v>
      </c>
      <c r="CT217" s="271" t="s">
        <v>276</v>
      </c>
      <c r="CU217" s="271" t="s">
        <v>267</v>
      </c>
      <c r="CV217" s="271" t="s">
        <v>267</v>
      </c>
      <c r="CW217" s="271" t="s">
        <v>276</v>
      </c>
      <c r="CX217" s="155" t="str">
        <f>CX216</f>
        <v>乙</v>
      </c>
      <c r="CY217" s="155" t="str">
        <f>CQ217</f>
        <v>庚</v>
      </c>
      <c r="CZ217" s="155" t="str">
        <f>CG217</f>
        <v>戊</v>
      </c>
      <c r="DA217" s="155" t="str">
        <f>CF217</f>
        <v>癸</v>
      </c>
      <c r="DB217" s="155" t="str">
        <f>CQ217</f>
        <v>庚</v>
      </c>
      <c r="DC217" s="155" t="str">
        <f>CR217</f>
        <v>乙</v>
      </c>
      <c r="DD217" s="155" t="str">
        <f>CO217</f>
        <v>丁</v>
      </c>
      <c r="DE217" s="155" t="str">
        <f>CP217</f>
        <v>壬</v>
      </c>
      <c r="DF217" s="155"/>
      <c r="DG217" s="155"/>
      <c r="DH217" s="155"/>
      <c r="DI217" s="155"/>
      <c r="DJ217" s="155"/>
      <c r="DK217" s="155"/>
      <c r="DL217" s="155"/>
      <c r="DM217" s="155"/>
      <c r="DN217" s="155"/>
      <c r="DO217" s="155"/>
      <c r="DP217" s="155"/>
      <c r="DQ217" s="155"/>
      <c r="DR217" s="155"/>
      <c r="DS217" s="155"/>
      <c r="DT217" s="155"/>
      <c r="DU217" s="155"/>
      <c r="DV217" s="155"/>
      <c r="DW217" s="155"/>
      <c r="DX217" s="155"/>
    </row>
    <row r="218" spans="1:128" ht="18" customHeight="1">
      <c r="A218" s="271" t="str">
        <f t="shared" si="46"/>
        <v>玉堂星辛</v>
      </c>
      <c r="B218" s="271" t="s">
        <v>885</v>
      </c>
      <c r="C218" s="271" t="s">
        <v>431</v>
      </c>
      <c r="D218" s="155" t="str">
        <f t="shared" si="47"/>
        <v>戊</v>
      </c>
      <c r="E218" s="49">
        <v>1976</v>
      </c>
      <c r="F218" s="279" t="s">
        <v>871</v>
      </c>
      <c r="G218" s="155"/>
      <c r="H218" s="155"/>
      <c r="I218" s="270"/>
      <c r="J218" s="271" t="s">
        <v>886</v>
      </c>
      <c r="K218" s="280" t="s">
        <v>660</v>
      </c>
      <c r="L218" s="270"/>
      <c r="M218" s="49" t="s">
        <v>887</v>
      </c>
      <c r="N218" s="216" t="s">
        <v>888</v>
      </c>
      <c r="O218" s="155" t="s">
        <v>615</v>
      </c>
      <c r="P218" s="155">
        <f>P146</f>
        <v>1</v>
      </c>
      <c r="Q218" s="155"/>
      <c r="R218" s="155"/>
      <c r="S218" s="155"/>
      <c r="T218" s="155" t="str">
        <f>B218</f>
        <v>辛戊</v>
      </c>
      <c r="U218" s="158" t="e">
        <f>#REF!</f>
        <v>#REF!</v>
      </c>
      <c r="V218" s="155"/>
      <c r="W218" s="155" t="e">
        <f>#REF!</f>
        <v>#REF!</v>
      </c>
      <c r="X218" s="263"/>
      <c r="Y218" s="155"/>
      <c r="Z218" s="155"/>
      <c r="AA218" s="263"/>
      <c r="AB218" s="263"/>
      <c r="AC218" s="155"/>
      <c r="AD218" s="155"/>
      <c r="AE218" s="155"/>
      <c r="AF218" s="155" t="str">
        <f>IF(P146&lt;&gt;0,O146,IF(P147&lt;&gt;0,O147,F10))</f>
        <v>壬</v>
      </c>
      <c r="AG218" s="271"/>
      <c r="AH218" s="271" t="s">
        <v>694</v>
      </c>
      <c r="AI218" s="270">
        <v>11</v>
      </c>
      <c r="AJ218" s="155"/>
      <c r="AK218" s="155"/>
      <c r="AL218" s="155"/>
      <c r="AM218" s="155"/>
      <c r="AN218" s="155"/>
      <c r="AO218" s="155"/>
      <c r="AP218" s="49"/>
      <c r="AQ218" s="49"/>
      <c r="AR218" s="155"/>
      <c r="AS218" s="155"/>
      <c r="AT218" s="155"/>
      <c r="AU218" s="155"/>
      <c r="AV218" s="155"/>
      <c r="AW218" s="155"/>
      <c r="AX218" s="155"/>
      <c r="AY218" s="155"/>
      <c r="AZ218" s="49"/>
      <c r="BA218" s="49"/>
      <c r="BB218" s="49"/>
      <c r="BC218" s="49"/>
      <c r="BD218" s="49"/>
      <c r="BE218" s="49"/>
      <c r="BF218" s="49"/>
      <c r="BG218" s="49"/>
      <c r="BH218" s="49"/>
      <c r="BI218" s="155"/>
      <c r="BJ218" s="155"/>
      <c r="BK218" s="155"/>
      <c r="BL218" s="49"/>
      <c r="BM218" s="49"/>
      <c r="BN218" s="49"/>
      <c r="BO218" s="49"/>
      <c r="BP218" s="49"/>
      <c r="BQ218" s="49"/>
      <c r="BR218" s="49"/>
      <c r="BS218" s="49"/>
      <c r="BT218" s="49"/>
      <c r="BU218" s="49"/>
      <c r="BV218" s="49"/>
      <c r="BW218" s="275" t="s">
        <v>274</v>
      </c>
      <c r="BX218" s="275" t="s">
        <v>200</v>
      </c>
      <c r="BY218" s="271" t="str">
        <f t="shared" si="48"/>
        <v>辛男</v>
      </c>
      <c r="BZ218" s="271" t="s">
        <v>267</v>
      </c>
      <c r="CA218" s="271"/>
      <c r="CB218" s="271"/>
      <c r="CC218" s="271" t="s">
        <v>276</v>
      </c>
      <c r="CD218" s="271" t="s">
        <v>263</v>
      </c>
      <c r="CE218" s="271" t="s">
        <v>275</v>
      </c>
      <c r="CF218" s="271" t="s">
        <v>273</v>
      </c>
      <c r="CG218" s="271" t="s">
        <v>255</v>
      </c>
      <c r="CH218" s="271" t="s">
        <v>259</v>
      </c>
      <c r="CI218" s="271" t="s">
        <v>255</v>
      </c>
      <c r="CJ218" s="271" t="s">
        <v>273</v>
      </c>
      <c r="CK218" s="271" t="s">
        <v>271</v>
      </c>
      <c r="CL218" s="271" t="s">
        <v>249</v>
      </c>
      <c r="CM218" s="271" t="s">
        <v>271</v>
      </c>
      <c r="CN218" s="271" t="s">
        <v>249</v>
      </c>
      <c r="CO218" s="271" t="s">
        <v>259</v>
      </c>
      <c r="CP218" s="271" t="s">
        <v>274</v>
      </c>
      <c r="CQ218" s="271" t="s">
        <v>276</v>
      </c>
      <c r="CR218" s="271" t="s">
        <v>267</v>
      </c>
      <c r="CS218" s="271" t="s">
        <v>263</v>
      </c>
      <c r="CT218" s="271" t="s">
        <v>249</v>
      </c>
      <c r="CU218" s="271" t="s">
        <v>271</v>
      </c>
      <c r="CV218" s="271" t="s">
        <v>267</v>
      </c>
      <c r="CW218" s="271" t="s">
        <v>276</v>
      </c>
      <c r="CX218" s="155" t="str">
        <f>CN218</f>
        <v>甲</v>
      </c>
      <c r="CY218" s="155" t="str">
        <f>CM218</f>
        <v>己</v>
      </c>
      <c r="CZ218" s="155" t="str">
        <f>CP218</f>
        <v>辛</v>
      </c>
      <c r="DA218" s="155" t="str">
        <f>CO218</f>
        <v>丙</v>
      </c>
      <c r="DB218" s="155" t="str">
        <f>CM218</f>
        <v>己</v>
      </c>
      <c r="DC218" s="155" t="str">
        <f>CN218</f>
        <v>甲</v>
      </c>
      <c r="DD218" s="155" t="str">
        <f>CE218</f>
        <v>壬</v>
      </c>
      <c r="DE218" s="155" t="str">
        <f>CD218</f>
        <v>丁</v>
      </c>
      <c r="DF218" s="155"/>
      <c r="DG218" s="155"/>
      <c r="DH218" s="155"/>
      <c r="DI218" s="155"/>
      <c r="DJ218" s="155"/>
      <c r="DK218" s="155"/>
      <c r="DL218" s="155"/>
      <c r="DM218" s="155"/>
      <c r="DN218" s="155"/>
      <c r="DO218" s="155"/>
      <c r="DP218" s="155"/>
      <c r="DQ218" s="155"/>
      <c r="DR218" s="155"/>
      <c r="DS218" s="155"/>
      <c r="DT218" s="155"/>
      <c r="DU218" s="155"/>
      <c r="DV218" s="155"/>
      <c r="DW218" s="155"/>
      <c r="DX218" s="155"/>
    </row>
    <row r="219" spans="1:128" ht="18" customHeight="1">
      <c r="A219" s="271" t="str">
        <f t="shared" si="46"/>
        <v>玉堂星壬</v>
      </c>
      <c r="B219" s="271" t="s">
        <v>889</v>
      </c>
      <c r="C219" s="271" t="s">
        <v>431</v>
      </c>
      <c r="D219" s="155" t="str">
        <f t="shared" si="47"/>
        <v>辛</v>
      </c>
      <c r="E219" s="49">
        <v>1977</v>
      </c>
      <c r="F219" s="279" t="s">
        <v>857</v>
      </c>
      <c r="G219" s="155"/>
      <c r="H219" s="155"/>
      <c r="I219" s="270"/>
      <c r="J219" s="271" t="s">
        <v>890</v>
      </c>
      <c r="K219" s="280" t="s">
        <v>628</v>
      </c>
      <c r="L219" s="270"/>
      <c r="M219" s="49" t="s">
        <v>583</v>
      </c>
      <c r="N219" s="216" t="s">
        <v>891</v>
      </c>
      <c r="O219" s="155"/>
      <c r="P219" s="155"/>
      <c r="Q219" s="155"/>
      <c r="R219" s="155"/>
      <c r="S219" s="155"/>
      <c r="T219" s="155" t="str">
        <f>B219</f>
        <v>壬辛</v>
      </c>
      <c r="U219" s="158" t="e">
        <f>#REF!</f>
        <v>#REF!</v>
      </c>
      <c r="V219" s="155"/>
      <c r="W219" s="155" t="e">
        <f>#REF!</f>
        <v>#REF!</v>
      </c>
      <c r="X219" s="263"/>
      <c r="Y219" s="155"/>
      <c r="Z219" s="155"/>
      <c r="AA219" s="263"/>
      <c r="AB219" s="263"/>
      <c r="AC219" s="155"/>
      <c r="AD219" s="155"/>
      <c r="AE219" s="155"/>
      <c r="AF219" s="155"/>
      <c r="AG219" s="271"/>
      <c r="AH219" s="271" t="s">
        <v>689</v>
      </c>
      <c r="AI219" s="270">
        <v>12</v>
      </c>
      <c r="AJ219" s="155"/>
      <c r="AK219" s="239" t="s">
        <v>892</v>
      </c>
      <c r="AL219" s="239" t="s">
        <v>893</v>
      </c>
      <c r="AM219" s="155"/>
      <c r="AN219" s="155"/>
      <c r="AO219" s="155"/>
      <c r="AP219" s="49"/>
      <c r="AQ219" s="49"/>
      <c r="AR219" s="155"/>
      <c r="AS219" s="155"/>
      <c r="AT219" s="155"/>
      <c r="AU219" s="155"/>
      <c r="AV219" s="155"/>
      <c r="AW219" s="155"/>
      <c r="AX219" s="155"/>
      <c r="AY219" s="155"/>
      <c r="AZ219" s="49"/>
      <c r="BA219" s="49"/>
      <c r="BB219" s="49"/>
      <c r="BC219" s="49"/>
      <c r="BD219" s="49"/>
      <c r="BE219" s="49"/>
      <c r="BF219" s="49"/>
      <c r="BG219" s="49"/>
      <c r="BH219" s="49"/>
      <c r="BI219" s="155"/>
      <c r="BJ219" s="155"/>
      <c r="BK219" s="155"/>
      <c r="BL219" s="49"/>
      <c r="BM219" s="49"/>
      <c r="BN219" s="49"/>
      <c r="BO219" s="49"/>
      <c r="BP219" s="49"/>
      <c r="BQ219" s="49"/>
      <c r="BR219" s="49"/>
      <c r="BS219" s="49"/>
      <c r="BT219" s="49"/>
      <c r="BU219" s="49"/>
      <c r="BV219" s="49"/>
      <c r="BW219" s="275" t="s">
        <v>274</v>
      </c>
      <c r="BX219" s="275" t="s">
        <v>407</v>
      </c>
      <c r="BY219" s="271" t="str">
        <f t="shared" si="48"/>
        <v>辛女</v>
      </c>
      <c r="BZ219" s="271" t="s">
        <v>267</v>
      </c>
      <c r="CA219" s="271"/>
      <c r="CB219" s="271"/>
      <c r="CC219" s="271" t="s">
        <v>276</v>
      </c>
      <c r="CD219" s="271" t="s">
        <v>263</v>
      </c>
      <c r="CE219" s="271" t="s">
        <v>275</v>
      </c>
      <c r="CF219" s="271" t="s">
        <v>273</v>
      </c>
      <c r="CG219" s="271" t="s">
        <v>255</v>
      </c>
      <c r="CH219" s="271" t="s">
        <v>259</v>
      </c>
      <c r="CI219" s="271" t="s">
        <v>255</v>
      </c>
      <c r="CJ219" s="271" t="s">
        <v>273</v>
      </c>
      <c r="CK219" s="271" t="s">
        <v>275</v>
      </c>
      <c r="CL219" s="271" t="s">
        <v>263</v>
      </c>
      <c r="CM219" s="271" t="s">
        <v>271</v>
      </c>
      <c r="CN219" s="271" t="s">
        <v>249</v>
      </c>
      <c r="CO219" s="271" t="s">
        <v>259</v>
      </c>
      <c r="CP219" s="271" t="s">
        <v>274</v>
      </c>
      <c r="CQ219" s="271" t="s">
        <v>276</v>
      </c>
      <c r="CR219" s="271" t="s">
        <v>267</v>
      </c>
      <c r="CS219" s="271" t="s">
        <v>263</v>
      </c>
      <c r="CT219" s="271" t="s">
        <v>249</v>
      </c>
      <c r="CU219" s="271" t="s">
        <v>271</v>
      </c>
      <c r="CV219" s="271" t="s">
        <v>276</v>
      </c>
      <c r="CW219" s="271" t="s">
        <v>267</v>
      </c>
      <c r="CX219" s="155" t="str">
        <f>CX218</f>
        <v>甲</v>
      </c>
      <c r="CY219" s="155" t="str">
        <f>CM219</f>
        <v>己</v>
      </c>
      <c r="CZ219" s="155" t="str">
        <f>CP219</f>
        <v>辛</v>
      </c>
      <c r="DA219" s="155" t="str">
        <f>CO219</f>
        <v>丙</v>
      </c>
      <c r="DB219" s="155" t="str">
        <f>CM219</f>
        <v>己</v>
      </c>
      <c r="DC219" s="155" t="str">
        <f>CN219</f>
        <v>甲</v>
      </c>
      <c r="DD219" s="155" t="str">
        <f>CE219</f>
        <v>壬</v>
      </c>
      <c r="DE219" s="155" t="str">
        <f>CD219</f>
        <v>丁</v>
      </c>
      <c r="DF219" s="155"/>
      <c r="DG219" s="155"/>
      <c r="DH219" s="155"/>
      <c r="DI219" s="155"/>
      <c r="DJ219" s="155"/>
      <c r="DK219" s="155"/>
      <c r="DL219" s="155"/>
      <c r="DM219" s="155"/>
      <c r="DN219" s="155"/>
      <c r="DO219" s="155"/>
      <c r="DP219" s="155"/>
      <c r="DQ219" s="155"/>
      <c r="DR219" s="155"/>
      <c r="DS219" s="155"/>
      <c r="DT219" s="155"/>
      <c r="DU219" s="155"/>
      <c r="DV219" s="155"/>
      <c r="DW219" s="155"/>
      <c r="DX219" s="155"/>
    </row>
    <row r="220" spans="1:128" ht="18" customHeight="1">
      <c r="A220" s="271" t="str">
        <f t="shared" si="46"/>
        <v>玉堂星癸</v>
      </c>
      <c r="B220" s="271" t="s">
        <v>894</v>
      </c>
      <c r="C220" s="271" t="s">
        <v>431</v>
      </c>
      <c r="D220" s="155" t="str">
        <f t="shared" si="47"/>
        <v>庚</v>
      </c>
      <c r="E220" s="49">
        <v>1978</v>
      </c>
      <c r="F220" s="279" t="s">
        <v>643</v>
      </c>
      <c r="G220" s="155"/>
      <c r="H220" s="155"/>
      <c r="I220" s="270"/>
      <c r="J220" s="271" t="s">
        <v>895</v>
      </c>
      <c r="K220" s="280" t="s">
        <v>612</v>
      </c>
      <c r="L220" s="270"/>
      <c r="M220" s="49" t="s">
        <v>896</v>
      </c>
      <c r="N220" s="216" t="s">
        <v>590</v>
      </c>
      <c r="O220" s="155" t="s">
        <v>625</v>
      </c>
      <c r="P220" s="155">
        <f>P147</f>
        <v>1</v>
      </c>
      <c r="Q220" s="155"/>
      <c r="R220" s="155"/>
      <c r="S220" s="155"/>
      <c r="T220" s="155" t="str">
        <f>F220</f>
        <v>646566788987</v>
      </c>
      <c r="U220" s="158" t="str">
        <f>C220</f>
        <v>玉堂星</v>
      </c>
      <c r="V220" s="155"/>
      <c r="W220" s="155" t="str">
        <f>D220</f>
        <v>庚</v>
      </c>
      <c r="X220" s="263"/>
      <c r="Y220" s="155"/>
      <c r="Z220" s="155"/>
      <c r="AA220" s="263"/>
      <c r="AB220" s="263"/>
      <c r="AC220" s="155"/>
      <c r="AD220" s="155"/>
      <c r="AE220" s="155"/>
      <c r="AF220" s="155" t="str">
        <f>IF(P147&lt;&gt;0,O147,IF(P146&lt;&gt;0,O146,F10))</f>
        <v>癸</v>
      </c>
      <c r="AG220" s="271"/>
      <c r="AH220" s="271" t="s">
        <v>684</v>
      </c>
      <c r="AI220" s="270">
        <v>8</v>
      </c>
      <c r="AJ220" s="155"/>
      <c r="AK220" s="271" t="s">
        <v>526</v>
      </c>
      <c r="AL220" s="271" t="s">
        <v>434</v>
      </c>
      <c r="AM220" s="155"/>
      <c r="AN220" s="155" t="s">
        <v>460</v>
      </c>
      <c r="AO220" s="155" t="s">
        <v>250</v>
      </c>
      <c r="AP220" s="49"/>
      <c r="AQ220" s="49"/>
      <c r="AR220" s="155"/>
      <c r="AS220" s="155"/>
      <c r="AT220" s="155"/>
      <c r="AU220" s="155"/>
      <c r="AV220" s="155"/>
      <c r="AW220" s="155"/>
      <c r="AX220" s="155"/>
      <c r="AY220" s="155"/>
      <c r="AZ220" s="49"/>
      <c r="BA220" s="49"/>
      <c r="BB220" s="49"/>
      <c r="BC220" s="49"/>
      <c r="BD220" s="49"/>
      <c r="BE220" s="49"/>
      <c r="BF220" s="49"/>
      <c r="BG220" s="49"/>
      <c r="BH220" s="49"/>
      <c r="BI220" s="155"/>
      <c r="BJ220" s="155"/>
      <c r="BK220" s="155"/>
      <c r="BL220" s="49"/>
      <c r="BM220" s="49"/>
      <c r="BN220" s="49"/>
      <c r="BO220" s="49"/>
      <c r="BP220" s="49"/>
      <c r="BQ220" s="49"/>
      <c r="BR220" s="49"/>
      <c r="BS220" s="49"/>
      <c r="BT220" s="49"/>
      <c r="BU220" s="49"/>
      <c r="BV220" s="49"/>
      <c r="BW220" s="275" t="s">
        <v>259</v>
      </c>
      <c r="BX220" s="275" t="s">
        <v>200</v>
      </c>
      <c r="BY220" s="271" t="str">
        <f t="shared" si="48"/>
        <v>丙男</v>
      </c>
      <c r="BZ220" s="271" t="s">
        <v>255</v>
      </c>
      <c r="CA220" s="271"/>
      <c r="CB220" s="271"/>
      <c r="CC220" s="271" t="s">
        <v>273</v>
      </c>
      <c r="CD220" s="271" t="s">
        <v>275</v>
      </c>
      <c r="CE220" s="271" t="s">
        <v>263</v>
      </c>
      <c r="CF220" s="271" t="s">
        <v>271</v>
      </c>
      <c r="CG220" s="271" t="s">
        <v>249</v>
      </c>
      <c r="CH220" s="271" t="s">
        <v>274</v>
      </c>
      <c r="CI220" s="271" t="s">
        <v>267</v>
      </c>
      <c r="CJ220" s="271" t="s">
        <v>276</v>
      </c>
      <c r="CK220" s="271" t="s">
        <v>275</v>
      </c>
      <c r="CL220" s="271" t="s">
        <v>263</v>
      </c>
      <c r="CM220" s="271" t="s">
        <v>249</v>
      </c>
      <c r="CN220" s="271" t="s">
        <v>271</v>
      </c>
      <c r="CO220" s="271" t="s">
        <v>276</v>
      </c>
      <c r="CP220" s="271" t="s">
        <v>267</v>
      </c>
      <c r="CQ220" s="271" t="s">
        <v>259</v>
      </c>
      <c r="CR220" s="271" t="s">
        <v>274</v>
      </c>
      <c r="CS220" s="271" t="s">
        <v>273</v>
      </c>
      <c r="CT220" s="271" t="s">
        <v>271</v>
      </c>
      <c r="CU220" s="271" t="s">
        <v>249</v>
      </c>
      <c r="CV220" s="271" t="s">
        <v>276</v>
      </c>
      <c r="CW220" s="271" t="s">
        <v>267</v>
      </c>
      <c r="CX220" s="155" t="str">
        <f>CH220</f>
        <v>辛</v>
      </c>
      <c r="CY220" s="155" t="str">
        <f>CQ220</f>
        <v>丙</v>
      </c>
      <c r="CZ220" s="155" t="str">
        <f>CG220</f>
        <v>甲</v>
      </c>
      <c r="DA220" s="155" t="str">
        <f>CF220</f>
        <v>己</v>
      </c>
      <c r="DB220" s="155" t="str">
        <f>CQ220</f>
        <v>丙</v>
      </c>
      <c r="DC220" s="155" t="str">
        <f>CR220</f>
        <v>辛</v>
      </c>
      <c r="DD220" s="155" t="str">
        <f>CO220</f>
        <v>癸</v>
      </c>
      <c r="DE220" s="155" t="str">
        <f>CP220</f>
        <v>戊</v>
      </c>
      <c r="DF220" s="155"/>
      <c r="DG220" s="155"/>
      <c r="DH220" s="155"/>
      <c r="DI220" s="155"/>
      <c r="DJ220" s="155"/>
      <c r="DK220" s="155"/>
      <c r="DL220" s="155"/>
      <c r="DM220" s="155"/>
      <c r="DN220" s="155"/>
      <c r="DO220" s="155"/>
      <c r="DP220" s="155"/>
      <c r="DQ220" s="155"/>
      <c r="DR220" s="155"/>
      <c r="DS220" s="155"/>
      <c r="DT220" s="155"/>
      <c r="DU220" s="155"/>
      <c r="DV220" s="155"/>
      <c r="DW220" s="155"/>
      <c r="DX220" s="155"/>
    </row>
    <row r="221" spans="1:128" ht="18" customHeight="1">
      <c r="A221" s="271" t="str">
        <f t="shared" si="46"/>
        <v>玉堂星戊</v>
      </c>
      <c r="B221" s="271" t="s">
        <v>897</v>
      </c>
      <c r="C221" s="271" t="s">
        <v>431</v>
      </c>
      <c r="D221" s="155" t="str">
        <f t="shared" si="47"/>
        <v>丁</v>
      </c>
      <c r="E221" s="49">
        <v>1979</v>
      </c>
      <c r="F221" s="279" t="s">
        <v>461</v>
      </c>
      <c r="G221" s="155"/>
      <c r="H221" s="155"/>
      <c r="I221" s="270"/>
      <c r="J221" s="271" t="s">
        <v>898</v>
      </c>
      <c r="K221" s="280" t="s">
        <v>612</v>
      </c>
      <c r="L221" s="270"/>
      <c r="M221" s="49" t="s">
        <v>899</v>
      </c>
      <c r="N221" s="216" t="s">
        <v>900</v>
      </c>
      <c r="O221" s="155" t="s">
        <v>631</v>
      </c>
      <c r="P221" s="155">
        <f>P138</f>
        <v>0</v>
      </c>
      <c r="Q221" s="155"/>
      <c r="R221" s="155"/>
      <c r="S221" s="155"/>
      <c r="T221" s="155" t="str">
        <f>F221</f>
        <v>646566888988</v>
      </c>
      <c r="U221" s="158" t="str">
        <f>C221</f>
        <v>玉堂星</v>
      </c>
      <c r="V221" s="155"/>
      <c r="W221" s="155" t="str">
        <f>D221</f>
        <v>丁</v>
      </c>
      <c r="X221" s="263"/>
      <c r="Y221" s="155"/>
      <c r="Z221" s="155"/>
      <c r="AA221" s="263"/>
      <c r="AB221" s="263"/>
      <c r="AC221" s="155"/>
      <c r="AD221" s="155"/>
      <c r="AE221" s="155"/>
      <c r="AF221" s="155" t="str">
        <f>IF(P138&lt;&gt;0,O138,IF(P139&lt;&gt;0,O139,F10))</f>
        <v>癸</v>
      </c>
      <c r="AG221" s="271"/>
      <c r="AH221" s="271" t="s">
        <v>679</v>
      </c>
      <c r="AI221" s="270">
        <v>4</v>
      </c>
      <c r="AJ221" s="155"/>
      <c r="AK221" s="271" t="s">
        <v>532</v>
      </c>
      <c r="AL221" s="271" t="s">
        <v>434</v>
      </c>
      <c r="AM221" s="155"/>
      <c r="AN221" s="155" t="s">
        <v>465</v>
      </c>
      <c r="AO221" s="155" t="s">
        <v>250</v>
      </c>
      <c r="AP221" s="49"/>
      <c r="AQ221" s="49"/>
      <c r="AR221" s="155"/>
      <c r="AS221" s="155"/>
      <c r="AT221" s="155"/>
      <c r="AU221" s="155"/>
      <c r="AV221" s="155"/>
      <c r="AW221" s="155"/>
      <c r="AX221" s="155"/>
      <c r="AY221" s="155"/>
      <c r="AZ221" s="49"/>
      <c r="BA221" s="49"/>
      <c r="BB221" s="49"/>
      <c r="BC221" s="49"/>
      <c r="BD221" s="49"/>
      <c r="BE221" s="49"/>
      <c r="BF221" s="49"/>
      <c r="BG221" s="49"/>
      <c r="BH221" s="49"/>
      <c r="BI221" s="155"/>
      <c r="BJ221" s="155"/>
      <c r="BK221" s="155"/>
      <c r="BL221" s="49"/>
      <c r="BM221" s="49"/>
      <c r="BN221" s="49"/>
      <c r="BO221" s="49"/>
      <c r="BP221" s="49"/>
      <c r="BQ221" s="49"/>
      <c r="BR221" s="49"/>
      <c r="BS221" s="49"/>
      <c r="BT221" s="49"/>
      <c r="BU221" s="49"/>
      <c r="BV221" s="49"/>
      <c r="BW221" s="275" t="s">
        <v>259</v>
      </c>
      <c r="BX221" s="275" t="s">
        <v>407</v>
      </c>
      <c r="BY221" s="271" t="str">
        <f t="shared" si="48"/>
        <v>丙女</v>
      </c>
      <c r="BZ221" s="271" t="s">
        <v>255</v>
      </c>
      <c r="CA221" s="271"/>
      <c r="CB221" s="271"/>
      <c r="CC221" s="271" t="s">
        <v>273</v>
      </c>
      <c r="CD221" s="271" t="s">
        <v>275</v>
      </c>
      <c r="CE221" s="271" t="s">
        <v>263</v>
      </c>
      <c r="CF221" s="271" t="s">
        <v>271</v>
      </c>
      <c r="CG221" s="271" t="s">
        <v>249</v>
      </c>
      <c r="CH221" s="271" t="s">
        <v>274</v>
      </c>
      <c r="CI221" s="271" t="s">
        <v>267</v>
      </c>
      <c r="CJ221" s="271" t="s">
        <v>276</v>
      </c>
      <c r="CK221" s="271" t="s">
        <v>271</v>
      </c>
      <c r="CL221" s="271" t="s">
        <v>249</v>
      </c>
      <c r="CM221" s="271" t="s">
        <v>249</v>
      </c>
      <c r="CN221" s="271" t="s">
        <v>271</v>
      </c>
      <c r="CO221" s="271" t="s">
        <v>276</v>
      </c>
      <c r="CP221" s="271" t="s">
        <v>267</v>
      </c>
      <c r="CQ221" s="271" t="s">
        <v>259</v>
      </c>
      <c r="CR221" s="271" t="s">
        <v>274</v>
      </c>
      <c r="CS221" s="271" t="s">
        <v>273</v>
      </c>
      <c r="CT221" s="271" t="s">
        <v>271</v>
      </c>
      <c r="CU221" s="271" t="s">
        <v>249</v>
      </c>
      <c r="CV221" s="271" t="s">
        <v>267</v>
      </c>
      <c r="CW221" s="271" t="s">
        <v>276</v>
      </c>
      <c r="CX221" s="155" t="str">
        <f>CX220</f>
        <v>辛</v>
      </c>
      <c r="CY221" s="155" t="str">
        <f>CQ221</f>
        <v>丙</v>
      </c>
      <c r="CZ221" s="155" t="str">
        <f>CG221</f>
        <v>甲</v>
      </c>
      <c r="DA221" s="155" t="str">
        <f>CF221</f>
        <v>己</v>
      </c>
      <c r="DB221" s="155" t="str">
        <f>CQ221</f>
        <v>丙</v>
      </c>
      <c r="DC221" s="155" t="str">
        <f>CR221</f>
        <v>辛</v>
      </c>
      <c r="DD221" s="155" t="str">
        <f>CO221</f>
        <v>癸</v>
      </c>
      <c r="DE221" s="155" t="str">
        <f>CP221</f>
        <v>戊</v>
      </c>
      <c r="DF221" s="155"/>
      <c r="DG221" s="155"/>
      <c r="DH221" s="155"/>
      <c r="DI221" s="155"/>
      <c r="DJ221" s="155"/>
      <c r="DK221" s="155"/>
      <c r="DL221" s="155"/>
      <c r="DM221" s="155"/>
      <c r="DN221" s="155"/>
      <c r="DO221" s="155"/>
      <c r="DP221" s="155"/>
      <c r="DQ221" s="155"/>
      <c r="DR221" s="155"/>
      <c r="DS221" s="155"/>
      <c r="DT221" s="155"/>
      <c r="DU221" s="155"/>
      <c r="DV221" s="155"/>
      <c r="DW221" s="155"/>
      <c r="DX221" s="155"/>
    </row>
    <row r="222" spans="1:128" ht="18" customHeight="1">
      <c r="A222" s="271" t="str">
        <f t="shared" si="46"/>
        <v>玉堂星己</v>
      </c>
      <c r="B222" s="271" t="s">
        <v>901</v>
      </c>
      <c r="C222" s="271" t="s">
        <v>431</v>
      </c>
      <c r="D222" s="155" t="str">
        <f t="shared" si="47"/>
        <v>丙</v>
      </c>
      <c r="E222" s="49">
        <v>1980</v>
      </c>
      <c r="F222" s="279" t="s">
        <v>871</v>
      </c>
      <c r="G222" s="155"/>
      <c r="H222" s="155"/>
      <c r="I222" s="270"/>
      <c r="J222" s="271" t="s">
        <v>902</v>
      </c>
      <c r="K222" s="280" t="s">
        <v>628</v>
      </c>
      <c r="L222" s="270"/>
      <c r="M222" s="49" t="s">
        <v>903</v>
      </c>
      <c r="N222" s="216" t="s">
        <v>904</v>
      </c>
      <c r="O222" s="155"/>
      <c r="P222" s="155"/>
      <c r="Q222" s="155"/>
      <c r="R222" s="155"/>
      <c r="S222" s="155"/>
      <c r="T222" s="155" t="str">
        <f>B222</f>
        <v>己丙</v>
      </c>
      <c r="U222" s="158" t="e">
        <f>#REF!</f>
        <v>#REF!</v>
      </c>
      <c r="V222" s="155"/>
      <c r="W222" s="155" t="e">
        <f>#REF!</f>
        <v>#REF!</v>
      </c>
      <c r="X222" s="263"/>
      <c r="Y222" s="155"/>
      <c r="Z222" s="155"/>
      <c r="AA222" s="263"/>
      <c r="AB222" s="263"/>
      <c r="AC222" s="155"/>
      <c r="AD222" s="155"/>
      <c r="AE222" s="155"/>
      <c r="AF222" s="155"/>
      <c r="AG222" s="271"/>
      <c r="AH222" s="271" t="s">
        <v>674</v>
      </c>
      <c r="AI222" s="270">
        <v>2</v>
      </c>
      <c r="AJ222" s="155"/>
      <c r="AK222" s="271" t="s">
        <v>538</v>
      </c>
      <c r="AL222" s="271" t="s">
        <v>434</v>
      </c>
      <c r="AM222" s="155"/>
      <c r="AN222" s="155" t="s">
        <v>435</v>
      </c>
      <c r="AO222" s="155" t="s">
        <v>256</v>
      </c>
      <c r="AP222" s="49"/>
      <c r="AQ222" s="49"/>
      <c r="AR222" s="155"/>
      <c r="AS222" s="155"/>
      <c r="AT222" s="155"/>
      <c r="AU222" s="155"/>
      <c r="AV222" s="155"/>
      <c r="AW222" s="155"/>
      <c r="AX222" s="155"/>
      <c r="AY222" s="155"/>
      <c r="AZ222" s="49"/>
      <c r="BA222" s="49"/>
      <c r="BB222" s="49"/>
      <c r="BC222" s="49"/>
      <c r="BD222" s="49"/>
      <c r="BE222" s="49"/>
      <c r="BF222" s="49"/>
      <c r="BG222" s="49"/>
      <c r="BH222" s="49"/>
      <c r="BI222" s="155"/>
      <c r="BJ222" s="155"/>
      <c r="BK222" s="155"/>
      <c r="BL222" s="49"/>
      <c r="BM222" s="49"/>
      <c r="BN222" s="49"/>
      <c r="BO222" s="49"/>
      <c r="BP222" s="49"/>
      <c r="BQ222" s="49"/>
      <c r="BR222" s="49"/>
      <c r="BS222" s="49"/>
      <c r="BT222" s="49"/>
      <c r="BU222" s="49"/>
      <c r="BV222" s="49"/>
      <c r="BW222" s="275" t="s">
        <v>263</v>
      </c>
      <c r="BX222" s="275" t="s">
        <v>200</v>
      </c>
      <c r="BY222" s="271" t="str">
        <f t="shared" si="48"/>
        <v>丁男</v>
      </c>
      <c r="BZ222" s="271" t="s">
        <v>249</v>
      </c>
      <c r="CA222" s="271"/>
      <c r="CB222" s="271"/>
      <c r="CC222" s="271" t="s">
        <v>271</v>
      </c>
      <c r="CD222" s="271" t="s">
        <v>276</v>
      </c>
      <c r="CE222" s="271" t="s">
        <v>267</v>
      </c>
      <c r="CF222" s="271" t="s">
        <v>259</v>
      </c>
      <c r="CG222" s="271" t="s">
        <v>274</v>
      </c>
      <c r="CH222" s="271" t="s">
        <v>275</v>
      </c>
      <c r="CI222" s="271" t="s">
        <v>274</v>
      </c>
      <c r="CJ222" s="271" t="s">
        <v>259</v>
      </c>
      <c r="CK222" s="271" t="s">
        <v>255</v>
      </c>
      <c r="CL222" s="271" t="s">
        <v>273</v>
      </c>
      <c r="CM222" s="271" t="s">
        <v>255</v>
      </c>
      <c r="CN222" s="271" t="s">
        <v>273</v>
      </c>
      <c r="CO222" s="271" t="s">
        <v>275</v>
      </c>
      <c r="CP222" s="271" t="s">
        <v>263</v>
      </c>
      <c r="CQ222" s="271" t="s">
        <v>271</v>
      </c>
      <c r="CR222" s="271" t="s">
        <v>249</v>
      </c>
      <c r="CS222" s="271" t="s">
        <v>276</v>
      </c>
      <c r="CT222" s="271" t="s">
        <v>273</v>
      </c>
      <c r="CU222" s="271" t="s">
        <v>255</v>
      </c>
      <c r="CV222" s="271" t="s">
        <v>249</v>
      </c>
      <c r="CW222" s="271" t="s">
        <v>271</v>
      </c>
      <c r="CX222" s="155" t="str">
        <f>CN222</f>
        <v>庚</v>
      </c>
      <c r="CY222" s="155" t="str">
        <f>CM222</f>
        <v>乙</v>
      </c>
      <c r="CZ222" s="155" t="str">
        <f>CP222</f>
        <v>丁</v>
      </c>
      <c r="DA222" s="155" t="str">
        <f>CO222</f>
        <v>壬</v>
      </c>
      <c r="DB222" s="155" t="str">
        <f>CM222</f>
        <v>乙</v>
      </c>
      <c r="DC222" s="155" t="str">
        <f>CN222</f>
        <v>庚</v>
      </c>
      <c r="DD222" s="155" t="str">
        <f>CE222</f>
        <v>戊</v>
      </c>
      <c r="DE222" s="155" t="str">
        <f>CD222</f>
        <v>癸</v>
      </c>
      <c r="DF222" s="155"/>
      <c r="DG222" s="155"/>
      <c r="DH222" s="155"/>
      <c r="DI222" s="155"/>
      <c r="DJ222" s="155"/>
      <c r="DK222" s="155"/>
      <c r="DL222" s="155"/>
      <c r="DM222" s="155"/>
      <c r="DN222" s="155"/>
      <c r="DO222" s="155"/>
      <c r="DP222" s="155"/>
      <c r="DQ222" s="155"/>
      <c r="DR222" s="155"/>
      <c r="DS222" s="155"/>
      <c r="DT222" s="155"/>
      <c r="DU222" s="155"/>
      <c r="DV222" s="155"/>
      <c r="DW222" s="155"/>
      <c r="DX222" s="155"/>
    </row>
    <row r="223" spans="1:128" ht="18" customHeight="1">
      <c r="A223" s="271" t="str">
        <f t="shared" si="46"/>
        <v>玉堂星甲</v>
      </c>
      <c r="B223" s="271" t="s">
        <v>905</v>
      </c>
      <c r="C223" s="271" t="s">
        <v>431</v>
      </c>
      <c r="D223" s="155" t="str">
        <f t="shared" si="47"/>
        <v>癸</v>
      </c>
      <c r="E223" s="49">
        <v>1981</v>
      </c>
      <c r="F223" s="279" t="s">
        <v>906</v>
      </c>
      <c r="G223" s="155"/>
      <c r="H223" s="155"/>
      <c r="I223" s="270"/>
      <c r="J223" s="271" t="s">
        <v>907</v>
      </c>
      <c r="K223" s="280" t="s">
        <v>645</v>
      </c>
      <c r="L223" s="270"/>
      <c r="M223" s="49" t="s">
        <v>908</v>
      </c>
      <c r="N223" s="216" t="s">
        <v>608</v>
      </c>
      <c r="O223" s="155" t="s">
        <v>641</v>
      </c>
      <c r="P223" s="155">
        <f>P139</f>
        <v>0</v>
      </c>
      <c r="Q223" s="155"/>
      <c r="R223" s="155"/>
      <c r="S223" s="155"/>
      <c r="T223" s="155" t="str">
        <f>B223</f>
        <v>甲癸</v>
      </c>
      <c r="U223" s="158" t="e">
        <f>#REF!</f>
        <v>#REF!</v>
      </c>
      <c r="V223" s="155"/>
      <c r="W223" s="155" t="e">
        <f>#REF!</f>
        <v>#REF!</v>
      </c>
      <c r="X223" s="263"/>
      <c r="Y223" s="155"/>
      <c r="Z223" s="155"/>
      <c r="AA223" s="263"/>
      <c r="AB223" s="263"/>
      <c r="AC223" s="155"/>
      <c r="AD223" s="155"/>
      <c r="AE223" s="155"/>
      <c r="AF223" s="155" t="str">
        <f>IF(P139&lt;&gt;0,O139,IF(P138&lt;&gt;0,O138,F10))</f>
        <v>癸</v>
      </c>
      <c r="AG223" s="271"/>
      <c r="AH223" s="271" t="s">
        <v>729</v>
      </c>
      <c r="AI223" s="270">
        <v>5</v>
      </c>
      <c r="AJ223" s="155"/>
      <c r="AK223" s="271" t="s">
        <v>543</v>
      </c>
      <c r="AL223" s="271" t="s">
        <v>434</v>
      </c>
      <c r="AM223" s="155"/>
      <c r="AN223" s="155" t="s">
        <v>434</v>
      </c>
      <c r="AO223" s="155" t="s">
        <v>256</v>
      </c>
      <c r="AP223" s="49"/>
      <c r="AQ223" s="49"/>
      <c r="AR223" s="155"/>
      <c r="AS223" s="155"/>
      <c r="AT223" s="155"/>
      <c r="AU223" s="155"/>
      <c r="AV223" s="155"/>
      <c r="AW223" s="155"/>
      <c r="AX223" s="155"/>
      <c r="AY223" s="155"/>
      <c r="AZ223" s="49"/>
      <c r="BA223" s="49"/>
      <c r="BB223" s="49"/>
      <c r="BC223" s="49"/>
      <c r="BD223" s="49"/>
      <c r="BE223" s="49"/>
      <c r="BF223" s="49"/>
      <c r="BG223" s="49"/>
      <c r="BH223" s="49"/>
      <c r="BI223" s="155"/>
      <c r="BJ223" s="155"/>
      <c r="BK223" s="155"/>
      <c r="BL223" s="49"/>
      <c r="BM223" s="49"/>
      <c r="BN223" s="49"/>
      <c r="BO223" s="49"/>
      <c r="BP223" s="49"/>
      <c r="BQ223" s="49"/>
      <c r="BR223" s="49"/>
      <c r="BS223" s="49"/>
      <c r="BT223" s="49"/>
      <c r="BU223" s="49"/>
      <c r="BV223" s="49"/>
      <c r="BW223" s="275" t="s">
        <v>263</v>
      </c>
      <c r="BX223" s="275" t="s">
        <v>407</v>
      </c>
      <c r="BY223" s="271" t="str">
        <f t="shared" si="48"/>
        <v>丁女</v>
      </c>
      <c r="BZ223" s="271" t="s">
        <v>249</v>
      </c>
      <c r="CA223" s="271"/>
      <c r="CB223" s="271"/>
      <c r="CC223" s="271" t="s">
        <v>271</v>
      </c>
      <c r="CD223" s="271" t="s">
        <v>276</v>
      </c>
      <c r="CE223" s="271" t="s">
        <v>267</v>
      </c>
      <c r="CF223" s="271" t="s">
        <v>259</v>
      </c>
      <c r="CG223" s="271" t="s">
        <v>274</v>
      </c>
      <c r="CH223" s="271" t="s">
        <v>275</v>
      </c>
      <c r="CI223" s="271" t="s">
        <v>274</v>
      </c>
      <c r="CJ223" s="271" t="s">
        <v>259</v>
      </c>
      <c r="CK223" s="271" t="s">
        <v>267</v>
      </c>
      <c r="CL223" s="271" t="s">
        <v>276</v>
      </c>
      <c r="CM223" s="271" t="s">
        <v>255</v>
      </c>
      <c r="CN223" s="271" t="s">
        <v>273</v>
      </c>
      <c r="CO223" s="271" t="s">
        <v>275</v>
      </c>
      <c r="CP223" s="271" t="s">
        <v>263</v>
      </c>
      <c r="CQ223" s="271" t="s">
        <v>271</v>
      </c>
      <c r="CR223" s="271" t="s">
        <v>249</v>
      </c>
      <c r="CS223" s="271" t="s">
        <v>276</v>
      </c>
      <c r="CT223" s="271" t="s">
        <v>273</v>
      </c>
      <c r="CU223" s="271" t="s">
        <v>255</v>
      </c>
      <c r="CV223" s="271" t="s">
        <v>271</v>
      </c>
      <c r="CW223" s="271" t="s">
        <v>249</v>
      </c>
      <c r="CX223" s="155" t="str">
        <f>CX222</f>
        <v>庚</v>
      </c>
      <c r="CY223" s="155" t="str">
        <f>CM223</f>
        <v>乙</v>
      </c>
      <c r="CZ223" s="155" t="str">
        <f>CP223</f>
        <v>丁</v>
      </c>
      <c r="DA223" s="155" t="str">
        <f>CO223</f>
        <v>壬</v>
      </c>
      <c r="DB223" s="155" t="str">
        <f>CM223</f>
        <v>乙</v>
      </c>
      <c r="DC223" s="155" t="str">
        <f>CN223</f>
        <v>庚</v>
      </c>
      <c r="DD223" s="155" t="str">
        <f>CE223</f>
        <v>戊</v>
      </c>
      <c r="DE223" s="155" t="str">
        <f>CD223</f>
        <v>癸</v>
      </c>
      <c r="DF223" s="155"/>
      <c r="DG223" s="155"/>
      <c r="DH223" s="155"/>
      <c r="DI223" s="155"/>
      <c r="DJ223" s="155"/>
      <c r="DK223" s="155"/>
      <c r="DL223" s="155"/>
      <c r="DM223" s="155"/>
      <c r="DN223" s="155"/>
      <c r="DO223" s="155"/>
      <c r="DP223" s="155"/>
      <c r="DQ223" s="155"/>
      <c r="DR223" s="155"/>
      <c r="DS223" s="155"/>
      <c r="DT223" s="155"/>
      <c r="DU223" s="155"/>
      <c r="DV223" s="155"/>
      <c r="DW223" s="155"/>
      <c r="DX223" s="155"/>
    </row>
    <row r="224" spans="1:128" ht="18" customHeight="1">
      <c r="A224" s="271" t="str">
        <f t="shared" si="46"/>
        <v>玉堂星乙</v>
      </c>
      <c r="B224" s="271" t="s">
        <v>909</v>
      </c>
      <c r="C224" s="271" t="s">
        <v>431</v>
      </c>
      <c r="D224" s="155" t="str">
        <f t="shared" si="47"/>
        <v>壬</v>
      </c>
      <c r="E224" s="49">
        <v>1982</v>
      </c>
      <c r="F224" s="279" t="s">
        <v>643</v>
      </c>
      <c r="G224" s="155"/>
      <c r="H224" s="155"/>
      <c r="I224" s="270"/>
      <c r="J224" s="271" t="s">
        <v>910</v>
      </c>
      <c r="K224" s="280" t="s">
        <v>645</v>
      </c>
      <c r="L224" s="270"/>
      <c r="M224" s="49" t="s">
        <v>911</v>
      </c>
      <c r="N224" s="216" t="s">
        <v>614</v>
      </c>
      <c r="O224" s="155" t="s">
        <v>648</v>
      </c>
      <c r="P224" s="155">
        <f>P140</f>
        <v>1</v>
      </c>
      <c r="Q224" s="155"/>
      <c r="R224" s="155"/>
      <c r="S224" s="155"/>
      <c r="T224" s="155"/>
      <c r="U224" s="158"/>
      <c r="V224" s="155"/>
      <c r="W224" s="155"/>
      <c r="X224" s="263"/>
      <c r="Y224" s="155"/>
      <c r="Z224" s="155"/>
      <c r="AA224" s="263"/>
      <c r="AB224" s="263"/>
      <c r="AC224" s="155"/>
      <c r="AD224" s="155"/>
      <c r="AE224" s="155"/>
      <c r="AF224" s="155" t="str">
        <f>IF(P140&lt;&gt;0,O140,IF(P141&lt;&gt;0,O141,F10))</f>
        <v>丙</v>
      </c>
      <c r="AG224" s="271"/>
      <c r="AH224" s="271" t="s">
        <v>724</v>
      </c>
      <c r="AI224" s="270">
        <v>1</v>
      </c>
      <c r="AJ224" s="155"/>
      <c r="AK224" s="271" t="s">
        <v>549</v>
      </c>
      <c r="AL224" s="271" t="s">
        <v>434</v>
      </c>
      <c r="AM224" s="155"/>
      <c r="AN224" s="155" t="s">
        <v>432</v>
      </c>
      <c r="AO224" s="155" t="s">
        <v>260</v>
      </c>
      <c r="AP224" s="49"/>
      <c r="AQ224" s="49"/>
      <c r="AR224" s="155"/>
      <c r="AS224" s="155"/>
      <c r="AT224" s="155"/>
      <c r="AU224" s="155"/>
      <c r="AV224" s="155"/>
      <c r="AW224" s="155"/>
      <c r="AX224" s="155"/>
      <c r="AY224" s="155"/>
      <c r="AZ224" s="49"/>
      <c r="BA224" s="49"/>
      <c r="BB224" s="49"/>
      <c r="BC224" s="49"/>
      <c r="BD224" s="49"/>
      <c r="BE224" s="49"/>
      <c r="BF224" s="49"/>
      <c r="BG224" s="49"/>
      <c r="BH224" s="49"/>
      <c r="BI224" s="155"/>
      <c r="BJ224" s="155"/>
      <c r="BK224" s="155"/>
      <c r="BL224" s="49"/>
      <c r="BM224" s="49"/>
      <c r="BN224" s="49"/>
      <c r="BO224" s="49"/>
      <c r="BP224" s="49"/>
      <c r="BQ224" s="49"/>
      <c r="BR224" s="49"/>
      <c r="BS224" s="49"/>
      <c r="BT224" s="49"/>
      <c r="BU224" s="49"/>
      <c r="BV224" s="49"/>
      <c r="BW224" s="49"/>
      <c r="BX224" s="49"/>
      <c r="BY224" s="49"/>
      <c r="BZ224" s="49"/>
      <c r="CA224" s="49"/>
      <c r="CB224" s="49"/>
      <c r="CC224" s="49"/>
      <c r="CD224" s="49"/>
      <c r="CE224" s="49"/>
      <c r="CF224" s="49"/>
      <c r="CG224" s="49"/>
      <c r="CH224" s="49"/>
      <c r="CI224" s="49"/>
      <c r="CJ224" s="49"/>
      <c r="CK224" s="49"/>
      <c r="CL224" s="49"/>
      <c r="CM224" s="49"/>
      <c r="CN224" s="49"/>
      <c r="CO224" s="49"/>
      <c r="CP224" s="49"/>
      <c r="CQ224" s="49"/>
      <c r="CR224" s="49"/>
      <c r="CS224" s="49"/>
      <c r="CT224" s="155"/>
      <c r="CU224" s="155"/>
      <c r="CV224" s="155"/>
      <c r="CW224" s="155"/>
      <c r="CX224" s="155"/>
      <c r="CY224" s="155"/>
      <c r="CZ224" s="155"/>
      <c r="DA224" s="155"/>
      <c r="DB224" s="155"/>
      <c r="DC224" s="155"/>
      <c r="DD224" s="155"/>
      <c r="DE224" s="155"/>
      <c r="DF224" s="155"/>
      <c r="DG224" s="155"/>
      <c r="DH224" s="155"/>
      <c r="DI224" s="155"/>
      <c r="DJ224" s="155"/>
      <c r="DK224" s="155"/>
      <c r="DL224" s="155"/>
      <c r="DM224" s="155"/>
      <c r="DN224" s="155"/>
      <c r="DO224" s="155"/>
      <c r="DP224" s="155"/>
      <c r="DQ224" s="155"/>
      <c r="DR224" s="155"/>
      <c r="DS224" s="155"/>
      <c r="DT224" s="155"/>
      <c r="DU224" s="155"/>
      <c r="DV224" s="155"/>
      <c r="DW224" s="155"/>
      <c r="DX224" s="155"/>
    </row>
    <row r="225" spans="1:128" ht="18" customHeight="1">
      <c r="A225" s="271" t="str">
        <f t="shared" si="46"/>
        <v>貫索星丙</v>
      </c>
      <c r="B225" s="271" t="s">
        <v>912</v>
      </c>
      <c r="C225" s="271" t="s">
        <v>465</v>
      </c>
      <c r="D225" s="155" t="str">
        <f t="shared" si="47"/>
        <v>丙</v>
      </c>
      <c r="E225" s="49">
        <v>1983</v>
      </c>
      <c r="F225" s="279" t="s">
        <v>461</v>
      </c>
      <c r="G225" s="155"/>
      <c r="H225" s="155"/>
      <c r="I225" s="270"/>
      <c r="J225" s="271" t="s">
        <v>913</v>
      </c>
      <c r="K225" s="280" t="s">
        <v>628</v>
      </c>
      <c r="L225" s="270"/>
      <c r="M225" s="49" t="s">
        <v>914</v>
      </c>
      <c r="N225" s="216" t="s">
        <v>619</v>
      </c>
      <c r="O225" s="155"/>
      <c r="P225" s="155"/>
      <c r="Q225" s="155"/>
      <c r="R225" s="155"/>
      <c r="S225" s="155"/>
      <c r="T225" s="155"/>
      <c r="U225" s="158"/>
      <c r="V225" s="155"/>
      <c r="W225" s="155"/>
      <c r="X225" s="263"/>
      <c r="Y225" s="155"/>
      <c r="Z225" s="155"/>
      <c r="AA225" s="263"/>
      <c r="AB225" s="263"/>
      <c r="AC225" s="155"/>
      <c r="AD225" s="155"/>
      <c r="AE225" s="155"/>
      <c r="AF225" s="155"/>
      <c r="AG225" s="271"/>
      <c r="AH225" s="271" t="s">
        <v>720</v>
      </c>
      <c r="AI225" s="270">
        <v>3</v>
      </c>
      <c r="AJ225" s="155"/>
      <c r="AK225" s="271" t="s">
        <v>556</v>
      </c>
      <c r="AL225" s="271" t="s">
        <v>434</v>
      </c>
      <c r="AM225" s="155"/>
      <c r="AN225" s="155" t="s">
        <v>433</v>
      </c>
      <c r="AO225" s="155" t="s">
        <v>260</v>
      </c>
      <c r="AP225" s="49"/>
      <c r="AQ225" s="49"/>
      <c r="AR225" s="155"/>
      <c r="AS225" s="155"/>
      <c r="AT225" s="155"/>
      <c r="AU225" s="155"/>
      <c r="AV225" s="155"/>
      <c r="AW225" s="155"/>
      <c r="AX225" s="155"/>
      <c r="AY225" s="155"/>
      <c r="AZ225" s="49"/>
      <c r="BA225" s="49"/>
      <c r="BB225" s="49"/>
      <c r="BC225" s="49"/>
      <c r="BD225" s="49"/>
      <c r="BE225" s="49"/>
      <c r="BF225" s="49"/>
      <c r="BG225" s="49"/>
      <c r="BH225" s="49"/>
      <c r="BI225" s="155"/>
      <c r="BJ225" s="155"/>
      <c r="BK225" s="155"/>
      <c r="BL225" s="49"/>
      <c r="BM225" s="49"/>
      <c r="BN225" s="49"/>
      <c r="BO225" s="49"/>
      <c r="BP225" s="49"/>
      <c r="BQ225" s="49"/>
      <c r="BR225" s="49"/>
      <c r="BS225" s="49"/>
      <c r="BT225" s="49"/>
      <c r="BU225" s="49"/>
      <c r="BV225" s="49"/>
      <c r="BW225" s="49"/>
      <c r="BX225" s="49"/>
      <c r="BY225" s="49"/>
      <c r="BZ225" s="49"/>
      <c r="CA225" s="49"/>
      <c r="CB225" s="49"/>
      <c r="CC225" s="49"/>
      <c r="CD225" s="49"/>
      <c r="CE225" s="49"/>
      <c r="CF225" s="49"/>
      <c r="CG225" s="49"/>
      <c r="CH225" s="49"/>
      <c r="CI225" s="49"/>
      <c r="CJ225" s="49"/>
      <c r="CK225" s="49"/>
      <c r="CL225" s="49"/>
      <c r="CM225" s="49"/>
      <c r="CN225" s="49"/>
      <c r="CO225" s="49"/>
      <c r="CP225" s="49"/>
      <c r="CQ225" s="49"/>
      <c r="CR225" s="49"/>
      <c r="CS225" s="49"/>
      <c r="CT225" s="155"/>
      <c r="CU225" s="155"/>
      <c r="CV225" s="155"/>
      <c r="CW225" s="155"/>
      <c r="CX225" s="155"/>
      <c r="CY225" s="155"/>
      <c r="CZ225" s="155"/>
      <c r="DA225" s="155"/>
      <c r="DB225" s="155"/>
      <c r="DC225" s="155"/>
      <c r="DD225" s="155"/>
      <c r="DE225" s="155"/>
      <c r="DF225" s="155"/>
      <c r="DG225" s="155"/>
      <c r="DH225" s="155"/>
      <c r="DI225" s="155"/>
      <c r="DJ225" s="155"/>
      <c r="DK225" s="155"/>
      <c r="DL225" s="155"/>
      <c r="DM225" s="155"/>
      <c r="DN225" s="155"/>
      <c r="DO225" s="155"/>
      <c r="DP225" s="155"/>
      <c r="DQ225" s="155"/>
      <c r="DR225" s="155"/>
      <c r="DS225" s="155"/>
      <c r="DT225" s="155"/>
      <c r="DU225" s="155"/>
      <c r="DV225" s="155"/>
      <c r="DW225" s="155"/>
      <c r="DX225" s="155"/>
    </row>
    <row r="226" spans="1:128" ht="18" customHeight="1">
      <c r="A226" s="271" t="str">
        <f t="shared" si="46"/>
        <v>貫索星丁</v>
      </c>
      <c r="B226" s="271" t="s">
        <v>915</v>
      </c>
      <c r="C226" s="271" t="s">
        <v>465</v>
      </c>
      <c r="D226" s="155" t="str">
        <f t="shared" si="47"/>
        <v>丁</v>
      </c>
      <c r="E226" s="49">
        <v>1984</v>
      </c>
      <c r="F226" s="279" t="s">
        <v>916</v>
      </c>
      <c r="G226" s="155"/>
      <c r="H226" s="155"/>
      <c r="I226" s="270"/>
      <c r="J226" s="271" t="s">
        <v>917</v>
      </c>
      <c r="K226" s="280" t="s">
        <v>622</v>
      </c>
      <c r="L226" s="270"/>
      <c r="M226" s="49" t="s">
        <v>918</v>
      </c>
      <c r="N226" s="216" t="s">
        <v>919</v>
      </c>
      <c r="O226" s="155" t="s">
        <v>657</v>
      </c>
      <c r="P226" s="155">
        <f>P141</f>
        <v>0</v>
      </c>
      <c r="Q226" s="155"/>
      <c r="R226" s="155"/>
      <c r="S226" s="155"/>
      <c r="T226" s="155"/>
      <c r="U226" s="158"/>
      <c r="V226" s="155"/>
      <c r="W226" s="155"/>
      <c r="X226" s="263"/>
      <c r="Y226" s="155"/>
      <c r="Z226" s="155"/>
      <c r="AA226" s="263"/>
      <c r="AB226" s="263"/>
      <c r="AC226" s="155"/>
      <c r="AD226" s="155"/>
      <c r="AE226" s="155"/>
      <c r="AF226" s="155" t="str">
        <f>IF(P141&lt;&gt;0,O141,IF(P140&lt;&gt;0,O140,F10))</f>
        <v>丙</v>
      </c>
      <c r="AG226" s="271"/>
      <c r="AH226" s="271" t="s">
        <v>714</v>
      </c>
      <c r="AI226" s="270">
        <v>6</v>
      </c>
      <c r="AJ226" s="155"/>
      <c r="AK226" s="271" t="s">
        <v>561</v>
      </c>
      <c r="AL226" s="271" t="s">
        <v>434</v>
      </c>
      <c r="AM226" s="155"/>
      <c r="AN226" s="155" t="s">
        <v>492</v>
      </c>
      <c r="AO226" s="155" t="s">
        <v>264</v>
      </c>
      <c r="AP226" s="49"/>
      <c r="AQ226" s="49"/>
      <c r="AR226" s="155"/>
      <c r="AS226" s="155"/>
      <c r="AT226" s="155"/>
      <c r="AU226" s="155"/>
      <c r="AV226" s="155"/>
      <c r="AW226" s="155"/>
      <c r="AX226" s="155"/>
      <c r="AY226" s="155"/>
      <c r="AZ226" s="49"/>
      <c r="BA226" s="49"/>
      <c r="BB226" s="49"/>
      <c r="BC226" s="49"/>
      <c r="BD226" s="49"/>
      <c r="BE226" s="49"/>
      <c r="BF226" s="49"/>
      <c r="BG226" s="49"/>
      <c r="BH226" s="49"/>
      <c r="BI226" s="155"/>
      <c r="BJ226" s="155"/>
      <c r="BK226" s="155"/>
      <c r="BL226" s="49"/>
      <c r="BM226" s="49"/>
      <c r="BN226" s="49"/>
      <c r="BO226" s="49"/>
      <c r="BP226" s="49"/>
      <c r="BQ226" s="49"/>
      <c r="BR226" s="49"/>
      <c r="BS226" s="49"/>
      <c r="BT226" s="49"/>
      <c r="BU226" s="49"/>
      <c r="BV226" s="49"/>
      <c r="BW226" s="49"/>
      <c r="BX226" s="49"/>
      <c r="BY226" s="49"/>
      <c r="BZ226" s="49"/>
      <c r="CA226" s="49"/>
      <c r="CB226" s="49"/>
      <c r="CC226" s="49"/>
      <c r="CD226" s="49"/>
      <c r="CE226" s="49"/>
      <c r="CF226" s="49"/>
      <c r="CG226" s="49"/>
      <c r="CH226" s="49"/>
      <c r="CI226" s="49"/>
      <c r="CJ226" s="49"/>
      <c r="CK226" s="49"/>
      <c r="CL226" s="49"/>
      <c r="CM226" s="49"/>
      <c r="CN226" s="49"/>
      <c r="CO226" s="49"/>
      <c r="CP226" s="49"/>
      <c r="CQ226" s="49"/>
      <c r="CR226" s="49"/>
      <c r="CS226" s="49"/>
      <c r="CT226" s="155"/>
      <c r="CU226" s="155"/>
      <c r="CV226" s="155"/>
      <c r="CW226" s="155"/>
      <c r="CX226" s="155"/>
      <c r="CY226" s="155"/>
      <c r="CZ226" s="155"/>
      <c r="DA226" s="155"/>
      <c r="DB226" s="155"/>
      <c r="DC226" s="155"/>
      <c r="DD226" s="155"/>
      <c r="DE226" s="155"/>
      <c r="DF226" s="155"/>
      <c r="DG226" s="155"/>
      <c r="DH226" s="155"/>
      <c r="DI226" s="155"/>
      <c r="DJ226" s="155"/>
      <c r="DK226" s="155"/>
      <c r="DL226" s="155"/>
      <c r="DM226" s="155"/>
      <c r="DN226" s="155"/>
      <c r="DO226" s="155"/>
      <c r="DP226" s="155"/>
      <c r="DQ226" s="155"/>
      <c r="DR226" s="155"/>
      <c r="DS226" s="155"/>
      <c r="DT226" s="155"/>
      <c r="DU226" s="155"/>
      <c r="DV226" s="155"/>
      <c r="DW226" s="155"/>
      <c r="DX226" s="155"/>
    </row>
    <row r="227" spans="1:128" ht="18" customHeight="1">
      <c r="A227" s="271" t="str">
        <f t="shared" si="46"/>
        <v>貫索星庚</v>
      </c>
      <c r="B227" s="271" t="s">
        <v>920</v>
      </c>
      <c r="C227" s="271" t="s">
        <v>465</v>
      </c>
      <c r="D227" s="155" t="str">
        <f t="shared" si="47"/>
        <v>庚</v>
      </c>
      <c r="E227" s="49">
        <v>1985</v>
      </c>
      <c r="F227" s="279" t="s">
        <v>906</v>
      </c>
      <c r="G227" s="155"/>
      <c r="H227" s="155"/>
      <c r="I227" s="270"/>
      <c r="J227" s="271" t="s">
        <v>921</v>
      </c>
      <c r="K227" s="280" t="s">
        <v>622</v>
      </c>
      <c r="L227" s="270"/>
      <c r="M227" s="49" t="s">
        <v>629</v>
      </c>
      <c r="N227" s="216" t="s">
        <v>630</v>
      </c>
      <c r="O227" s="155" t="s">
        <v>663</v>
      </c>
      <c r="P227" s="155">
        <f>P142</f>
        <v>1</v>
      </c>
      <c r="Q227" s="155"/>
      <c r="R227" s="155"/>
      <c r="S227" s="155"/>
      <c r="T227" s="155"/>
      <c r="U227" s="158"/>
      <c r="V227" s="155"/>
      <c r="W227" s="155"/>
      <c r="X227" s="263"/>
      <c r="Y227" s="155"/>
      <c r="Z227" s="155"/>
      <c r="AA227" s="263"/>
      <c r="AB227" s="263"/>
      <c r="AC227" s="155"/>
      <c r="AD227" s="155"/>
      <c r="AE227" s="155"/>
      <c r="AF227" s="155" t="str">
        <f>IF(P142&lt;&gt;0,O142,IF(P143&lt;&gt;0,O143,F10))</f>
        <v>戊</v>
      </c>
      <c r="AG227" s="271"/>
      <c r="AH227" s="271" t="s">
        <v>735</v>
      </c>
      <c r="AI227" s="270">
        <v>9</v>
      </c>
      <c r="AJ227" s="155"/>
      <c r="AK227" s="271" t="s">
        <v>568</v>
      </c>
      <c r="AL227" s="271" t="s">
        <v>434</v>
      </c>
      <c r="AM227" s="155"/>
      <c r="AN227" s="155" t="s">
        <v>499</v>
      </c>
      <c r="AO227" s="155" t="s">
        <v>264</v>
      </c>
      <c r="AP227" s="49"/>
      <c r="AQ227" s="49"/>
      <c r="AR227" s="155"/>
      <c r="AS227" s="155"/>
      <c r="AT227" s="155"/>
      <c r="AU227" s="155"/>
      <c r="AV227" s="155"/>
      <c r="AW227" s="155"/>
      <c r="AX227" s="155"/>
      <c r="AY227" s="155"/>
      <c r="AZ227" s="49"/>
      <c r="BA227" s="49"/>
      <c r="BB227" s="49"/>
      <c r="BC227" s="49"/>
      <c r="BD227" s="49"/>
      <c r="BE227" s="49"/>
      <c r="BF227" s="49"/>
      <c r="BG227" s="49"/>
      <c r="BH227" s="49"/>
      <c r="BI227" s="155"/>
      <c r="BJ227" s="155"/>
      <c r="BK227" s="155"/>
      <c r="BL227" s="49"/>
      <c r="BM227" s="49"/>
      <c r="BN227" s="49"/>
      <c r="BO227" s="49"/>
      <c r="BP227" s="49"/>
      <c r="BQ227" s="49"/>
      <c r="BR227" s="49"/>
      <c r="BS227" s="49"/>
      <c r="BT227" s="49"/>
      <c r="BU227" s="49"/>
      <c r="BV227" s="49"/>
      <c r="BW227" s="49"/>
      <c r="BX227" s="49"/>
      <c r="BY227" s="49"/>
      <c r="BZ227" s="49"/>
      <c r="CA227" s="49"/>
      <c r="CB227" s="49"/>
      <c r="CC227" s="49"/>
      <c r="CD227" s="49"/>
      <c r="CE227" s="49"/>
      <c r="CF227" s="49"/>
      <c r="CG227" s="49"/>
      <c r="CH227" s="49"/>
      <c r="CI227" s="49"/>
      <c r="CJ227" s="49"/>
      <c r="CK227" s="49"/>
      <c r="CL227" s="49"/>
      <c r="CM227" s="49"/>
      <c r="CN227" s="49"/>
      <c r="CO227" s="49"/>
      <c r="CP227" s="49"/>
      <c r="CQ227" s="49"/>
      <c r="CR227" s="49"/>
      <c r="CS227" s="49"/>
      <c r="CT227" s="155"/>
      <c r="CU227" s="155"/>
      <c r="CV227" s="155"/>
      <c r="CW227" s="155"/>
      <c r="CX227" s="155"/>
      <c r="CY227" s="155"/>
      <c r="CZ227" s="155"/>
      <c r="DA227" s="155"/>
      <c r="DB227" s="155"/>
      <c r="DC227" s="155"/>
      <c r="DD227" s="155"/>
      <c r="DE227" s="155"/>
      <c r="DF227" s="155"/>
      <c r="DG227" s="155"/>
      <c r="DH227" s="155"/>
      <c r="DI227" s="155"/>
      <c r="DJ227" s="155"/>
      <c r="DK227" s="155"/>
      <c r="DL227" s="155"/>
      <c r="DM227" s="155"/>
      <c r="DN227" s="155"/>
      <c r="DO227" s="155"/>
      <c r="DP227" s="155"/>
      <c r="DQ227" s="155"/>
      <c r="DR227" s="155"/>
      <c r="DS227" s="155"/>
      <c r="DT227" s="155"/>
      <c r="DU227" s="155"/>
      <c r="DV227" s="155"/>
      <c r="DW227" s="155"/>
      <c r="DX227" s="155"/>
    </row>
    <row r="228" spans="1:128" ht="18" customHeight="1">
      <c r="A228" s="271" t="str">
        <f t="shared" si="46"/>
        <v>貫索星辛</v>
      </c>
      <c r="B228" s="271" t="s">
        <v>922</v>
      </c>
      <c r="C228" s="271" t="s">
        <v>465</v>
      </c>
      <c r="D228" s="155" t="str">
        <f t="shared" si="47"/>
        <v>辛</v>
      </c>
      <c r="E228" s="49">
        <v>1986</v>
      </c>
      <c r="F228" s="279" t="s">
        <v>746</v>
      </c>
      <c r="G228" s="155"/>
      <c r="H228" s="155"/>
      <c r="I228" s="270"/>
      <c r="J228" s="271" t="s">
        <v>923</v>
      </c>
      <c r="K228" s="280" t="s">
        <v>628</v>
      </c>
      <c r="L228" s="270"/>
      <c r="M228" s="49" t="s">
        <v>924</v>
      </c>
      <c r="N228" s="216" t="s">
        <v>925</v>
      </c>
      <c r="O228" s="155"/>
      <c r="P228" s="155"/>
      <c r="Q228" s="155"/>
      <c r="R228" s="155"/>
      <c r="S228" s="155"/>
      <c r="T228" s="155"/>
      <c r="U228" s="158"/>
      <c r="V228" s="155"/>
      <c r="W228" s="155"/>
      <c r="X228" s="263"/>
      <c r="Y228" s="155"/>
      <c r="Z228" s="155"/>
      <c r="AA228" s="263"/>
      <c r="AB228" s="263"/>
      <c r="AC228" s="155"/>
      <c r="AD228" s="155"/>
      <c r="AE228" s="155"/>
      <c r="AF228" s="155"/>
      <c r="AG228" s="271"/>
      <c r="AH228" s="271" t="s">
        <v>741</v>
      </c>
      <c r="AI228" s="270">
        <v>7</v>
      </c>
      <c r="AJ228" s="155"/>
      <c r="AK228" s="271" t="s">
        <v>575</v>
      </c>
      <c r="AL228" s="271" t="s">
        <v>434</v>
      </c>
      <c r="AM228" s="155"/>
      <c r="AN228" s="155" t="s">
        <v>431</v>
      </c>
      <c r="AO228" s="155" t="s">
        <v>268</v>
      </c>
      <c r="AP228" s="49"/>
      <c r="AQ228" s="49"/>
      <c r="AR228" s="155"/>
      <c r="AS228" s="155"/>
      <c r="AT228" s="155"/>
      <c r="AU228" s="155"/>
      <c r="AV228" s="155"/>
      <c r="AW228" s="155"/>
      <c r="AX228" s="155"/>
      <c r="AY228" s="155"/>
      <c r="AZ228" s="49"/>
      <c r="BA228" s="49"/>
      <c r="BB228" s="49"/>
      <c r="BC228" s="49"/>
      <c r="BD228" s="49"/>
      <c r="BE228" s="49"/>
      <c r="BF228" s="49"/>
      <c r="BG228" s="49"/>
      <c r="BH228" s="49"/>
      <c r="BI228" s="155"/>
      <c r="BJ228" s="155"/>
      <c r="BK228" s="155"/>
      <c r="BL228" s="49"/>
      <c r="BM228" s="49"/>
      <c r="BN228" s="49"/>
      <c r="BO228" s="49"/>
      <c r="BP228" s="49"/>
      <c r="BQ228" s="49"/>
      <c r="BR228" s="49"/>
      <c r="BS228" s="49"/>
      <c r="BT228" s="49"/>
      <c r="BU228" s="49"/>
      <c r="BV228" s="49"/>
      <c r="BW228" s="49"/>
      <c r="BX228" s="49"/>
      <c r="BY228" s="49"/>
      <c r="BZ228" s="49"/>
      <c r="CA228" s="49"/>
      <c r="CB228" s="49"/>
      <c r="CC228" s="49"/>
      <c r="CD228" s="49"/>
      <c r="CE228" s="49"/>
      <c r="CF228" s="49"/>
      <c r="CG228" s="49"/>
      <c r="CH228" s="49"/>
      <c r="CI228" s="49"/>
      <c r="CJ228" s="49"/>
      <c r="CK228" s="49"/>
      <c r="CL228" s="49"/>
      <c r="CM228" s="49"/>
      <c r="CN228" s="49"/>
      <c r="CO228" s="49"/>
      <c r="CP228" s="49"/>
      <c r="CQ228" s="49"/>
      <c r="CR228" s="49"/>
      <c r="CS228" s="49"/>
      <c r="CT228" s="155"/>
      <c r="CU228" s="155"/>
      <c r="CV228" s="155"/>
      <c r="CW228" s="155"/>
      <c r="CX228" s="155"/>
      <c r="CY228" s="155"/>
      <c r="CZ228" s="155"/>
      <c r="DA228" s="155"/>
      <c r="DB228" s="155"/>
      <c r="DC228" s="155"/>
      <c r="DD228" s="155"/>
      <c r="DE228" s="155"/>
      <c r="DF228" s="155"/>
      <c r="DG228" s="155"/>
      <c r="DH228" s="155"/>
      <c r="DI228" s="155"/>
      <c r="DJ228" s="155"/>
      <c r="DK228" s="155"/>
      <c r="DL228" s="155"/>
      <c r="DM228" s="155"/>
      <c r="DN228" s="155"/>
      <c r="DO228" s="155"/>
      <c r="DP228" s="155"/>
      <c r="DQ228" s="155"/>
      <c r="DR228" s="155"/>
      <c r="DS228" s="155"/>
      <c r="DT228" s="155"/>
      <c r="DU228" s="155"/>
      <c r="DV228" s="155"/>
      <c r="DW228" s="155"/>
      <c r="DX228" s="155"/>
    </row>
    <row r="229" spans="1:128" ht="18" customHeight="1">
      <c r="A229" s="271" t="str">
        <f t="shared" si="46"/>
        <v>貫索星壬</v>
      </c>
      <c r="B229" s="271" t="s">
        <v>926</v>
      </c>
      <c r="C229" s="271" t="s">
        <v>465</v>
      </c>
      <c r="D229" s="155" t="str">
        <f t="shared" si="47"/>
        <v>壬</v>
      </c>
      <c r="E229" s="49">
        <v>1987</v>
      </c>
      <c r="F229" s="279" t="s">
        <v>461</v>
      </c>
      <c r="G229" s="155"/>
      <c r="H229" s="155"/>
      <c r="I229" s="270"/>
      <c r="J229" s="271" t="s">
        <v>927</v>
      </c>
      <c r="K229" s="280" t="s">
        <v>660</v>
      </c>
      <c r="L229" s="270"/>
      <c r="M229" s="49" t="s">
        <v>928</v>
      </c>
      <c r="N229" s="216" t="s">
        <v>640</v>
      </c>
      <c r="O229" s="155"/>
      <c r="P229" s="155"/>
      <c r="Q229" s="155"/>
      <c r="R229" s="155"/>
      <c r="S229" s="155"/>
      <c r="T229" s="155"/>
      <c r="U229" s="158"/>
      <c r="V229" s="155"/>
      <c r="W229" s="155"/>
      <c r="X229" s="263"/>
      <c r="Y229" s="155"/>
      <c r="Z229" s="155"/>
      <c r="AA229" s="263"/>
      <c r="AB229" s="263"/>
      <c r="AC229" s="155"/>
      <c r="AD229" s="155"/>
      <c r="AE229" s="155"/>
      <c r="AF229" s="155"/>
      <c r="AG229" s="271"/>
      <c r="AH229" s="271" t="s">
        <v>747</v>
      </c>
      <c r="AI229" s="270">
        <v>10</v>
      </c>
      <c r="AJ229" s="155"/>
      <c r="AK229" s="271" t="s">
        <v>580</v>
      </c>
      <c r="AL229" s="271" t="s">
        <v>434</v>
      </c>
      <c r="AM229" s="155"/>
      <c r="AN229" s="155" t="s">
        <v>436</v>
      </c>
      <c r="AO229" s="155" t="s">
        <v>268</v>
      </c>
      <c r="AP229" s="49"/>
      <c r="AQ229" s="49"/>
      <c r="AR229" s="155"/>
      <c r="AS229" s="155"/>
      <c r="AT229" s="155"/>
      <c r="AU229" s="155"/>
      <c r="AV229" s="155"/>
      <c r="AW229" s="155"/>
      <c r="AX229" s="155"/>
      <c r="AY229" s="155"/>
      <c r="AZ229" s="49"/>
      <c r="BA229" s="49"/>
      <c r="BB229" s="49"/>
      <c r="BC229" s="49"/>
      <c r="BD229" s="49"/>
      <c r="BE229" s="49"/>
      <c r="BF229" s="49"/>
      <c r="BG229" s="49"/>
      <c r="BH229" s="49"/>
      <c r="BI229" s="155"/>
      <c r="BJ229" s="155"/>
      <c r="BK229" s="155"/>
      <c r="BL229" s="49"/>
      <c r="BM229" s="49"/>
      <c r="BN229" s="49"/>
      <c r="BO229" s="49"/>
      <c r="BP229" s="49"/>
      <c r="BQ229" s="49"/>
      <c r="BR229" s="49"/>
      <c r="BS229" s="49"/>
      <c r="BT229" s="271" t="s">
        <v>611</v>
      </c>
      <c r="BU229" s="155" t="s">
        <v>612</v>
      </c>
      <c r="BV229" s="155">
        <v>0</v>
      </c>
      <c r="BW229" s="49"/>
      <c r="BX229" s="49"/>
      <c r="BY229" s="49"/>
      <c r="BZ229" s="49"/>
      <c r="CA229" s="49"/>
      <c r="CB229" s="49"/>
      <c r="CC229" s="49"/>
      <c r="CD229" s="49"/>
      <c r="CE229" s="49"/>
      <c r="CF229" s="49"/>
      <c r="CG229" s="49"/>
      <c r="CH229" s="49"/>
      <c r="CI229" s="49"/>
      <c r="CJ229" s="49"/>
      <c r="CK229" s="49"/>
      <c r="CL229" s="49"/>
      <c r="CM229" s="49"/>
      <c r="CN229" s="49"/>
      <c r="CO229" s="49"/>
      <c r="CP229" s="49"/>
      <c r="CQ229" s="49"/>
      <c r="CR229" s="49"/>
      <c r="CS229" s="49"/>
      <c r="CT229" s="155"/>
      <c r="CU229" s="155"/>
      <c r="CV229" s="155"/>
      <c r="CW229" s="155"/>
      <c r="CX229" s="155"/>
      <c r="CY229" s="155"/>
      <c r="CZ229" s="155"/>
      <c r="DA229" s="155"/>
      <c r="DB229" s="155"/>
      <c r="DC229" s="155"/>
      <c r="DD229" s="155"/>
      <c r="DE229" s="155"/>
      <c r="DF229" s="155"/>
      <c r="DG229" s="155"/>
      <c r="DH229" s="155"/>
      <c r="DI229" s="155"/>
      <c r="DJ229" s="155"/>
      <c r="DK229" s="155"/>
      <c r="DL229" s="155"/>
      <c r="DM229" s="155"/>
      <c r="DN229" s="155"/>
      <c r="DO229" s="155"/>
      <c r="DP229" s="155"/>
      <c r="DQ229" s="155"/>
      <c r="DR229" s="155"/>
      <c r="DS229" s="155"/>
      <c r="DT229" s="155"/>
      <c r="DU229" s="155"/>
      <c r="DV229" s="155"/>
      <c r="DW229" s="155"/>
      <c r="DX229" s="155"/>
    </row>
    <row r="230" spans="1:128" ht="18" customHeight="1">
      <c r="A230" s="271" t="str">
        <f t="shared" si="46"/>
        <v>貫索星癸</v>
      </c>
      <c r="B230" s="271" t="s">
        <v>929</v>
      </c>
      <c r="C230" s="271" t="s">
        <v>465</v>
      </c>
      <c r="D230" s="155" t="str">
        <f t="shared" si="47"/>
        <v>癸</v>
      </c>
      <c r="E230" s="49">
        <v>1988</v>
      </c>
      <c r="F230" s="279" t="s">
        <v>930</v>
      </c>
      <c r="G230" s="155"/>
      <c r="H230" s="155"/>
      <c r="I230" s="270"/>
      <c r="J230" s="271" t="s">
        <v>931</v>
      </c>
      <c r="K230" s="280" t="s">
        <v>660</v>
      </c>
      <c r="L230" s="270"/>
      <c r="M230" s="49" t="s">
        <v>932</v>
      </c>
      <c r="N230" s="216" t="s">
        <v>647</v>
      </c>
      <c r="O230" s="155"/>
      <c r="P230" s="155"/>
      <c r="Q230" s="155"/>
      <c r="R230" s="155"/>
      <c r="S230" s="155"/>
      <c r="T230" s="155"/>
      <c r="U230" s="158"/>
      <c r="V230" s="155"/>
      <c r="W230" s="155"/>
      <c r="X230" s="263"/>
      <c r="Y230" s="155"/>
      <c r="Z230" s="155"/>
      <c r="AA230" s="263"/>
      <c r="AB230" s="263"/>
      <c r="AC230" s="155"/>
      <c r="AD230" s="155"/>
      <c r="AE230" s="155"/>
      <c r="AF230" s="155"/>
      <c r="AG230" s="271"/>
      <c r="AH230" s="271" t="s">
        <v>752</v>
      </c>
      <c r="AI230" s="270">
        <v>11</v>
      </c>
      <c r="AJ230" s="155"/>
      <c r="AK230" s="271" t="s">
        <v>585</v>
      </c>
      <c r="AL230" s="271" t="s">
        <v>436</v>
      </c>
      <c r="AM230" s="155"/>
      <c r="AN230" s="155"/>
      <c r="AO230" s="155"/>
      <c r="AP230" s="49"/>
      <c r="AQ230" s="49"/>
      <c r="AR230" s="155"/>
      <c r="AS230" s="155"/>
      <c r="AT230" s="155"/>
      <c r="AU230" s="155"/>
      <c r="AV230" s="155"/>
      <c r="AW230" s="155"/>
      <c r="AX230" s="155"/>
      <c r="AY230" s="155"/>
      <c r="AZ230" s="49"/>
      <c r="BA230" s="49"/>
      <c r="BB230" s="49"/>
      <c r="BC230" s="49"/>
      <c r="BD230" s="49"/>
      <c r="BE230" s="49"/>
      <c r="BF230" s="49"/>
      <c r="BG230" s="49"/>
      <c r="BH230" s="49"/>
      <c r="BI230" s="155"/>
      <c r="BJ230" s="155"/>
      <c r="BK230" s="155"/>
      <c r="BL230" s="49"/>
      <c r="BM230" s="49"/>
      <c r="BN230" s="49"/>
      <c r="BO230" s="49"/>
      <c r="BP230" s="49"/>
      <c r="BQ230" s="49"/>
      <c r="BR230" s="49"/>
      <c r="BS230" s="49"/>
      <c r="BT230" s="271" t="s">
        <v>617</v>
      </c>
      <c r="BU230" s="155" t="s">
        <v>612</v>
      </c>
      <c r="BV230" s="155">
        <v>0</v>
      </c>
      <c r="BW230" s="49"/>
      <c r="BX230" s="49"/>
      <c r="BY230" s="49"/>
      <c r="BZ230" s="49"/>
      <c r="CA230" s="49"/>
      <c r="CB230" s="49"/>
      <c r="CC230" s="49"/>
      <c r="CD230" s="49"/>
      <c r="CE230" s="49"/>
      <c r="CF230" s="49"/>
      <c r="CG230" s="49"/>
      <c r="CH230" s="49"/>
      <c r="CI230" s="49"/>
      <c r="CJ230" s="49"/>
      <c r="CK230" s="49"/>
      <c r="CL230" s="49"/>
      <c r="CM230" s="49"/>
      <c r="CN230" s="49"/>
      <c r="CO230" s="49"/>
      <c r="CP230" s="49"/>
      <c r="CQ230" s="49"/>
      <c r="CR230" s="49"/>
      <c r="CS230" s="49"/>
      <c r="CT230" s="155"/>
      <c r="CU230" s="155"/>
      <c r="CV230" s="155"/>
      <c r="CW230" s="155"/>
      <c r="CX230" s="155"/>
      <c r="CY230" s="155"/>
      <c r="CZ230" s="155"/>
      <c r="DA230" s="155"/>
      <c r="DB230" s="155"/>
      <c r="DC230" s="155"/>
      <c r="DD230" s="155"/>
      <c r="DE230" s="155"/>
      <c r="DF230" s="155"/>
      <c r="DG230" s="155"/>
      <c r="DH230" s="155"/>
      <c r="DI230" s="155"/>
      <c r="DJ230" s="155"/>
      <c r="DK230" s="155"/>
      <c r="DL230" s="155"/>
      <c r="DM230" s="155"/>
      <c r="DN230" s="155"/>
      <c r="DO230" s="155"/>
      <c r="DP230" s="155"/>
      <c r="DQ230" s="155"/>
      <c r="DR230" s="155"/>
      <c r="DS230" s="155"/>
      <c r="DT230" s="155"/>
      <c r="DU230" s="155"/>
      <c r="DV230" s="155"/>
      <c r="DW230" s="155"/>
      <c r="DX230" s="155"/>
    </row>
    <row r="231" spans="1:128" ht="18" customHeight="1">
      <c r="A231" s="271" t="str">
        <f t="shared" si="46"/>
        <v>貫索星戊</v>
      </c>
      <c r="B231" s="271" t="s">
        <v>933</v>
      </c>
      <c r="C231" s="271" t="s">
        <v>465</v>
      </c>
      <c r="D231" s="155" t="str">
        <f t="shared" si="47"/>
        <v>戊</v>
      </c>
      <c r="E231" s="49">
        <v>1989</v>
      </c>
      <c r="F231" s="279" t="s">
        <v>934</v>
      </c>
      <c r="G231" s="155"/>
      <c r="H231" s="155"/>
      <c r="I231" s="270"/>
      <c r="J231" s="271" t="s">
        <v>935</v>
      </c>
      <c r="K231" s="280" t="s">
        <v>628</v>
      </c>
      <c r="L231" s="270"/>
      <c r="M231" s="49" t="s">
        <v>936</v>
      </c>
      <c r="N231" s="216" t="s">
        <v>652</v>
      </c>
      <c r="O231" s="155"/>
      <c r="P231" s="155"/>
      <c r="Q231" s="155"/>
      <c r="R231" s="155"/>
      <c r="S231" s="155"/>
      <c r="T231" s="155"/>
      <c r="U231" s="158"/>
      <c r="V231" s="155"/>
      <c r="W231" s="155"/>
      <c r="X231" s="263"/>
      <c r="Y231" s="155"/>
      <c r="Z231" s="155"/>
      <c r="AA231" s="263"/>
      <c r="AB231" s="263"/>
      <c r="AC231" s="155"/>
      <c r="AD231" s="155"/>
      <c r="AE231" s="155"/>
      <c r="AF231" s="155"/>
      <c r="AG231" s="271"/>
      <c r="AH231" s="271" t="s">
        <v>757</v>
      </c>
      <c r="AI231" s="270">
        <v>12</v>
      </c>
      <c r="AJ231" s="155"/>
      <c r="AK231" s="271" t="s">
        <v>592</v>
      </c>
      <c r="AL231" s="271" t="s">
        <v>436</v>
      </c>
      <c r="AM231" s="155"/>
      <c r="AN231" s="155"/>
      <c r="AO231" s="155"/>
      <c r="AP231" s="49"/>
      <c r="AQ231" s="49"/>
      <c r="AR231" s="155"/>
      <c r="AS231" s="155"/>
      <c r="AT231" s="155"/>
      <c r="AU231" s="155"/>
      <c r="AV231" s="155"/>
      <c r="AW231" s="155"/>
      <c r="AX231" s="155"/>
      <c r="AY231" s="155"/>
      <c r="AZ231" s="49"/>
      <c r="BA231" s="49"/>
      <c r="BB231" s="49"/>
      <c r="BC231" s="49"/>
      <c r="BD231" s="49"/>
      <c r="BE231" s="49"/>
      <c r="BF231" s="49"/>
      <c r="BG231" s="49"/>
      <c r="BH231" s="49"/>
      <c r="BI231" s="155"/>
      <c r="BJ231" s="155"/>
      <c r="BK231" s="155"/>
      <c r="BL231" s="49"/>
      <c r="BM231" s="49"/>
      <c r="BN231" s="49"/>
      <c r="BO231" s="49"/>
      <c r="BP231" s="49"/>
      <c r="BQ231" s="49"/>
      <c r="BR231" s="49"/>
      <c r="BS231" s="49"/>
      <c r="BT231" s="271" t="s">
        <v>621</v>
      </c>
      <c r="BU231" s="155" t="s">
        <v>622</v>
      </c>
      <c r="BV231" s="155">
        <v>1</v>
      </c>
      <c r="BW231" s="49"/>
      <c r="BX231" s="49"/>
      <c r="BY231" s="49"/>
      <c r="BZ231" s="49"/>
      <c r="CA231" s="49"/>
      <c r="CB231" s="49"/>
      <c r="CC231" s="49"/>
      <c r="CD231" s="49"/>
      <c r="CE231" s="49"/>
      <c r="CF231" s="49"/>
      <c r="CG231" s="49"/>
      <c r="CH231" s="49"/>
      <c r="CI231" s="49"/>
      <c r="CJ231" s="49"/>
      <c r="CK231" s="49"/>
      <c r="CL231" s="49"/>
      <c r="CM231" s="49"/>
      <c r="CN231" s="49"/>
      <c r="CO231" s="49"/>
      <c r="CP231" s="49"/>
      <c r="CQ231" s="49"/>
      <c r="CR231" s="49"/>
      <c r="CS231" s="49"/>
      <c r="CT231" s="155"/>
      <c r="CU231" s="155"/>
      <c r="CV231" s="155"/>
      <c r="CW231" s="155"/>
      <c r="CX231" s="155"/>
      <c r="CY231" s="155"/>
      <c r="CZ231" s="155"/>
      <c r="DA231" s="155"/>
      <c r="DB231" s="155"/>
      <c r="DC231" s="155"/>
      <c r="DD231" s="155"/>
      <c r="DE231" s="155"/>
      <c r="DF231" s="155"/>
      <c r="DG231" s="155"/>
      <c r="DH231" s="155"/>
      <c r="DI231" s="155"/>
      <c r="DJ231" s="155"/>
      <c r="DK231" s="155"/>
      <c r="DL231" s="155"/>
      <c r="DM231" s="155"/>
      <c r="DN231" s="155"/>
      <c r="DO231" s="155"/>
      <c r="DP231" s="155"/>
      <c r="DQ231" s="155"/>
      <c r="DR231" s="155"/>
      <c r="DS231" s="155"/>
      <c r="DT231" s="155"/>
      <c r="DU231" s="155"/>
      <c r="DV231" s="155"/>
      <c r="DW231" s="155"/>
      <c r="DX231" s="155"/>
    </row>
    <row r="232" spans="1:128" ht="18" customHeight="1">
      <c r="A232" s="271" t="str">
        <f t="shared" si="46"/>
        <v>貫索星己</v>
      </c>
      <c r="B232" s="271" t="s">
        <v>937</v>
      </c>
      <c r="C232" s="271" t="s">
        <v>465</v>
      </c>
      <c r="D232" s="155" t="str">
        <f t="shared" si="47"/>
        <v>己</v>
      </c>
      <c r="E232" s="49">
        <v>1990</v>
      </c>
      <c r="F232" s="279" t="s">
        <v>768</v>
      </c>
      <c r="G232" s="155"/>
      <c r="H232" s="155"/>
      <c r="I232" s="270"/>
      <c r="J232" s="271" t="s">
        <v>938</v>
      </c>
      <c r="K232" s="280" t="s">
        <v>612</v>
      </c>
      <c r="L232" s="270"/>
      <c r="M232" s="49" t="s">
        <v>939</v>
      </c>
      <c r="N232" s="216" t="s">
        <v>656</v>
      </c>
      <c r="O232" s="155"/>
      <c r="P232" s="155"/>
      <c r="Q232" s="155"/>
      <c r="R232" s="155"/>
      <c r="S232" s="155"/>
      <c r="T232" s="155"/>
      <c r="U232" s="158"/>
      <c r="V232" s="155"/>
      <c r="W232" s="155"/>
      <c r="X232" s="263"/>
      <c r="Y232" s="155"/>
      <c r="Z232" s="155"/>
      <c r="AA232" s="263"/>
      <c r="AB232" s="263"/>
      <c r="AC232" s="155"/>
      <c r="AD232" s="155"/>
      <c r="AE232" s="155"/>
      <c r="AF232" s="155"/>
      <c r="AG232" s="271"/>
      <c r="AH232" s="271" t="s">
        <v>763</v>
      </c>
      <c r="AI232" s="270">
        <v>8</v>
      </c>
      <c r="AJ232" s="155"/>
      <c r="AK232" s="271" t="s">
        <v>598</v>
      </c>
      <c r="AL232" s="271" t="s">
        <v>436</v>
      </c>
      <c r="AM232" s="155"/>
      <c r="AN232" s="155"/>
      <c r="AO232" s="155"/>
      <c r="AP232" s="49"/>
      <c r="AQ232" s="49"/>
      <c r="AR232" s="155"/>
      <c r="AS232" s="155"/>
      <c r="AT232" s="155"/>
      <c r="AU232" s="155"/>
      <c r="AV232" s="155"/>
      <c r="AW232" s="155"/>
      <c r="AX232" s="155"/>
      <c r="AY232" s="155"/>
      <c r="AZ232" s="49"/>
      <c r="BA232" s="49"/>
      <c r="BB232" s="49"/>
      <c r="BC232" s="49"/>
      <c r="BD232" s="49"/>
      <c r="BE232" s="49"/>
      <c r="BF232" s="49"/>
      <c r="BG232" s="49"/>
      <c r="BH232" s="49"/>
      <c r="BI232" s="155"/>
      <c r="BJ232" s="155"/>
      <c r="BK232" s="155"/>
      <c r="BL232" s="49"/>
      <c r="BM232" s="49"/>
      <c r="BN232" s="49"/>
      <c r="BO232" s="49"/>
      <c r="BP232" s="49"/>
      <c r="BQ232" s="49"/>
      <c r="BR232" s="49"/>
      <c r="BS232" s="49"/>
      <c r="BT232" s="271" t="s">
        <v>627</v>
      </c>
      <c r="BU232" s="155" t="s">
        <v>628</v>
      </c>
      <c r="BV232" s="155">
        <v>0</v>
      </c>
      <c r="BW232" s="49"/>
      <c r="BX232" s="49"/>
      <c r="BY232" s="49"/>
      <c r="BZ232" s="49"/>
      <c r="CA232" s="49"/>
      <c r="CB232" s="49"/>
      <c r="CC232" s="49"/>
      <c r="CD232" s="49"/>
      <c r="CE232" s="49"/>
      <c r="CF232" s="49"/>
      <c r="CG232" s="49"/>
      <c r="CH232" s="49"/>
      <c r="CI232" s="49"/>
      <c r="CJ232" s="49"/>
      <c r="CK232" s="49"/>
      <c r="CL232" s="49"/>
      <c r="CM232" s="49"/>
      <c r="CN232" s="49"/>
      <c r="CO232" s="49"/>
      <c r="CP232" s="49"/>
      <c r="CQ232" s="49"/>
      <c r="CR232" s="49"/>
      <c r="CS232" s="49"/>
      <c r="CT232" s="155"/>
      <c r="CU232" s="155"/>
      <c r="CV232" s="155"/>
      <c r="CW232" s="155"/>
      <c r="CX232" s="155"/>
      <c r="CY232" s="155"/>
      <c r="CZ232" s="155"/>
      <c r="DA232" s="155"/>
      <c r="DB232" s="155"/>
      <c r="DC232" s="155"/>
      <c r="DD232" s="155"/>
      <c r="DE232" s="155"/>
      <c r="DF232" s="155"/>
      <c r="DG232" s="155"/>
      <c r="DH232" s="155"/>
      <c r="DI232" s="155"/>
      <c r="DJ232" s="155"/>
      <c r="DK232" s="155"/>
      <c r="DL232" s="155"/>
      <c r="DM232" s="155"/>
      <c r="DN232" s="155"/>
      <c r="DO232" s="155"/>
      <c r="DP232" s="155"/>
      <c r="DQ232" s="155"/>
      <c r="DR232" s="155"/>
      <c r="DS232" s="155"/>
      <c r="DT232" s="155"/>
      <c r="DU232" s="155"/>
      <c r="DV232" s="155"/>
      <c r="DW232" s="155"/>
      <c r="DX232" s="155"/>
    </row>
    <row r="233" spans="1:128" ht="18" customHeight="1">
      <c r="A233" s="271" t="str">
        <f t="shared" si="46"/>
        <v>貫索星甲</v>
      </c>
      <c r="B233" s="271" t="s">
        <v>940</v>
      </c>
      <c r="C233" s="271" t="s">
        <v>465</v>
      </c>
      <c r="D233" s="155" t="str">
        <f t="shared" si="47"/>
        <v>甲</v>
      </c>
      <c r="E233" s="49">
        <v>1991</v>
      </c>
      <c r="F233" s="279" t="s">
        <v>643</v>
      </c>
      <c r="G233" s="155"/>
      <c r="H233" s="155"/>
      <c r="I233" s="270"/>
      <c r="J233" s="271" t="s">
        <v>941</v>
      </c>
      <c r="K233" s="280" t="s">
        <v>612</v>
      </c>
      <c r="L233" s="270"/>
      <c r="M233" s="49" t="s">
        <v>942</v>
      </c>
      <c r="N233" s="216" t="s">
        <v>943</v>
      </c>
      <c r="O233" s="155"/>
      <c r="P233" s="155"/>
      <c r="Q233" s="155"/>
      <c r="R233" s="155"/>
      <c r="S233" s="155"/>
      <c r="T233" s="155"/>
      <c r="U233" s="158"/>
      <c r="V233" s="155"/>
      <c r="W233" s="155"/>
      <c r="X233" s="263"/>
      <c r="Y233" s="155"/>
      <c r="Z233" s="155"/>
      <c r="AA233" s="263"/>
      <c r="AB233" s="263"/>
      <c r="AC233" s="155"/>
      <c r="AD233" s="155"/>
      <c r="AE233" s="155"/>
      <c r="AF233" s="155"/>
      <c r="AG233" s="271"/>
      <c r="AH233" s="271" t="s">
        <v>769</v>
      </c>
      <c r="AI233" s="270">
        <v>4</v>
      </c>
      <c r="AJ233" s="155"/>
      <c r="AK233" s="271" t="s">
        <v>606</v>
      </c>
      <c r="AL233" s="271" t="s">
        <v>436</v>
      </c>
      <c r="AM233" s="155"/>
      <c r="AN233" s="155"/>
      <c r="AO233" s="155"/>
      <c r="AP233" s="49"/>
      <c r="AQ233" s="49"/>
      <c r="AR233" s="155"/>
      <c r="AS233" s="155"/>
      <c r="AT233" s="155"/>
      <c r="AU233" s="155"/>
      <c r="AV233" s="155"/>
      <c r="AW233" s="155"/>
      <c r="AX233" s="155"/>
      <c r="AY233" s="155"/>
      <c r="AZ233" s="49"/>
      <c r="BA233" s="49"/>
      <c r="BB233" s="49"/>
      <c r="BC233" s="49"/>
      <c r="BD233" s="49"/>
      <c r="BE233" s="49"/>
      <c r="BF233" s="49"/>
      <c r="BG233" s="49"/>
      <c r="BH233" s="49"/>
      <c r="BI233" s="155"/>
      <c r="BJ233" s="155"/>
      <c r="BK233" s="155"/>
      <c r="BL233" s="49"/>
      <c r="BM233" s="49"/>
      <c r="BN233" s="49"/>
      <c r="BO233" s="49"/>
      <c r="BP233" s="49"/>
      <c r="BQ233" s="49"/>
      <c r="BR233" s="49"/>
      <c r="BS233" s="49"/>
      <c r="BT233" s="271" t="s">
        <v>633</v>
      </c>
      <c r="BU233" s="155" t="s">
        <v>628</v>
      </c>
      <c r="BV233" s="155">
        <v>0</v>
      </c>
      <c r="BW233" s="49"/>
      <c r="BX233" s="49"/>
      <c r="BY233" s="49"/>
      <c r="BZ233" s="49"/>
      <c r="CA233" s="49"/>
      <c r="CB233" s="49"/>
      <c r="CC233" s="49"/>
      <c r="CD233" s="49"/>
      <c r="CE233" s="49"/>
      <c r="CF233" s="49"/>
      <c r="CG233" s="49"/>
      <c r="CH233" s="49"/>
      <c r="CI233" s="49"/>
      <c r="CJ233" s="49"/>
      <c r="CK233" s="49"/>
      <c r="CL233" s="49"/>
      <c r="CM233" s="49"/>
      <c r="CN233" s="49"/>
      <c r="CO233" s="49"/>
      <c r="CP233" s="49"/>
      <c r="CQ233" s="49"/>
      <c r="CR233" s="49"/>
      <c r="CS233" s="49"/>
      <c r="CT233" s="155"/>
      <c r="CU233" s="155"/>
      <c r="CV233" s="155"/>
      <c r="CW233" s="155"/>
      <c r="CX233" s="155"/>
      <c r="CY233" s="155"/>
      <c r="CZ233" s="155"/>
      <c r="DA233" s="155"/>
      <c r="DB233" s="155"/>
      <c r="DC233" s="155"/>
      <c r="DD233" s="155"/>
      <c r="DE233" s="155"/>
      <c r="DF233" s="155"/>
      <c r="DG233" s="155"/>
      <c r="DH233" s="155"/>
      <c r="DI233" s="155"/>
      <c r="DJ233" s="155"/>
      <c r="DK233" s="155"/>
      <c r="DL233" s="155"/>
      <c r="DM233" s="155"/>
      <c r="DN233" s="155"/>
      <c r="DO233" s="155"/>
      <c r="DP233" s="155"/>
      <c r="DQ233" s="155"/>
      <c r="DR233" s="155"/>
      <c r="DS233" s="155"/>
      <c r="DT233" s="155"/>
      <c r="DU233" s="155"/>
      <c r="DV233" s="155"/>
      <c r="DW233" s="155"/>
      <c r="DX233" s="155"/>
    </row>
    <row r="234" spans="1:128" ht="18" customHeight="1">
      <c r="A234" s="271" t="str">
        <f t="shared" si="46"/>
        <v>貫索星乙</v>
      </c>
      <c r="B234" s="271" t="s">
        <v>944</v>
      </c>
      <c r="C234" s="271" t="s">
        <v>465</v>
      </c>
      <c r="D234" s="155" t="str">
        <f t="shared" si="47"/>
        <v>乙</v>
      </c>
      <c r="E234" s="49">
        <v>1992</v>
      </c>
      <c r="F234" s="279" t="s">
        <v>930</v>
      </c>
      <c r="G234" s="155"/>
      <c r="H234" s="155"/>
      <c r="I234" s="270"/>
      <c r="J234" s="271" t="s">
        <v>945</v>
      </c>
      <c r="K234" s="280" t="s">
        <v>628</v>
      </c>
      <c r="L234" s="270"/>
      <c r="M234" s="49" t="s">
        <v>666</v>
      </c>
      <c r="N234" s="216" t="s">
        <v>667</v>
      </c>
      <c r="O234" s="155"/>
      <c r="P234" s="155"/>
      <c r="Q234" s="155"/>
      <c r="R234" s="155"/>
      <c r="S234" s="155"/>
      <c r="T234" s="155"/>
      <c r="U234" s="158"/>
      <c r="V234" s="155"/>
      <c r="W234" s="155"/>
      <c r="X234" s="263"/>
      <c r="Y234" s="155"/>
      <c r="Z234" s="155"/>
      <c r="AA234" s="263"/>
      <c r="AB234" s="263"/>
      <c r="AC234" s="155"/>
      <c r="AD234" s="155"/>
      <c r="AE234" s="155"/>
      <c r="AF234" s="155"/>
      <c r="AG234" s="271"/>
      <c r="AH234" s="271" t="s">
        <v>774</v>
      </c>
      <c r="AI234" s="270">
        <v>2</v>
      </c>
      <c r="AJ234" s="155"/>
      <c r="AK234" s="271" t="s">
        <v>610</v>
      </c>
      <c r="AL234" s="271" t="s">
        <v>436</v>
      </c>
      <c r="AM234" s="155"/>
      <c r="AN234" s="109">
        <v>2000</v>
      </c>
      <c r="AO234" s="216" t="s">
        <v>946</v>
      </c>
      <c r="AP234" s="216" t="s">
        <v>947</v>
      </c>
      <c r="AQ234" s="216">
        <v>17</v>
      </c>
      <c r="AR234" s="155"/>
      <c r="AS234" s="155"/>
      <c r="AT234" s="155"/>
      <c r="AU234" s="155"/>
      <c r="AV234" s="155"/>
      <c r="AW234" s="155"/>
      <c r="AX234" s="155"/>
      <c r="AY234" s="155"/>
      <c r="AZ234" s="49"/>
      <c r="BA234" s="49"/>
      <c r="BB234" s="49"/>
      <c r="BC234" s="49"/>
      <c r="BD234" s="49"/>
      <c r="BE234" s="49"/>
      <c r="BF234" s="49"/>
      <c r="BG234" s="49"/>
      <c r="BH234" s="49"/>
      <c r="BI234" s="155"/>
      <c r="BJ234" s="155"/>
      <c r="BK234" s="155"/>
      <c r="BL234" s="49"/>
      <c r="BM234" s="49"/>
      <c r="BN234" s="49"/>
      <c r="BO234" s="49"/>
      <c r="BP234" s="49"/>
      <c r="BQ234" s="49"/>
      <c r="BR234" s="49"/>
      <c r="BS234" s="49"/>
      <c r="BT234" s="271" t="s">
        <v>638</v>
      </c>
      <c r="BU234" s="155" t="s">
        <v>622</v>
      </c>
      <c r="BV234" s="155"/>
      <c r="BW234" s="49"/>
      <c r="BX234" s="49"/>
      <c r="BY234" s="49"/>
      <c r="BZ234" s="49"/>
      <c r="CA234" s="49"/>
      <c r="CB234" s="49"/>
      <c r="CC234" s="49"/>
      <c r="CD234" s="49"/>
      <c r="CE234" s="49"/>
      <c r="CF234" s="49"/>
      <c r="CG234" s="49"/>
      <c r="CH234" s="49"/>
      <c r="CI234" s="49"/>
      <c r="CJ234" s="49"/>
      <c r="CK234" s="49"/>
      <c r="CL234" s="49"/>
      <c r="CM234" s="49"/>
      <c r="CN234" s="49"/>
      <c r="CO234" s="49"/>
      <c r="CP234" s="49"/>
      <c r="CQ234" s="49"/>
      <c r="CR234" s="49"/>
      <c r="CS234" s="49"/>
      <c r="CT234" s="155"/>
      <c r="CU234" s="155"/>
      <c r="CV234" s="155"/>
      <c r="CW234" s="155"/>
      <c r="CX234" s="155"/>
      <c r="CY234" s="155"/>
      <c r="CZ234" s="155"/>
      <c r="DA234" s="155"/>
      <c r="DB234" s="155"/>
      <c r="DC234" s="155"/>
      <c r="DD234" s="155"/>
      <c r="DE234" s="155"/>
      <c r="DF234" s="155"/>
      <c r="DG234" s="155"/>
      <c r="DH234" s="155"/>
      <c r="DI234" s="155"/>
      <c r="DJ234" s="155"/>
      <c r="DK234" s="155"/>
      <c r="DL234" s="155"/>
      <c r="DM234" s="155"/>
      <c r="DN234" s="155"/>
      <c r="DO234" s="155"/>
      <c r="DP234" s="155"/>
      <c r="DQ234" s="155"/>
      <c r="DR234" s="155"/>
      <c r="DS234" s="155"/>
      <c r="DT234" s="155"/>
      <c r="DU234" s="155"/>
      <c r="DV234" s="155"/>
      <c r="DW234" s="155"/>
      <c r="DX234" s="155"/>
    </row>
    <row r="235" spans="1:128" ht="18" customHeight="1">
      <c r="A235" s="271" t="str">
        <f t="shared" si="46"/>
        <v>司禄星丙</v>
      </c>
      <c r="B235" s="271" t="s">
        <v>948</v>
      </c>
      <c r="C235" s="271" t="s">
        <v>432</v>
      </c>
      <c r="D235" s="155" t="str">
        <f t="shared" si="47"/>
        <v>辛</v>
      </c>
      <c r="E235" s="49">
        <v>1993</v>
      </c>
      <c r="F235" s="279" t="s">
        <v>934</v>
      </c>
      <c r="G235" s="155"/>
      <c r="H235" s="155"/>
      <c r="I235" s="270"/>
      <c r="J235" s="271" t="s">
        <v>949</v>
      </c>
      <c r="K235" s="280" t="s">
        <v>645</v>
      </c>
      <c r="L235" s="270"/>
      <c r="M235" s="49" t="s">
        <v>950</v>
      </c>
      <c r="N235" s="216" t="s">
        <v>671</v>
      </c>
      <c r="O235" s="155"/>
      <c r="P235" s="155"/>
      <c r="Q235" s="155"/>
      <c r="R235" s="155"/>
      <c r="S235" s="155"/>
      <c r="T235" s="155"/>
      <c r="U235" s="158"/>
      <c r="V235" s="155"/>
      <c r="W235" s="155"/>
      <c r="X235" s="263"/>
      <c r="Y235" s="155"/>
      <c r="Z235" s="155"/>
      <c r="AA235" s="263"/>
      <c r="AB235" s="263"/>
      <c r="AC235" s="155"/>
      <c r="AD235" s="155"/>
      <c r="AE235" s="155"/>
      <c r="AF235" s="155"/>
      <c r="AG235" s="271"/>
      <c r="AH235" s="271" t="s">
        <v>778</v>
      </c>
      <c r="AI235" s="270">
        <v>5</v>
      </c>
      <c r="AJ235" s="155"/>
      <c r="AK235" s="271" t="s">
        <v>616</v>
      </c>
      <c r="AL235" s="271" t="s">
        <v>436</v>
      </c>
      <c r="AM235" s="155"/>
      <c r="AN235" s="109">
        <v>2001</v>
      </c>
      <c r="AO235" s="216" t="s">
        <v>946</v>
      </c>
      <c r="AP235" s="216" t="s">
        <v>951</v>
      </c>
      <c r="AQ235" s="216">
        <v>18</v>
      </c>
      <c r="AR235" s="155"/>
      <c r="AS235" s="155"/>
      <c r="AT235" s="155"/>
      <c r="AU235" s="155"/>
      <c r="AV235" s="155"/>
      <c r="AW235" s="155"/>
      <c r="AX235" s="155"/>
      <c r="AY235" s="155"/>
      <c r="AZ235" s="49"/>
      <c r="BA235" s="49"/>
      <c r="BB235" s="49"/>
      <c r="BC235" s="49"/>
      <c r="BD235" s="49"/>
      <c r="BE235" s="49"/>
      <c r="BF235" s="49"/>
      <c r="BG235" s="49"/>
      <c r="BH235" s="49"/>
      <c r="BI235" s="155"/>
      <c r="BJ235" s="155"/>
      <c r="BK235" s="155"/>
      <c r="BL235" s="49"/>
      <c r="BM235" s="49"/>
      <c r="BN235" s="49"/>
      <c r="BO235" s="49"/>
      <c r="BP235" s="49"/>
      <c r="BQ235" s="49"/>
      <c r="BR235" s="49"/>
      <c r="BS235" s="49"/>
      <c r="BT235" s="271" t="s">
        <v>644</v>
      </c>
      <c r="BU235" s="155" t="s">
        <v>645</v>
      </c>
      <c r="BV235" s="155">
        <v>0</v>
      </c>
      <c r="BW235" s="49"/>
      <c r="BX235" s="49"/>
      <c r="BY235" s="49"/>
      <c r="BZ235" s="49"/>
      <c r="CA235" s="49"/>
      <c r="CB235" s="49"/>
      <c r="CC235" s="49"/>
      <c r="CD235" s="49"/>
      <c r="CE235" s="49"/>
      <c r="CF235" s="49"/>
      <c r="CG235" s="49"/>
      <c r="CH235" s="49"/>
      <c r="CI235" s="49"/>
      <c r="CJ235" s="49"/>
      <c r="CK235" s="49"/>
      <c r="CL235" s="49"/>
      <c r="CM235" s="49"/>
      <c r="CN235" s="49"/>
      <c r="CO235" s="49"/>
      <c r="CP235" s="49"/>
      <c r="CQ235" s="49"/>
      <c r="CR235" s="49"/>
      <c r="CS235" s="49"/>
      <c r="CT235" s="155"/>
      <c r="CU235" s="155"/>
      <c r="CV235" s="155"/>
      <c r="CW235" s="155"/>
      <c r="CX235" s="155"/>
      <c r="CY235" s="155"/>
      <c r="CZ235" s="155"/>
      <c r="DA235" s="155"/>
      <c r="DB235" s="155"/>
      <c r="DC235" s="155"/>
      <c r="DD235" s="155"/>
      <c r="DE235" s="155"/>
      <c r="DF235" s="155"/>
      <c r="DG235" s="155"/>
      <c r="DH235" s="155"/>
      <c r="DI235" s="155"/>
      <c r="DJ235" s="155"/>
      <c r="DK235" s="155"/>
      <c r="DL235" s="155"/>
      <c r="DM235" s="155"/>
      <c r="DN235" s="155"/>
      <c r="DO235" s="155"/>
      <c r="DP235" s="155"/>
      <c r="DQ235" s="155"/>
      <c r="DR235" s="155"/>
      <c r="DS235" s="155"/>
      <c r="DT235" s="155"/>
      <c r="DU235" s="155"/>
      <c r="DV235" s="155"/>
      <c r="DW235" s="155"/>
      <c r="DX235" s="155"/>
    </row>
    <row r="236" spans="1:128" ht="18" customHeight="1">
      <c r="A236" s="271" t="str">
        <f t="shared" si="46"/>
        <v>司禄星丁</v>
      </c>
      <c r="B236" s="271" t="s">
        <v>952</v>
      </c>
      <c r="C236" s="271" t="s">
        <v>432</v>
      </c>
      <c r="D236" s="155" t="str">
        <f t="shared" si="47"/>
        <v>庚</v>
      </c>
      <c r="E236" s="49">
        <v>1994</v>
      </c>
      <c r="F236" s="279" t="s">
        <v>768</v>
      </c>
      <c r="G236" s="155"/>
      <c r="H236" s="155"/>
      <c r="I236" s="270"/>
      <c r="J236" s="271" t="s">
        <v>953</v>
      </c>
      <c r="K236" s="280" t="s">
        <v>645</v>
      </c>
      <c r="L236" s="270"/>
      <c r="M236" s="49" t="s">
        <v>954</v>
      </c>
      <c r="N236" s="216" t="s">
        <v>676</v>
      </c>
      <c r="O236" s="155"/>
      <c r="P236" s="155"/>
      <c r="Q236" s="155"/>
      <c r="R236" s="155"/>
      <c r="S236" s="155"/>
      <c r="T236" s="155"/>
      <c r="U236" s="158"/>
      <c r="V236" s="155"/>
      <c r="W236" s="155"/>
      <c r="X236" s="263"/>
      <c r="Y236" s="155"/>
      <c r="Z236" s="155"/>
      <c r="AA236" s="263"/>
      <c r="AB236" s="263"/>
      <c r="AC236" s="155"/>
      <c r="AD236" s="155"/>
      <c r="AE236" s="155"/>
      <c r="AF236" s="155"/>
      <c r="AG236" s="271"/>
      <c r="AH236" s="271" t="s">
        <v>783</v>
      </c>
      <c r="AI236" s="270">
        <v>1</v>
      </c>
      <c r="AJ236" s="155"/>
      <c r="AK236" s="271" t="s">
        <v>620</v>
      </c>
      <c r="AL236" s="271" t="s">
        <v>436</v>
      </c>
      <c r="AM236" s="155"/>
      <c r="AN236" s="109">
        <v>2002</v>
      </c>
      <c r="AO236" s="216" t="s">
        <v>955</v>
      </c>
      <c r="AP236" s="216" t="s">
        <v>956</v>
      </c>
      <c r="AQ236" s="216">
        <v>19</v>
      </c>
      <c r="AR236" s="155"/>
      <c r="AS236" s="155"/>
      <c r="AT236" s="155"/>
      <c r="AU236" s="155"/>
      <c r="AV236" s="155"/>
      <c r="AW236" s="155"/>
      <c r="AX236" s="155"/>
      <c r="AY236" s="155"/>
      <c r="AZ236" s="49"/>
      <c r="BA236" s="49"/>
      <c r="BB236" s="49"/>
      <c r="BC236" s="49"/>
      <c r="BD236" s="49"/>
      <c r="BE236" s="49"/>
      <c r="BF236" s="49"/>
      <c r="BG236" s="49"/>
      <c r="BH236" s="49"/>
      <c r="BI236" s="155"/>
      <c r="BJ236" s="155"/>
      <c r="BK236" s="155"/>
      <c r="BL236" s="49"/>
      <c r="BM236" s="49"/>
      <c r="BN236" s="49"/>
      <c r="BO236" s="49"/>
      <c r="BP236" s="49"/>
      <c r="BQ236" s="49"/>
      <c r="BR236" s="49"/>
      <c r="BS236" s="49"/>
      <c r="BT236" s="271" t="s">
        <v>650</v>
      </c>
      <c r="BU236" s="155" t="s">
        <v>645</v>
      </c>
      <c r="BV236" s="155">
        <v>1</v>
      </c>
      <c r="BW236" s="49"/>
      <c r="BX236" s="49"/>
      <c r="BY236" s="49"/>
      <c r="BZ236" s="49"/>
      <c r="CA236" s="49"/>
      <c r="CB236" s="49"/>
      <c r="CC236" s="49"/>
      <c r="CD236" s="49"/>
      <c r="CE236" s="49"/>
      <c r="CF236" s="49"/>
      <c r="CG236" s="49"/>
      <c r="CH236" s="49"/>
      <c r="CI236" s="49"/>
      <c r="CJ236" s="49"/>
      <c r="CK236" s="49"/>
      <c r="CL236" s="49"/>
      <c r="CM236" s="49"/>
      <c r="CN236" s="49"/>
      <c r="CO236" s="49"/>
      <c r="CP236" s="49"/>
      <c r="CQ236" s="49"/>
      <c r="CR236" s="49"/>
      <c r="CS236" s="49"/>
      <c r="CT236" s="155"/>
      <c r="CU236" s="155"/>
      <c r="CV236" s="155"/>
      <c r="CW236" s="155"/>
      <c r="CX236" s="155"/>
      <c r="CY236" s="155"/>
      <c r="CZ236" s="155"/>
      <c r="DA236" s="155"/>
      <c r="DB236" s="155"/>
      <c r="DC236" s="155"/>
      <c r="DD236" s="155"/>
      <c r="DE236" s="155"/>
      <c r="DF236" s="155"/>
      <c r="DG236" s="155"/>
      <c r="DH236" s="155"/>
      <c r="DI236" s="155"/>
      <c r="DJ236" s="155"/>
      <c r="DK236" s="155"/>
      <c r="DL236" s="155"/>
      <c r="DM236" s="155"/>
      <c r="DN236" s="155"/>
      <c r="DO236" s="155"/>
      <c r="DP236" s="155"/>
      <c r="DQ236" s="155"/>
      <c r="DR236" s="155"/>
      <c r="DS236" s="155"/>
      <c r="DT236" s="155"/>
      <c r="DU236" s="155"/>
      <c r="DV236" s="155"/>
      <c r="DW236" s="155"/>
      <c r="DX236" s="155"/>
    </row>
    <row r="237" spans="1:128" ht="18" customHeight="1">
      <c r="A237" s="271" t="str">
        <f t="shared" si="46"/>
        <v>司禄星庚</v>
      </c>
      <c r="B237" s="271" t="s">
        <v>957</v>
      </c>
      <c r="C237" s="271" t="s">
        <v>432</v>
      </c>
      <c r="D237" s="155" t="str">
        <f t="shared" si="47"/>
        <v>乙</v>
      </c>
      <c r="E237" s="49">
        <v>1995</v>
      </c>
      <c r="F237" s="279" t="s">
        <v>643</v>
      </c>
      <c r="G237" s="155"/>
      <c r="H237" s="155"/>
      <c r="I237" s="270"/>
      <c r="J237" s="271" t="s">
        <v>958</v>
      </c>
      <c r="K237" s="280" t="s">
        <v>628</v>
      </c>
      <c r="L237" s="270"/>
      <c r="M237" s="49" t="s">
        <v>959</v>
      </c>
      <c r="N237" s="216" t="s">
        <v>681</v>
      </c>
      <c r="O237" s="155"/>
      <c r="P237" s="155"/>
      <c r="Q237" s="155"/>
      <c r="R237" s="155"/>
      <c r="S237" s="155"/>
      <c r="T237" s="155"/>
      <c r="U237" s="158"/>
      <c r="V237" s="155"/>
      <c r="W237" s="155"/>
      <c r="X237" s="263"/>
      <c r="Y237" s="155"/>
      <c r="Z237" s="155"/>
      <c r="AA237" s="263"/>
      <c r="AB237" s="263"/>
      <c r="AC237" s="155"/>
      <c r="AD237" s="155"/>
      <c r="AE237" s="155"/>
      <c r="AF237" s="155"/>
      <c r="AG237" s="271"/>
      <c r="AH237" s="271" t="s">
        <v>788</v>
      </c>
      <c r="AI237" s="270">
        <v>3</v>
      </c>
      <c r="AJ237" s="155"/>
      <c r="AK237" s="271" t="s">
        <v>626</v>
      </c>
      <c r="AL237" s="271" t="s">
        <v>436</v>
      </c>
      <c r="AM237" s="155"/>
      <c r="AN237" s="109">
        <v>2003</v>
      </c>
      <c r="AO237" s="216" t="s">
        <v>955</v>
      </c>
      <c r="AP237" s="216" t="s">
        <v>960</v>
      </c>
      <c r="AQ237" s="216">
        <v>20</v>
      </c>
      <c r="AR237" s="155"/>
      <c r="AS237" s="155"/>
      <c r="AT237" s="155"/>
      <c r="AU237" s="155"/>
      <c r="AV237" s="155"/>
      <c r="AW237" s="155"/>
      <c r="AX237" s="155"/>
      <c r="AY237" s="155"/>
      <c r="AZ237" s="49"/>
      <c r="BA237" s="49"/>
      <c r="BB237" s="49"/>
      <c r="BC237" s="49"/>
      <c r="BD237" s="49"/>
      <c r="BE237" s="49"/>
      <c r="BF237" s="49"/>
      <c r="BG237" s="49"/>
      <c r="BH237" s="49"/>
      <c r="BI237" s="155"/>
      <c r="BJ237" s="155"/>
      <c r="BK237" s="155"/>
      <c r="BL237" s="49"/>
      <c r="BM237" s="49"/>
      <c r="BN237" s="49"/>
      <c r="BO237" s="49"/>
      <c r="BP237" s="49"/>
      <c r="BQ237" s="49"/>
      <c r="BR237" s="49"/>
      <c r="BS237" s="49"/>
      <c r="BT237" s="271" t="s">
        <v>654</v>
      </c>
      <c r="BU237" s="155" t="s">
        <v>622</v>
      </c>
      <c r="BV237" s="155">
        <v>1</v>
      </c>
      <c r="BW237" s="49"/>
      <c r="BX237" s="49"/>
      <c r="BY237" s="49"/>
      <c r="BZ237" s="49"/>
      <c r="CA237" s="49"/>
      <c r="CB237" s="49"/>
      <c r="CC237" s="49"/>
      <c r="CD237" s="49"/>
      <c r="CE237" s="49"/>
      <c r="CF237" s="49"/>
      <c r="CG237" s="49"/>
      <c r="CH237" s="49"/>
      <c r="CI237" s="49"/>
      <c r="CJ237" s="49"/>
      <c r="CK237" s="49"/>
      <c r="CL237" s="49"/>
      <c r="CM237" s="49"/>
      <c r="CN237" s="49"/>
      <c r="CO237" s="49"/>
      <c r="CP237" s="49"/>
      <c r="CQ237" s="49"/>
      <c r="CR237" s="49"/>
      <c r="CS237" s="49"/>
      <c r="CT237" s="155"/>
      <c r="CU237" s="155"/>
      <c r="CV237" s="155"/>
      <c r="CW237" s="155"/>
      <c r="CX237" s="155"/>
      <c r="CY237" s="155"/>
      <c r="CZ237" s="155"/>
      <c r="DA237" s="155"/>
      <c r="DB237" s="155"/>
      <c r="DC237" s="155"/>
      <c r="DD237" s="155"/>
      <c r="DE237" s="155"/>
      <c r="DF237" s="155"/>
      <c r="DG237" s="155"/>
      <c r="DH237" s="155"/>
      <c r="DI237" s="155"/>
      <c r="DJ237" s="155"/>
      <c r="DK237" s="155"/>
      <c r="DL237" s="155"/>
      <c r="DM237" s="155"/>
      <c r="DN237" s="155"/>
      <c r="DO237" s="155"/>
      <c r="DP237" s="155"/>
      <c r="DQ237" s="155"/>
      <c r="DR237" s="155"/>
      <c r="DS237" s="155"/>
      <c r="DT237" s="155"/>
      <c r="DU237" s="155"/>
      <c r="DV237" s="155"/>
      <c r="DW237" s="155"/>
      <c r="DX237" s="155"/>
    </row>
    <row r="238" spans="1:128" ht="18" customHeight="1">
      <c r="A238" s="271" t="str">
        <f t="shared" si="46"/>
        <v>司禄星辛</v>
      </c>
      <c r="B238" s="271" t="s">
        <v>961</v>
      </c>
      <c r="C238" s="271" t="s">
        <v>432</v>
      </c>
      <c r="D238" s="155" t="str">
        <f t="shared" si="47"/>
        <v>甲</v>
      </c>
      <c r="E238" s="49">
        <v>1996</v>
      </c>
      <c r="F238" s="279" t="s">
        <v>930</v>
      </c>
      <c r="G238" s="155"/>
      <c r="H238" s="155"/>
      <c r="I238" s="270"/>
      <c r="J238" s="271" t="s">
        <v>962</v>
      </c>
      <c r="K238" s="280" t="s">
        <v>622</v>
      </c>
      <c r="L238" s="270"/>
      <c r="M238" s="49" t="s">
        <v>963</v>
      </c>
      <c r="N238" s="216" t="s">
        <v>686</v>
      </c>
      <c r="O238" s="155"/>
      <c r="P238" s="155"/>
      <c r="Q238" s="155"/>
      <c r="R238" s="155"/>
      <c r="S238" s="155"/>
      <c r="T238" s="155"/>
      <c r="U238" s="158"/>
      <c r="V238" s="155"/>
      <c r="W238" s="155"/>
      <c r="X238" s="263"/>
      <c r="Y238" s="155"/>
      <c r="Z238" s="155"/>
      <c r="AA238" s="263"/>
      <c r="AB238" s="263"/>
      <c r="AC238" s="155"/>
      <c r="AD238" s="155"/>
      <c r="AE238" s="155"/>
      <c r="AF238" s="155"/>
      <c r="AG238" s="271"/>
      <c r="AH238" s="271" t="s">
        <v>824</v>
      </c>
      <c r="AI238" s="270">
        <v>6</v>
      </c>
      <c r="AJ238" s="155"/>
      <c r="AK238" s="271" t="s">
        <v>632</v>
      </c>
      <c r="AL238" s="271" t="s">
        <v>436</v>
      </c>
      <c r="AM238" s="155"/>
      <c r="AN238" s="109">
        <v>2004</v>
      </c>
      <c r="AO238" s="216" t="s">
        <v>946</v>
      </c>
      <c r="AP238" s="216" t="s">
        <v>659</v>
      </c>
      <c r="AQ238" s="216">
        <v>21</v>
      </c>
      <c r="AR238" s="155"/>
      <c r="AS238" s="155"/>
      <c r="AT238" s="155"/>
      <c r="AU238" s="155"/>
      <c r="AV238" s="155"/>
      <c r="AW238" s="155"/>
      <c r="AX238" s="155"/>
      <c r="AY238" s="155"/>
      <c r="AZ238" s="49"/>
      <c r="BA238" s="49"/>
      <c r="BB238" s="49"/>
      <c r="BC238" s="49"/>
      <c r="BD238" s="49"/>
      <c r="BE238" s="49"/>
      <c r="BF238" s="49"/>
      <c r="BG238" s="49"/>
      <c r="BH238" s="49"/>
      <c r="BI238" s="155"/>
      <c r="BJ238" s="155"/>
      <c r="BK238" s="155"/>
      <c r="BL238" s="49"/>
      <c r="BM238" s="49"/>
      <c r="BN238" s="49"/>
      <c r="BO238" s="49"/>
      <c r="BP238" s="49"/>
      <c r="BQ238" s="49"/>
      <c r="BR238" s="49"/>
      <c r="BS238" s="49"/>
      <c r="BT238" s="271" t="s">
        <v>659</v>
      </c>
      <c r="BU238" s="155" t="s">
        <v>660</v>
      </c>
      <c r="BV238" s="155">
        <v>0</v>
      </c>
      <c r="BW238" s="49"/>
      <c r="BX238" s="49"/>
      <c r="BY238" s="49"/>
      <c r="BZ238" s="49"/>
      <c r="CA238" s="49"/>
      <c r="CB238" s="49"/>
      <c r="CC238" s="49"/>
      <c r="CD238" s="49"/>
      <c r="CE238" s="49"/>
      <c r="CF238" s="49"/>
      <c r="CG238" s="49"/>
      <c r="CH238" s="49"/>
      <c r="CI238" s="49"/>
      <c r="CJ238" s="49"/>
      <c r="CK238" s="49"/>
      <c r="CL238" s="49"/>
      <c r="CM238" s="49"/>
      <c r="CN238" s="49"/>
      <c r="CO238" s="49"/>
      <c r="CP238" s="49"/>
      <c r="CQ238" s="49"/>
      <c r="CR238" s="49"/>
      <c r="CS238" s="49"/>
      <c r="CT238" s="155"/>
      <c r="CU238" s="155"/>
      <c r="CV238" s="155"/>
      <c r="CW238" s="155"/>
      <c r="CX238" s="155"/>
      <c r="CY238" s="155"/>
      <c r="CZ238" s="155"/>
      <c r="DA238" s="155"/>
      <c r="DB238" s="155"/>
      <c r="DC238" s="155"/>
      <c r="DD238" s="155"/>
      <c r="DE238" s="155"/>
      <c r="DF238" s="155"/>
      <c r="DG238" s="155"/>
      <c r="DH238" s="155"/>
      <c r="DI238" s="155"/>
      <c r="DJ238" s="155"/>
      <c r="DK238" s="155"/>
      <c r="DL238" s="155"/>
      <c r="DM238" s="155"/>
      <c r="DN238" s="155"/>
      <c r="DO238" s="155"/>
      <c r="DP238" s="155"/>
      <c r="DQ238" s="155"/>
      <c r="DR238" s="155"/>
      <c r="DS238" s="155"/>
      <c r="DT238" s="155"/>
      <c r="DU238" s="155"/>
      <c r="DV238" s="155"/>
      <c r="DW238" s="155"/>
      <c r="DX238" s="155"/>
    </row>
    <row r="239" spans="1:128" ht="18" customHeight="1">
      <c r="A239" s="271" t="str">
        <f t="shared" si="46"/>
        <v>司禄星壬</v>
      </c>
      <c r="B239" s="271" t="s">
        <v>964</v>
      </c>
      <c r="C239" s="271" t="s">
        <v>432</v>
      </c>
      <c r="D239" s="155" t="str">
        <f t="shared" si="47"/>
        <v>丁</v>
      </c>
      <c r="E239" s="49">
        <v>1997</v>
      </c>
      <c r="F239" s="279" t="s">
        <v>965</v>
      </c>
      <c r="G239" s="155"/>
      <c r="H239" s="155"/>
      <c r="I239" s="270"/>
      <c r="J239" s="271" t="s">
        <v>966</v>
      </c>
      <c r="K239" s="280" t="s">
        <v>622</v>
      </c>
      <c r="L239" s="270"/>
      <c r="M239" s="49" t="s">
        <v>967</v>
      </c>
      <c r="N239" s="216" t="s">
        <v>968</v>
      </c>
      <c r="O239" s="155"/>
      <c r="P239" s="155"/>
      <c r="Q239" s="155"/>
      <c r="R239" s="155"/>
      <c r="S239" s="155"/>
      <c r="T239" s="155"/>
      <c r="U239" s="158"/>
      <c r="V239" s="155"/>
      <c r="W239" s="155"/>
      <c r="X239" s="263"/>
      <c r="Y239" s="155"/>
      <c r="Z239" s="155"/>
      <c r="AA239" s="263"/>
      <c r="AB239" s="263"/>
      <c r="AC239" s="155"/>
      <c r="AD239" s="155"/>
      <c r="AE239" s="155"/>
      <c r="AF239" s="155"/>
      <c r="AG239" s="271"/>
      <c r="AH239" s="271" t="s">
        <v>863</v>
      </c>
      <c r="AI239" s="270">
        <v>9</v>
      </c>
      <c r="AJ239" s="155"/>
      <c r="AK239" s="271" t="s">
        <v>636</v>
      </c>
      <c r="AL239" s="271" t="s">
        <v>436</v>
      </c>
      <c r="AM239" s="155"/>
      <c r="AN239" s="109">
        <v>2005</v>
      </c>
      <c r="AO239" s="216" t="s">
        <v>946</v>
      </c>
      <c r="AP239" s="216" t="s">
        <v>724</v>
      </c>
      <c r="AQ239" s="216">
        <v>22</v>
      </c>
      <c r="AR239" s="155"/>
      <c r="AS239" s="155"/>
      <c r="AT239" s="155"/>
      <c r="AU239" s="155"/>
      <c r="AV239" s="155"/>
      <c r="AW239" s="155"/>
      <c r="AX239" s="155"/>
      <c r="AY239" s="155"/>
      <c r="AZ239" s="49"/>
      <c r="BA239" s="49"/>
      <c r="BB239" s="49"/>
      <c r="BC239" s="49"/>
      <c r="BD239" s="49"/>
      <c r="BE239" s="49"/>
      <c r="BF239" s="49"/>
      <c r="BG239" s="49"/>
      <c r="BH239" s="49"/>
      <c r="BI239" s="155"/>
      <c r="BJ239" s="155"/>
      <c r="BK239" s="155"/>
      <c r="BL239" s="49"/>
      <c r="BM239" s="49"/>
      <c r="BN239" s="49"/>
      <c r="BO239" s="49"/>
      <c r="BP239" s="49"/>
      <c r="BQ239" s="49"/>
      <c r="BR239" s="49"/>
      <c r="BS239" s="49"/>
      <c r="BT239" s="271" t="s">
        <v>665</v>
      </c>
      <c r="BU239" s="155" t="s">
        <v>660</v>
      </c>
      <c r="BV239" s="155">
        <v>0</v>
      </c>
      <c r="BW239" s="49"/>
      <c r="BX239" s="49"/>
      <c r="BY239" s="49"/>
      <c r="BZ239" s="49"/>
      <c r="CA239" s="49"/>
      <c r="CB239" s="49"/>
      <c r="CC239" s="49"/>
      <c r="CD239" s="49"/>
      <c r="CE239" s="49"/>
      <c r="CF239" s="49"/>
      <c r="CG239" s="49"/>
      <c r="CH239" s="49"/>
      <c r="CI239" s="49"/>
      <c r="CJ239" s="49"/>
      <c r="CK239" s="49"/>
      <c r="CL239" s="49"/>
      <c r="CM239" s="49"/>
      <c r="CN239" s="49"/>
      <c r="CO239" s="49"/>
      <c r="CP239" s="49"/>
      <c r="CQ239" s="49"/>
      <c r="CR239" s="49"/>
      <c r="CS239" s="49"/>
      <c r="CT239" s="155"/>
      <c r="CU239" s="155"/>
      <c r="CV239" s="155"/>
      <c r="CW239" s="155"/>
      <c r="CX239" s="155"/>
      <c r="CY239" s="155"/>
      <c r="CZ239" s="155"/>
      <c r="DA239" s="155"/>
      <c r="DB239" s="155"/>
      <c r="DC239" s="155"/>
      <c r="DD239" s="155"/>
      <c r="DE239" s="155"/>
      <c r="DF239" s="155"/>
      <c r="DG239" s="155"/>
      <c r="DH239" s="155"/>
      <c r="DI239" s="155"/>
      <c r="DJ239" s="155"/>
      <c r="DK239" s="155"/>
      <c r="DL239" s="155"/>
      <c r="DM239" s="155"/>
      <c r="DN239" s="155"/>
      <c r="DO239" s="155"/>
      <c r="DP239" s="155"/>
      <c r="DQ239" s="155"/>
      <c r="DR239" s="155"/>
      <c r="DS239" s="155"/>
      <c r="DT239" s="155"/>
      <c r="DU239" s="155"/>
      <c r="DV239" s="155"/>
      <c r="DW239" s="155"/>
      <c r="DX239" s="155"/>
    </row>
    <row r="240" spans="1:128" ht="18" customHeight="1">
      <c r="A240" s="271" t="str">
        <f t="shared" si="46"/>
        <v>司禄星癸</v>
      </c>
      <c r="B240" s="271" t="s">
        <v>969</v>
      </c>
      <c r="C240" s="271" t="s">
        <v>432</v>
      </c>
      <c r="D240" s="155" t="str">
        <f t="shared" si="47"/>
        <v>丙</v>
      </c>
      <c r="E240" s="49">
        <v>1998</v>
      </c>
      <c r="F240" s="279" t="s">
        <v>768</v>
      </c>
      <c r="G240" s="155"/>
      <c r="H240" s="155"/>
      <c r="I240" s="270"/>
      <c r="J240" s="271" t="s">
        <v>970</v>
      </c>
      <c r="K240" s="280" t="s">
        <v>628</v>
      </c>
      <c r="L240" s="270"/>
      <c r="M240" s="49" t="s">
        <v>695</v>
      </c>
      <c r="N240" s="216" t="s">
        <v>696</v>
      </c>
      <c r="O240" s="155"/>
      <c r="P240" s="155"/>
      <c r="Q240" s="155"/>
      <c r="R240" s="155"/>
      <c r="S240" s="155"/>
      <c r="T240" s="155"/>
      <c r="U240" s="158"/>
      <c r="V240" s="155"/>
      <c r="W240" s="155"/>
      <c r="X240" s="263"/>
      <c r="Y240" s="155"/>
      <c r="Z240" s="155"/>
      <c r="AA240" s="263"/>
      <c r="AB240" s="263"/>
      <c r="AC240" s="155"/>
      <c r="AD240" s="155"/>
      <c r="AE240" s="155"/>
      <c r="AF240" s="155"/>
      <c r="AG240" s="271"/>
      <c r="AH240" s="271" t="s">
        <v>858</v>
      </c>
      <c r="AI240" s="270">
        <v>7</v>
      </c>
      <c r="AJ240" s="155"/>
      <c r="AK240" s="271" t="s">
        <v>642</v>
      </c>
      <c r="AL240" s="271" t="s">
        <v>460</v>
      </c>
      <c r="AM240" s="155"/>
      <c r="AN240" s="109">
        <v>2006</v>
      </c>
      <c r="AO240" s="216" t="s">
        <v>971</v>
      </c>
      <c r="AP240" s="216" t="s">
        <v>778</v>
      </c>
      <c r="AQ240" s="216">
        <v>23</v>
      </c>
      <c r="AR240" s="155"/>
      <c r="AS240" s="155"/>
      <c r="AT240" s="155"/>
      <c r="AU240" s="155"/>
      <c r="AV240" s="155"/>
      <c r="AW240" s="155"/>
      <c r="AX240" s="155"/>
      <c r="AY240" s="155"/>
      <c r="AZ240" s="49"/>
      <c r="BA240" s="49"/>
      <c r="BB240" s="49"/>
      <c r="BC240" s="49"/>
      <c r="BD240" s="49"/>
      <c r="BE240" s="49"/>
      <c r="BF240" s="49"/>
      <c r="BG240" s="49"/>
      <c r="BH240" s="49"/>
      <c r="BI240" s="155"/>
      <c r="BJ240" s="155"/>
      <c r="BK240" s="155"/>
      <c r="BL240" s="49"/>
      <c r="BM240" s="49"/>
      <c r="BN240" s="49"/>
      <c r="BO240" s="49"/>
      <c r="BP240" s="49"/>
      <c r="BQ240" s="49"/>
      <c r="BR240" s="49"/>
      <c r="BS240" s="49"/>
      <c r="BT240" s="271" t="s">
        <v>669</v>
      </c>
      <c r="BU240" s="155" t="s">
        <v>622</v>
      </c>
      <c r="BV240" s="155">
        <v>0</v>
      </c>
      <c r="BW240" s="49"/>
      <c r="BX240" s="49"/>
      <c r="BY240" s="49"/>
      <c r="BZ240" s="49"/>
      <c r="CA240" s="49"/>
      <c r="CB240" s="49"/>
      <c r="CC240" s="49"/>
      <c r="CD240" s="49"/>
      <c r="CE240" s="49"/>
      <c r="CF240" s="49"/>
      <c r="CG240" s="49"/>
      <c r="CH240" s="49"/>
      <c r="CI240" s="49"/>
      <c r="CJ240" s="49"/>
      <c r="CK240" s="49"/>
      <c r="CL240" s="49"/>
      <c r="CM240" s="49"/>
      <c r="CN240" s="49"/>
      <c r="CO240" s="49"/>
      <c r="CP240" s="49"/>
      <c r="CQ240" s="49"/>
      <c r="CR240" s="49"/>
      <c r="CS240" s="49"/>
      <c r="CT240" s="155"/>
      <c r="CU240" s="155"/>
      <c r="CV240" s="155"/>
      <c r="CW240" s="155"/>
      <c r="CX240" s="155"/>
      <c r="CY240" s="155"/>
      <c r="CZ240" s="155"/>
      <c r="DA240" s="155"/>
      <c r="DB240" s="155"/>
      <c r="DC240" s="155"/>
      <c r="DD240" s="155"/>
      <c r="DE240" s="155"/>
      <c r="DF240" s="155"/>
      <c r="DG240" s="155"/>
      <c r="DH240" s="155"/>
      <c r="DI240" s="155"/>
      <c r="DJ240" s="155"/>
      <c r="DK240" s="155"/>
      <c r="DL240" s="155"/>
      <c r="DM240" s="155"/>
      <c r="DN240" s="155"/>
      <c r="DO240" s="155"/>
      <c r="DP240" s="155"/>
      <c r="DQ240" s="155"/>
      <c r="DR240" s="155"/>
      <c r="DS240" s="155"/>
      <c r="DT240" s="155"/>
      <c r="DU240" s="155"/>
      <c r="DV240" s="155"/>
      <c r="DW240" s="155"/>
      <c r="DX240" s="155"/>
    </row>
    <row r="241" spans="1:128" ht="18" customHeight="1">
      <c r="A241" s="271" t="str">
        <f t="shared" si="46"/>
        <v>司禄星戊</v>
      </c>
      <c r="B241" s="271" t="s">
        <v>972</v>
      </c>
      <c r="C241" s="271" t="s">
        <v>432</v>
      </c>
      <c r="D241" s="155" t="str">
        <f t="shared" si="47"/>
        <v>癸</v>
      </c>
      <c r="E241" s="49">
        <v>1999</v>
      </c>
      <c r="F241" s="279" t="s">
        <v>643</v>
      </c>
      <c r="G241" s="155"/>
      <c r="H241" s="155"/>
      <c r="I241" s="270"/>
      <c r="J241" s="271" t="s">
        <v>973</v>
      </c>
      <c r="K241" s="280" t="s">
        <v>660</v>
      </c>
      <c r="L241" s="270"/>
      <c r="M241" s="49" t="s">
        <v>974</v>
      </c>
      <c r="N241" s="216" t="s">
        <v>701</v>
      </c>
      <c r="O241" s="155"/>
      <c r="P241" s="155"/>
      <c r="Q241" s="155"/>
      <c r="R241" s="155"/>
      <c r="S241" s="155"/>
      <c r="T241" s="155"/>
      <c r="U241" s="158"/>
      <c r="V241" s="155"/>
      <c r="W241" s="155"/>
      <c r="X241" s="263"/>
      <c r="Y241" s="155"/>
      <c r="Z241" s="155"/>
      <c r="AA241" s="263"/>
      <c r="AB241" s="263"/>
      <c r="AC241" s="155"/>
      <c r="AD241" s="155"/>
      <c r="AE241" s="155"/>
      <c r="AF241" s="155"/>
      <c r="AG241" s="271"/>
      <c r="AH241" s="271" t="s">
        <v>853</v>
      </c>
      <c r="AI241" s="270">
        <v>10</v>
      </c>
      <c r="AJ241" s="155"/>
      <c r="AK241" s="271" t="s">
        <v>649</v>
      </c>
      <c r="AL241" s="271" t="s">
        <v>460</v>
      </c>
      <c r="AM241" s="155"/>
      <c r="AN241" s="109">
        <v>2007</v>
      </c>
      <c r="AO241" s="216" t="s">
        <v>971</v>
      </c>
      <c r="AP241" s="216" t="s">
        <v>872</v>
      </c>
      <c r="AQ241" s="216">
        <v>24</v>
      </c>
      <c r="AR241" s="155"/>
      <c r="AS241" s="155"/>
      <c r="AT241" s="155"/>
      <c r="AU241" s="155"/>
      <c r="AV241" s="155"/>
      <c r="AW241" s="155"/>
      <c r="AX241" s="155"/>
      <c r="AY241" s="155"/>
      <c r="AZ241" s="49"/>
      <c r="BA241" s="49"/>
      <c r="BB241" s="49"/>
      <c r="BC241" s="49"/>
      <c r="BD241" s="49"/>
      <c r="BE241" s="49"/>
      <c r="BF241" s="49"/>
      <c r="BG241" s="49"/>
      <c r="BH241" s="49"/>
      <c r="BI241" s="155"/>
      <c r="BJ241" s="155"/>
      <c r="BK241" s="155"/>
      <c r="BL241" s="49"/>
      <c r="BM241" s="49"/>
      <c r="BN241" s="49"/>
      <c r="BO241" s="49"/>
      <c r="BP241" s="49"/>
      <c r="BQ241" s="49"/>
      <c r="BR241" s="49"/>
      <c r="BS241" s="49"/>
      <c r="BT241" s="271" t="s">
        <v>674</v>
      </c>
      <c r="BU241" s="155" t="s">
        <v>612</v>
      </c>
      <c r="BV241" s="155">
        <v>0</v>
      </c>
      <c r="BW241" s="49"/>
      <c r="BX241" s="49"/>
      <c r="BY241" s="49"/>
      <c r="BZ241" s="49"/>
      <c r="CA241" s="49"/>
      <c r="CB241" s="49"/>
      <c r="CC241" s="49"/>
      <c r="CD241" s="49"/>
      <c r="CE241" s="49"/>
      <c r="CF241" s="49"/>
      <c r="CG241" s="49"/>
      <c r="CH241" s="49"/>
      <c r="CI241" s="49"/>
      <c r="CJ241" s="49"/>
      <c r="CK241" s="49"/>
      <c r="CL241" s="49"/>
      <c r="CM241" s="49"/>
      <c r="CN241" s="49"/>
      <c r="CO241" s="49"/>
      <c r="CP241" s="49"/>
      <c r="CQ241" s="49"/>
      <c r="CR241" s="49"/>
      <c r="CS241" s="49"/>
      <c r="CT241" s="155"/>
      <c r="CU241" s="155"/>
      <c r="CV241" s="155"/>
      <c r="CW241" s="155"/>
      <c r="CX241" s="155"/>
      <c r="CY241" s="155"/>
      <c r="CZ241" s="155"/>
      <c r="DA241" s="155"/>
      <c r="DB241" s="155"/>
      <c r="DC241" s="155"/>
      <c r="DD241" s="155"/>
      <c r="DE241" s="155"/>
      <c r="DF241" s="155"/>
      <c r="DG241" s="155"/>
      <c r="DH241" s="155"/>
      <c r="DI241" s="155"/>
      <c r="DJ241" s="155"/>
      <c r="DK241" s="155"/>
      <c r="DL241" s="155"/>
      <c r="DM241" s="155"/>
      <c r="DN241" s="155"/>
      <c r="DO241" s="155"/>
      <c r="DP241" s="155"/>
      <c r="DQ241" s="155"/>
      <c r="DR241" s="155"/>
      <c r="DS241" s="155"/>
      <c r="DT241" s="155"/>
      <c r="DU241" s="155"/>
      <c r="DV241" s="155"/>
      <c r="DW241" s="155"/>
      <c r="DX241" s="155"/>
    </row>
    <row r="242" spans="1:128" ht="18" customHeight="1">
      <c r="A242" s="271" t="str">
        <f t="shared" si="46"/>
        <v>司禄星己</v>
      </c>
      <c r="B242" s="271" t="s">
        <v>975</v>
      </c>
      <c r="C242" s="271" t="s">
        <v>432</v>
      </c>
      <c r="D242" s="155" t="str">
        <f t="shared" si="47"/>
        <v>壬</v>
      </c>
      <c r="E242" s="49">
        <v>2000</v>
      </c>
      <c r="F242" s="279" t="s">
        <v>930</v>
      </c>
      <c r="G242" s="155"/>
      <c r="H242" s="155"/>
      <c r="I242" s="270"/>
      <c r="J242" s="271" t="s">
        <v>976</v>
      </c>
      <c r="K242" s="280" t="s">
        <v>660</v>
      </c>
      <c r="L242" s="270"/>
      <c r="M242" s="49" t="s">
        <v>977</v>
      </c>
      <c r="N242" s="216" t="s">
        <v>978</v>
      </c>
      <c r="O242" s="155"/>
      <c r="P242" s="155"/>
      <c r="Q242" s="155"/>
      <c r="R242" s="155"/>
      <c r="S242" s="155"/>
      <c r="T242" s="155"/>
      <c r="U242" s="158"/>
      <c r="V242" s="155"/>
      <c r="W242" s="155"/>
      <c r="X242" s="263"/>
      <c r="Y242" s="155"/>
      <c r="Z242" s="155"/>
      <c r="AA242" s="263"/>
      <c r="AB242" s="263"/>
      <c r="AC242" s="155"/>
      <c r="AD242" s="155"/>
      <c r="AE242" s="155"/>
      <c r="AF242" s="155"/>
      <c r="AG242" s="271"/>
      <c r="AH242" s="271" t="s">
        <v>847</v>
      </c>
      <c r="AI242" s="270">
        <v>11</v>
      </c>
      <c r="AJ242" s="155"/>
      <c r="AK242" s="271" t="s">
        <v>653</v>
      </c>
      <c r="AL242" s="271" t="s">
        <v>460</v>
      </c>
      <c r="AM242" s="155"/>
      <c r="AN242" s="109">
        <v>2008</v>
      </c>
      <c r="AO242" s="216" t="s">
        <v>979</v>
      </c>
      <c r="AP242" s="216" t="s">
        <v>921</v>
      </c>
      <c r="AQ242" s="216">
        <v>25</v>
      </c>
      <c r="AR242" s="155"/>
      <c r="AS242" s="155"/>
      <c r="AT242" s="155"/>
      <c r="AU242" s="155"/>
      <c r="AV242" s="155"/>
      <c r="AW242" s="155"/>
      <c r="AX242" s="155"/>
      <c r="AY242" s="155"/>
      <c r="AZ242" s="49"/>
      <c r="BA242" s="49"/>
      <c r="BB242" s="49"/>
      <c r="BC242" s="49"/>
      <c r="BD242" s="49"/>
      <c r="BE242" s="49"/>
      <c r="BF242" s="49"/>
      <c r="BG242" s="49"/>
      <c r="BH242" s="49"/>
      <c r="BI242" s="155"/>
      <c r="BJ242" s="155"/>
      <c r="BK242" s="155"/>
      <c r="BL242" s="49"/>
      <c r="BM242" s="49"/>
      <c r="BN242" s="49"/>
      <c r="BO242" s="49"/>
      <c r="BP242" s="49"/>
      <c r="BQ242" s="49"/>
      <c r="BR242" s="49"/>
      <c r="BS242" s="49"/>
      <c r="BT242" s="271" t="s">
        <v>679</v>
      </c>
      <c r="BU242" s="155" t="s">
        <v>612</v>
      </c>
      <c r="BV242" s="155">
        <v>0</v>
      </c>
      <c r="BW242" s="49"/>
      <c r="BX242" s="49"/>
      <c r="BY242" s="49"/>
      <c r="BZ242" s="49"/>
      <c r="CA242" s="49"/>
      <c r="CB242" s="49"/>
      <c r="CC242" s="49"/>
      <c r="CD242" s="49"/>
      <c r="CE242" s="49"/>
      <c r="CF242" s="49"/>
      <c r="CG242" s="49"/>
      <c r="CH242" s="49"/>
      <c r="CI242" s="49"/>
      <c r="CJ242" s="49"/>
      <c r="CK242" s="49"/>
      <c r="CL242" s="49"/>
      <c r="CM242" s="49"/>
      <c r="CN242" s="49"/>
      <c r="CO242" s="49"/>
      <c r="CP242" s="49"/>
      <c r="CQ242" s="49"/>
      <c r="CR242" s="49"/>
      <c r="CS242" s="49"/>
      <c r="CT242" s="155"/>
      <c r="CU242" s="155"/>
      <c r="CV242" s="155"/>
      <c r="CW242" s="155"/>
      <c r="CX242" s="155"/>
      <c r="CY242" s="155"/>
      <c r="CZ242" s="155"/>
      <c r="DA242" s="155"/>
      <c r="DB242" s="155"/>
      <c r="DC242" s="155"/>
      <c r="DD242" s="155"/>
      <c r="DE242" s="155"/>
      <c r="DF242" s="155"/>
      <c r="DG242" s="155"/>
      <c r="DH242" s="155"/>
      <c r="DI242" s="155"/>
      <c r="DJ242" s="155"/>
      <c r="DK242" s="155"/>
      <c r="DL242" s="155"/>
      <c r="DM242" s="155"/>
      <c r="DN242" s="155"/>
      <c r="DO242" s="155"/>
      <c r="DP242" s="155"/>
      <c r="DQ242" s="155"/>
      <c r="DR242" s="155"/>
      <c r="DS242" s="155"/>
      <c r="DT242" s="155"/>
      <c r="DU242" s="155"/>
      <c r="DV242" s="155"/>
      <c r="DW242" s="155"/>
      <c r="DX242" s="155"/>
    </row>
    <row r="243" spans="1:128" ht="18" customHeight="1">
      <c r="A243" s="271" t="str">
        <f t="shared" si="46"/>
        <v>司禄星甲</v>
      </c>
      <c r="B243" s="271" t="s">
        <v>980</v>
      </c>
      <c r="C243" s="271" t="s">
        <v>432</v>
      </c>
      <c r="D243" s="155" t="str">
        <f t="shared" si="47"/>
        <v>己</v>
      </c>
      <c r="E243" s="49">
        <v>2001</v>
      </c>
      <c r="F243" s="279" t="s">
        <v>981</v>
      </c>
      <c r="G243" s="155"/>
      <c r="H243" s="155"/>
      <c r="I243" s="270"/>
      <c r="J243" s="271" t="s">
        <v>982</v>
      </c>
      <c r="K243" s="280" t="s">
        <v>612</v>
      </c>
      <c r="L243" s="270"/>
      <c r="M243" s="49" t="s">
        <v>983</v>
      </c>
      <c r="N243" s="216" t="s">
        <v>711</v>
      </c>
      <c r="O243" s="155"/>
      <c r="P243" s="155"/>
      <c r="Q243" s="155"/>
      <c r="R243" s="155"/>
      <c r="S243" s="155"/>
      <c r="T243" s="155"/>
      <c r="U243" s="158"/>
      <c r="V243" s="155"/>
      <c r="W243" s="155"/>
      <c r="X243" s="263"/>
      <c r="Y243" s="155"/>
      <c r="Z243" s="155"/>
      <c r="AA243" s="263"/>
      <c r="AB243" s="263"/>
      <c r="AC243" s="155"/>
      <c r="AD243" s="155"/>
      <c r="AE243" s="155"/>
      <c r="AF243" s="155"/>
      <c r="AG243" s="271"/>
      <c r="AH243" s="271" t="s">
        <v>843</v>
      </c>
      <c r="AI243" s="270">
        <v>12</v>
      </c>
      <c r="AJ243" s="155"/>
      <c r="AK243" s="271" t="s">
        <v>658</v>
      </c>
      <c r="AL243" s="271" t="s">
        <v>460</v>
      </c>
      <c r="AM243" s="155"/>
      <c r="AN243" s="109">
        <v>2009</v>
      </c>
      <c r="AO243" s="216" t="s">
        <v>979</v>
      </c>
      <c r="AP243" s="216" t="s">
        <v>970</v>
      </c>
      <c r="AQ243" s="216">
        <v>26</v>
      </c>
      <c r="AR243" s="155"/>
      <c r="AS243" s="155"/>
      <c r="AT243" s="155"/>
      <c r="AU243" s="155"/>
      <c r="AV243" s="155"/>
      <c r="AW243" s="155"/>
      <c r="AX243" s="155"/>
      <c r="AY243" s="155"/>
      <c r="AZ243" s="49"/>
      <c r="BA243" s="49"/>
      <c r="BB243" s="49"/>
      <c r="BC243" s="49"/>
      <c r="BD243" s="49"/>
      <c r="BE243" s="49"/>
      <c r="BF243" s="49"/>
      <c r="BG243" s="49"/>
      <c r="BH243" s="49"/>
      <c r="BI243" s="155"/>
      <c r="BJ243" s="155"/>
      <c r="BK243" s="155"/>
      <c r="BL243" s="49"/>
      <c r="BM243" s="49"/>
      <c r="BN243" s="49"/>
      <c r="BO243" s="49"/>
      <c r="BP243" s="49"/>
      <c r="BQ243" s="49"/>
      <c r="BR243" s="49"/>
      <c r="BS243" s="49"/>
      <c r="BT243" s="271" t="s">
        <v>684</v>
      </c>
      <c r="BU243" s="155" t="s">
        <v>622</v>
      </c>
      <c r="BV243" s="155">
        <v>0</v>
      </c>
      <c r="BW243" s="49"/>
      <c r="BX243" s="49"/>
      <c r="BY243" s="49"/>
      <c r="BZ243" s="49"/>
      <c r="CA243" s="49"/>
      <c r="CB243" s="49"/>
      <c r="CC243" s="49"/>
      <c r="CD243" s="49"/>
      <c r="CE243" s="49"/>
      <c r="CF243" s="49"/>
      <c r="CG243" s="49"/>
      <c r="CH243" s="49"/>
      <c r="CI243" s="49"/>
      <c r="CJ243" s="49"/>
      <c r="CK243" s="49"/>
      <c r="CL243" s="49"/>
      <c r="CM243" s="49"/>
      <c r="CN243" s="49"/>
      <c r="CO243" s="49"/>
      <c r="CP243" s="49"/>
      <c r="CQ243" s="49"/>
      <c r="CR243" s="49"/>
      <c r="CS243" s="49"/>
      <c r="CT243" s="155"/>
      <c r="CU243" s="155"/>
      <c r="CV243" s="155"/>
      <c r="CW243" s="155"/>
      <c r="CX243" s="155"/>
      <c r="CY243" s="155"/>
      <c r="CZ243" s="155"/>
      <c r="DA243" s="155"/>
      <c r="DB243" s="155"/>
      <c r="DC243" s="155"/>
      <c r="DD243" s="155"/>
      <c r="DE243" s="155"/>
      <c r="DF243" s="155"/>
      <c r="DG243" s="155"/>
      <c r="DH243" s="155"/>
      <c r="DI243" s="155"/>
      <c r="DJ243" s="155"/>
      <c r="DK243" s="155"/>
      <c r="DL243" s="155"/>
      <c r="DM243" s="155"/>
      <c r="DN243" s="155"/>
      <c r="DO243" s="155"/>
      <c r="DP243" s="155"/>
      <c r="DQ243" s="155"/>
      <c r="DR243" s="155"/>
      <c r="DS243" s="155"/>
      <c r="DT243" s="155"/>
      <c r="DU243" s="155"/>
      <c r="DV243" s="155"/>
      <c r="DW243" s="155"/>
      <c r="DX243" s="155"/>
    </row>
    <row r="244" spans="1:128" ht="18" customHeight="1">
      <c r="A244" s="271" t="str">
        <f t="shared" si="46"/>
        <v>司禄星乙</v>
      </c>
      <c r="B244" s="271" t="s">
        <v>984</v>
      </c>
      <c r="C244" s="271" t="s">
        <v>432</v>
      </c>
      <c r="D244" s="155" t="str">
        <f t="shared" si="47"/>
        <v>戊</v>
      </c>
      <c r="E244" s="49">
        <v>2002</v>
      </c>
      <c r="F244" s="279" t="s">
        <v>857</v>
      </c>
      <c r="G244" s="155"/>
      <c r="H244" s="155"/>
      <c r="I244" s="270"/>
      <c r="J244" s="271" t="s">
        <v>985</v>
      </c>
      <c r="K244" s="280" t="s">
        <v>628</v>
      </c>
      <c r="L244" s="270"/>
      <c r="M244" s="49" t="s">
        <v>986</v>
      </c>
      <c r="N244" s="216" t="s">
        <v>987</v>
      </c>
      <c r="O244" s="155"/>
      <c r="P244" s="155"/>
      <c r="Q244" s="155"/>
      <c r="R244" s="155"/>
      <c r="S244" s="155"/>
      <c r="T244" s="155"/>
      <c r="U244" s="158"/>
      <c r="V244" s="155"/>
      <c r="W244" s="155"/>
      <c r="X244" s="263"/>
      <c r="Y244" s="155"/>
      <c r="Z244" s="155"/>
      <c r="AA244" s="263"/>
      <c r="AB244" s="263"/>
      <c r="AC244" s="155"/>
      <c r="AD244" s="155"/>
      <c r="AE244" s="155"/>
      <c r="AF244" s="155"/>
      <c r="AG244" s="271"/>
      <c r="AH244" s="271" t="s">
        <v>838</v>
      </c>
      <c r="AI244" s="270">
        <v>8</v>
      </c>
      <c r="AJ244" s="155"/>
      <c r="AK244" s="271" t="s">
        <v>664</v>
      </c>
      <c r="AL244" s="271" t="s">
        <v>460</v>
      </c>
      <c r="AM244" s="155"/>
      <c r="AN244" s="109">
        <v>2010</v>
      </c>
      <c r="AO244" s="281" t="s">
        <v>988</v>
      </c>
      <c r="AP244" s="275" t="s">
        <v>989</v>
      </c>
      <c r="AQ244" s="216">
        <v>27</v>
      </c>
      <c r="AR244" s="155"/>
      <c r="AS244" s="155"/>
      <c r="AT244" s="155"/>
      <c r="AU244" s="155"/>
      <c r="AV244" s="155"/>
      <c r="AW244" s="155"/>
      <c r="AX244" s="155"/>
      <c r="AY244" s="155"/>
      <c r="AZ244" s="49"/>
      <c r="BA244" s="49"/>
      <c r="BB244" s="49"/>
      <c r="BC244" s="49"/>
      <c r="BD244" s="49"/>
      <c r="BE244" s="49"/>
      <c r="BF244" s="49"/>
      <c r="BG244" s="49"/>
      <c r="BH244" s="49"/>
      <c r="BI244" s="155"/>
      <c r="BJ244" s="155"/>
      <c r="BK244" s="155"/>
      <c r="BL244" s="49"/>
      <c r="BM244" s="49"/>
      <c r="BN244" s="49"/>
      <c r="BO244" s="49"/>
      <c r="BP244" s="49"/>
      <c r="BQ244" s="49"/>
      <c r="BR244" s="49"/>
      <c r="BS244" s="49"/>
      <c r="BT244" s="271" t="s">
        <v>689</v>
      </c>
      <c r="BU244" s="155" t="s">
        <v>628</v>
      </c>
      <c r="BV244" s="155">
        <v>0</v>
      </c>
      <c r="BW244" s="49"/>
      <c r="BX244" s="49"/>
      <c r="BY244" s="49"/>
      <c r="BZ244" s="49"/>
      <c r="CA244" s="49"/>
      <c r="CB244" s="49"/>
      <c r="CC244" s="49"/>
      <c r="CD244" s="49"/>
      <c r="CE244" s="49"/>
      <c r="CF244" s="49"/>
      <c r="CG244" s="49"/>
      <c r="CH244" s="49"/>
      <c r="CI244" s="49"/>
      <c r="CJ244" s="49"/>
      <c r="CK244" s="49"/>
      <c r="CL244" s="49"/>
      <c r="CM244" s="49"/>
      <c r="CN244" s="49"/>
      <c r="CO244" s="49"/>
      <c r="CP244" s="49"/>
      <c r="CQ244" s="49"/>
      <c r="CR244" s="49"/>
      <c r="CS244" s="49"/>
      <c r="CT244" s="155"/>
      <c r="CU244" s="155"/>
      <c r="CV244" s="155"/>
      <c r="CW244" s="155"/>
      <c r="CX244" s="155"/>
      <c r="CY244" s="155"/>
      <c r="CZ244" s="155"/>
      <c r="DA244" s="155"/>
      <c r="DB244" s="155"/>
      <c r="DC244" s="155"/>
      <c r="DD244" s="155"/>
      <c r="DE244" s="155"/>
      <c r="DF244" s="155"/>
      <c r="DG244" s="155"/>
      <c r="DH244" s="155"/>
      <c r="DI244" s="155"/>
      <c r="DJ244" s="155"/>
      <c r="DK244" s="155"/>
      <c r="DL244" s="155"/>
      <c r="DM244" s="155"/>
      <c r="DN244" s="155"/>
      <c r="DO244" s="155"/>
      <c r="DP244" s="155"/>
      <c r="DQ244" s="155"/>
      <c r="DR244" s="155"/>
      <c r="DS244" s="155"/>
      <c r="DT244" s="155"/>
      <c r="DU244" s="155"/>
      <c r="DV244" s="155"/>
      <c r="DW244" s="155"/>
      <c r="DX244" s="155"/>
    </row>
    <row r="245" spans="1:128" ht="18" customHeight="1">
      <c r="A245" s="271" t="str">
        <f t="shared" si="46"/>
        <v>牽牛星丙</v>
      </c>
      <c r="B245" s="271" t="s">
        <v>990</v>
      </c>
      <c r="C245" s="271" t="s">
        <v>492</v>
      </c>
      <c r="D245" s="155" t="str">
        <f t="shared" si="47"/>
        <v>癸</v>
      </c>
      <c r="E245" s="49">
        <v>2003</v>
      </c>
      <c r="F245" s="279" t="s">
        <v>643</v>
      </c>
      <c r="G245" s="155"/>
      <c r="H245" s="155"/>
      <c r="I245" s="270"/>
      <c r="J245" s="271" t="s">
        <v>991</v>
      </c>
      <c r="K245" s="280" t="s">
        <v>628</v>
      </c>
      <c r="L245" s="270"/>
      <c r="M245" s="49" t="s">
        <v>721</v>
      </c>
      <c r="N245" s="216" t="s">
        <v>722</v>
      </c>
      <c r="O245" s="155"/>
      <c r="P245" s="155"/>
      <c r="Q245" s="155"/>
      <c r="R245" s="155"/>
      <c r="S245" s="155"/>
      <c r="T245" s="155"/>
      <c r="U245" s="158"/>
      <c r="V245" s="155"/>
      <c r="W245" s="155"/>
      <c r="X245" s="263"/>
      <c r="Y245" s="155"/>
      <c r="Z245" s="155"/>
      <c r="AA245" s="263"/>
      <c r="AB245" s="263"/>
      <c r="AC245" s="155"/>
      <c r="AD245" s="155"/>
      <c r="AE245" s="155"/>
      <c r="AF245" s="155"/>
      <c r="AG245" s="271"/>
      <c r="AH245" s="271" t="s">
        <v>833</v>
      </c>
      <c r="AI245" s="270">
        <v>4</v>
      </c>
      <c r="AJ245" s="155"/>
      <c r="AK245" s="271" t="s">
        <v>668</v>
      </c>
      <c r="AL245" s="271" t="s">
        <v>460</v>
      </c>
      <c r="AM245" s="155"/>
      <c r="AN245" s="282">
        <v>2011</v>
      </c>
      <c r="AO245" s="283" t="s">
        <v>988</v>
      </c>
      <c r="AP245" s="284" t="s">
        <v>992</v>
      </c>
      <c r="AQ245" s="285">
        <v>28</v>
      </c>
      <c r="AR245" s="155"/>
      <c r="AS245" s="155"/>
      <c r="AT245" s="155"/>
      <c r="AU245" s="155"/>
      <c r="AV245" s="155"/>
      <c r="AW245" s="155"/>
      <c r="AX245" s="155"/>
      <c r="AY245" s="155"/>
      <c r="AZ245" s="49"/>
      <c r="BA245" s="49"/>
      <c r="BB245" s="49"/>
      <c r="BC245" s="49"/>
      <c r="BD245" s="49"/>
      <c r="BE245" s="49"/>
      <c r="BF245" s="49"/>
      <c r="BG245" s="49"/>
      <c r="BH245" s="49"/>
      <c r="BI245" s="155"/>
      <c r="BJ245" s="155"/>
      <c r="BK245" s="155"/>
      <c r="BL245" s="49"/>
      <c r="BM245" s="49"/>
      <c r="BN245" s="49"/>
      <c r="BO245" s="49"/>
      <c r="BP245" s="49"/>
      <c r="BQ245" s="49"/>
      <c r="BR245" s="49"/>
      <c r="BS245" s="49"/>
      <c r="BT245" s="271" t="s">
        <v>694</v>
      </c>
      <c r="BU245" s="155" t="s">
        <v>628</v>
      </c>
      <c r="BV245" s="155">
        <v>0</v>
      </c>
      <c r="BW245" s="49"/>
      <c r="BX245" s="49"/>
      <c r="BY245" s="49"/>
      <c r="BZ245" s="49"/>
      <c r="CA245" s="49"/>
      <c r="CB245" s="49"/>
      <c r="CC245" s="49"/>
      <c r="CD245" s="49"/>
      <c r="CE245" s="49"/>
      <c r="CF245" s="49"/>
      <c r="CG245" s="49"/>
      <c r="CH245" s="49"/>
      <c r="CI245" s="49"/>
      <c r="CJ245" s="49"/>
      <c r="CK245" s="49"/>
      <c r="CL245" s="49"/>
      <c r="CM245" s="49"/>
      <c r="CN245" s="49"/>
      <c r="CO245" s="49"/>
      <c r="CP245" s="49"/>
      <c r="CQ245" s="49"/>
      <c r="CR245" s="49"/>
      <c r="CS245" s="49"/>
      <c r="CT245" s="155"/>
      <c r="CU245" s="155"/>
      <c r="CV245" s="155"/>
      <c r="CW245" s="155"/>
      <c r="CX245" s="155"/>
      <c r="CY245" s="155"/>
      <c r="CZ245" s="155"/>
      <c r="DA245" s="155"/>
      <c r="DB245" s="155"/>
      <c r="DC245" s="155"/>
      <c r="DD245" s="155"/>
      <c r="DE245" s="155"/>
      <c r="DF245" s="155"/>
      <c r="DG245" s="155"/>
      <c r="DH245" s="155"/>
      <c r="DI245" s="155"/>
      <c r="DJ245" s="155"/>
      <c r="DK245" s="155"/>
      <c r="DL245" s="155"/>
      <c r="DM245" s="155"/>
      <c r="DN245" s="155"/>
      <c r="DO245" s="155"/>
      <c r="DP245" s="155"/>
      <c r="DQ245" s="155"/>
      <c r="DR245" s="155"/>
      <c r="DS245" s="155"/>
      <c r="DT245" s="155"/>
      <c r="DU245" s="155"/>
      <c r="DV245" s="155"/>
      <c r="DW245" s="155"/>
      <c r="DX245" s="155"/>
    </row>
    <row r="246" spans="1:128" ht="18" customHeight="1">
      <c r="A246" s="271" t="str">
        <f t="shared" si="46"/>
        <v>牽牛星丁</v>
      </c>
      <c r="B246" s="271" t="s">
        <v>993</v>
      </c>
      <c r="C246" s="271" t="s">
        <v>492</v>
      </c>
      <c r="D246" s="155" t="str">
        <f t="shared" si="47"/>
        <v>壬</v>
      </c>
      <c r="E246" s="49">
        <v>2004</v>
      </c>
      <c r="F246" s="279" t="s">
        <v>930</v>
      </c>
      <c r="G246" s="155"/>
      <c r="H246" s="155"/>
      <c r="I246" s="270"/>
      <c r="J246" s="271" t="s">
        <v>994</v>
      </c>
      <c r="K246" s="280" t="s">
        <v>612</v>
      </c>
      <c r="L246" s="270"/>
      <c r="M246" s="49" t="s">
        <v>995</v>
      </c>
      <c r="N246" s="216" t="s">
        <v>726</v>
      </c>
      <c r="O246" s="155"/>
      <c r="P246" s="155"/>
      <c r="Q246" s="155"/>
      <c r="R246" s="155"/>
      <c r="S246" s="155"/>
      <c r="T246" s="155"/>
      <c r="U246" s="158"/>
      <c r="V246" s="155"/>
      <c r="W246" s="155"/>
      <c r="X246" s="263"/>
      <c r="Y246" s="155"/>
      <c r="Z246" s="155"/>
      <c r="AA246" s="263"/>
      <c r="AB246" s="263"/>
      <c r="AC246" s="155"/>
      <c r="AD246" s="155"/>
      <c r="AE246" s="155"/>
      <c r="AF246" s="155"/>
      <c r="AG246" s="271"/>
      <c r="AH246" s="271" t="s">
        <v>828</v>
      </c>
      <c r="AI246" s="270">
        <v>2</v>
      </c>
      <c r="AJ246" s="155"/>
      <c r="AK246" s="271" t="s">
        <v>673</v>
      </c>
      <c r="AL246" s="271" t="s">
        <v>460</v>
      </c>
      <c r="AM246" s="155"/>
      <c r="AN246" s="282">
        <v>2012</v>
      </c>
      <c r="AO246" s="216" t="s">
        <v>996</v>
      </c>
      <c r="AP246" s="284" t="s">
        <v>997</v>
      </c>
      <c r="AQ246" s="285">
        <v>29</v>
      </c>
      <c r="AR246" s="155"/>
      <c r="AS246" s="155"/>
      <c r="AT246" s="155"/>
      <c r="AU246" s="155"/>
      <c r="AV246" s="155"/>
      <c r="AW246" s="155"/>
      <c r="AX246" s="155"/>
      <c r="AY246" s="155"/>
      <c r="AZ246" s="49"/>
      <c r="BA246" s="49"/>
      <c r="BB246" s="49"/>
      <c r="BC246" s="49"/>
      <c r="BD246" s="49"/>
      <c r="BE246" s="49"/>
      <c r="BF246" s="49"/>
      <c r="BG246" s="49"/>
      <c r="BH246" s="49"/>
      <c r="BI246" s="155"/>
      <c r="BJ246" s="155"/>
      <c r="BK246" s="155"/>
      <c r="BL246" s="49"/>
      <c r="BM246" s="49"/>
      <c r="BN246" s="49"/>
      <c r="BO246" s="49"/>
      <c r="BP246" s="49"/>
      <c r="BQ246" s="49"/>
      <c r="BR246" s="49"/>
      <c r="BS246" s="49"/>
      <c r="BT246" s="271" t="s">
        <v>699</v>
      </c>
      <c r="BU246" s="155" t="s">
        <v>622</v>
      </c>
      <c r="BV246" s="155">
        <v>0</v>
      </c>
      <c r="BW246" s="49"/>
      <c r="BX246" s="49"/>
      <c r="BY246" s="49"/>
      <c r="BZ246" s="49"/>
      <c r="CA246" s="49"/>
      <c r="CB246" s="49"/>
      <c r="CC246" s="49"/>
      <c r="CD246" s="49"/>
      <c r="CE246" s="49"/>
      <c r="CF246" s="49"/>
      <c r="CG246" s="49"/>
      <c r="CH246" s="49"/>
      <c r="CI246" s="49"/>
      <c r="CJ246" s="49"/>
      <c r="CK246" s="49"/>
      <c r="CL246" s="49"/>
      <c r="CM246" s="49"/>
      <c r="CN246" s="49"/>
      <c r="CO246" s="49"/>
      <c r="CP246" s="49"/>
      <c r="CQ246" s="49"/>
      <c r="CR246" s="49"/>
      <c r="CS246" s="49"/>
      <c r="CT246" s="155"/>
      <c r="CU246" s="155"/>
      <c r="CV246" s="155"/>
      <c r="CW246" s="155"/>
      <c r="CX246" s="155"/>
      <c r="CY246" s="155"/>
      <c r="CZ246" s="155"/>
      <c r="DA246" s="155"/>
      <c r="DB246" s="155"/>
      <c r="DC246" s="155"/>
      <c r="DD246" s="155"/>
      <c r="DE246" s="155"/>
      <c r="DF246" s="155"/>
      <c r="DG246" s="155"/>
      <c r="DH246" s="155"/>
      <c r="DI246" s="155"/>
      <c r="DJ246" s="155"/>
      <c r="DK246" s="155"/>
      <c r="DL246" s="155"/>
      <c r="DM246" s="155"/>
      <c r="DN246" s="155"/>
      <c r="DO246" s="155"/>
      <c r="DP246" s="155"/>
      <c r="DQ246" s="155"/>
      <c r="DR246" s="155"/>
      <c r="DS246" s="155"/>
      <c r="DT246" s="155"/>
      <c r="DU246" s="155"/>
      <c r="DV246" s="155"/>
      <c r="DW246" s="155"/>
      <c r="DX246" s="155"/>
    </row>
    <row r="247" spans="1:128" ht="18" customHeight="1">
      <c r="A247" s="271" t="str">
        <f t="shared" si="46"/>
        <v>牽牛星庚</v>
      </c>
      <c r="B247" s="271" t="s">
        <v>998</v>
      </c>
      <c r="C247" s="271" t="s">
        <v>492</v>
      </c>
      <c r="D247" s="155" t="str">
        <f t="shared" si="47"/>
        <v>丁</v>
      </c>
      <c r="E247" s="49">
        <v>2005</v>
      </c>
      <c r="F247" s="279" t="s">
        <v>981</v>
      </c>
      <c r="G247" s="155"/>
      <c r="H247" s="155"/>
      <c r="I247" s="270"/>
      <c r="J247" s="271" t="s">
        <v>999</v>
      </c>
      <c r="K247" s="280" t="s">
        <v>645</v>
      </c>
      <c r="L247" s="270"/>
      <c r="M247" s="49" t="s">
        <v>1000</v>
      </c>
      <c r="N247" s="216" t="s">
        <v>731</v>
      </c>
      <c r="O247" s="155"/>
      <c r="P247" s="155"/>
      <c r="Q247" s="155"/>
      <c r="R247" s="155"/>
      <c r="S247" s="155"/>
      <c r="T247" s="155"/>
      <c r="U247" s="158"/>
      <c r="V247" s="155"/>
      <c r="W247" s="155"/>
      <c r="X247" s="263"/>
      <c r="Y247" s="155"/>
      <c r="Z247" s="155"/>
      <c r="AA247" s="263"/>
      <c r="AB247" s="263"/>
      <c r="AC247" s="155"/>
      <c r="AD247" s="155"/>
      <c r="AE247" s="155"/>
      <c r="AF247" s="155"/>
      <c r="AG247" s="271"/>
      <c r="AH247" s="271" t="s">
        <v>878</v>
      </c>
      <c r="AI247" s="270">
        <v>5</v>
      </c>
      <c r="AJ247" s="155"/>
      <c r="AK247" s="271" t="s">
        <v>678</v>
      </c>
      <c r="AL247" s="271" t="s">
        <v>460</v>
      </c>
      <c r="AM247" s="155"/>
      <c r="AN247" s="282">
        <v>2013</v>
      </c>
      <c r="AO247" s="216" t="s">
        <v>996</v>
      </c>
      <c r="AP247" s="284" t="s">
        <v>1001</v>
      </c>
      <c r="AQ247" s="285">
        <v>30</v>
      </c>
      <c r="AR247" s="155"/>
      <c r="AS247" s="155"/>
      <c r="AT247" s="155"/>
      <c r="AU247" s="155"/>
      <c r="AV247" s="155"/>
      <c r="AW247" s="155"/>
      <c r="AX247" s="155"/>
      <c r="AY247" s="155"/>
      <c r="AZ247" s="49"/>
      <c r="BA247" s="49"/>
      <c r="BB247" s="49"/>
      <c r="BC247" s="49"/>
      <c r="BD247" s="49"/>
      <c r="BE247" s="49"/>
      <c r="BF247" s="49"/>
      <c r="BG247" s="49"/>
      <c r="BH247" s="49"/>
      <c r="BI247" s="155"/>
      <c r="BJ247" s="155"/>
      <c r="BK247" s="155"/>
      <c r="BL247" s="49"/>
      <c r="BM247" s="49"/>
      <c r="BN247" s="49"/>
      <c r="BO247" s="49"/>
      <c r="BP247" s="49"/>
      <c r="BQ247" s="49"/>
      <c r="BR247" s="49"/>
      <c r="BS247" s="49"/>
      <c r="BT247" s="271" t="s">
        <v>704</v>
      </c>
      <c r="BU247" s="155" t="s">
        <v>645</v>
      </c>
      <c r="BV247" s="155">
        <v>1</v>
      </c>
      <c r="BW247" s="49"/>
      <c r="BX247" s="49"/>
      <c r="BY247" s="49"/>
      <c r="BZ247" s="49"/>
      <c r="CA247" s="49"/>
      <c r="CB247" s="49"/>
      <c r="CC247" s="49"/>
      <c r="CD247" s="49"/>
      <c r="CE247" s="49"/>
      <c r="CF247" s="49"/>
      <c r="CG247" s="49"/>
      <c r="CH247" s="49"/>
      <c r="CI247" s="49"/>
      <c r="CJ247" s="49"/>
      <c r="CK247" s="49"/>
      <c r="CL247" s="49"/>
      <c r="CM247" s="49"/>
      <c r="CN247" s="49"/>
      <c r="CO247" s="49"/>
      <c r="CP247" s="49"/>
      <c r="CQ247" s="49"/>
      <c r="CR247" s="49"/>
      <c r="CS247" s="49"/>
      <c r="CT247" s="155"/>
      <c r="CU247" s="155"/>
      <c r="CV247" s="155"/>
      <c r="CW247" s="155"/>
      <c r="CX247" s="155"/>
      <c r="CY247" s="155"/>
      <c r="CZ247" s="155"/>
      <c r="DA247" s="155"/>
      <c r="DB247" s="155"/>
      <c r="DC247" s="155"/>
      <c r="DD247" s="155"/>
      <c r="DE247" s="155"/>
      <c r="DF247" s="155"/>
      <c r="DG247" s="155"/>
      <c r="DH247" s="155"/>
      <c r="DI247" s="155"/>
      <c r="DJ247" s="155"/>
      <c r="DK247" s="155"/>
      <c r="DL247" s="155"/>
      <c r="DM247" s="155"/>
      <c r="DN247" s="155"/>
      <c r="DO247" s="155"/>
      <c r="DP247" s="155"/>
      <c r="DQ247" s="155"/>
      <c r="DR247" s="155"/>
      <c r="DS247" s="155"/>
      <c r="DT247" s="155"/>
      <c r="DU247" s="155"/>
      <c r="DV247" s="155"/>
      <c r="DW247" s="155"/>
      <c r="DX247" s="155"/>
    </row>
    <row r="248" spans="1:128" ht="18" customHeight="1">
      <c r="A248" s="271" t="str">
        <f t="shared" si="46"/>
        <v>牽牛星辛</v>
      </c>
      <c r="B248" s="271" t="s">
        <v>1002</v>
      </c>
      <c r="C248" s="271" t="s">
        <v>492</v>
      </c>
      <c r="D248" s="155" t="str">
        <f t="shared" si="47"/>
        <v>丙</v>
      </c>
      <c r="E248" s="49">
        <v>2006</v>
      </c>
      <c r="F248" s="279" t="s">
        <v>857</v>
      </c>
      <c r="G248" s="155"/>
      <c r="H248" s="155"/>
      <c r="I248" s="270"/>
      <c r="J248" s="271" t="s">
        <v>1003</v>
      </c>
      <c r="K248" s="280" t="s">
        <v>645</v>
      </c>
      <c r="L248" s="270"/>
      <c r="M248" s="49" t="s">
        <v>1004</v>
      </c>
      <c r="N248" s="216" t="s">
        <v>1005</v>
      </c>
      <c r="O248" s="155"/>
      <c r="P248" s="155"/>
      <c r="Q248" s="155"/>
      <c r="R248" s="155"/>
      <c r="S248" s="155"/>
      <c r="T248" s="155"/>
      <c r="U248" s="158"/>
      <c r="V248" s="155"/>
      <c r="W248" s="155"/>
      <c r="X248" s="263"/>
      <c r="Y248" s="155"/>
      <c r="Z248" s="155"/>
      <c r="AA248" s="263"/>
      <c r="AB248" s="263"/>
      <c r="AC248" s="155"/>
      <c r="AD248" s="155"/>
      <c r="AE248" s="155"/>
      <c r="AF248" s="155"/>
      <c r="AG248" s="271"/>
      <c r="AH248" s="271" t="s">
        <v>875</v>
      </c>
      <c r="AI248" s="270">
        <v>1</v>
      </c>
      <c r="AJ248" s="155"/>
      <c r="AK248" s="271" t="s">
        <v>683</v>
      </c>
      <c r="AL248" s="271" t="s">
        <v>460</v>
      </c>
      <c r="AM248" s="155"/>
      <c r="AN248" s="282">
        <v>2014</v>
      </c>
      <c r="AO248" s="216" t="s">
        <v>955</v>
      </c>
      <c r="AP248" s="284" t="s">
        <v>650</v>
      </c>
      <c r="AQ248" s="285">
        <v>31</v>
      </c>
      <c r="AR248" s="155"/>
      <c r="AS248" s="155"/>
      <c r="AT248" s="155"/>
      <c r="AU248" s="155"/>
      <c r="AV248" s="155"/>
      <c r="AW248" s="155"/>
      <c r="AX248" s="155"/>
      <c r="AY248" s="155"/>
      <c r="AZ248" s="49"/>
      <c r="BA248" s="49"/>
      <c r="BB248" s="49"/>
      <c r="BC248" s="49"/>
      <c r="BD248" s="49"/>
      <c r="BE248" s="49"/>
      <c r="BF248" s="49"/>
      <c r="BG248" s="49"/>
      <c r="BH248" s="49"/>
      <c r="BI248" s="155"/>
      <c r="BJ248" s="155"/>
      <c r="BK248" s="155"/>
      <c r="BL248" s="49"/>
      <c r="BM248" s="49"/>
      <c r="BN248" s="49"/>
      <c r="BO248" s="49"/>
      <c r="BP248" s="49"/>
      <c r="BQ248" s="49"/>
      <c r="BR248" s="49"/>
      <c r="BS248" s="49"/>
      <c r="BT248" s="271" t="s">
        <v>709</v>
      </c>
      <c r="BU248" s="155" t="s">
        <v>645</v>
      </c>
      <c r="BV248" s="155">
        <v>0</v>
      </c>
      <c r="BW248" s="49"/>
      <c r="BX248" s="49"/>
      <c r="BY248" s="49"/>
      <c r="BZ248" s="49"/>
      <c r="CA248" s="49"/>
      <c r="CB248" s="49"/>
      <c r="CC248" s="49"/>
      <c r="CD248" s="49"/>
      <c r="CE248" s="49"/>
      <c r="CF248" s="49"/>
      <c r="CG248" s="49"/>
      <c r="CH248" s="49"/>
      <c r="CI248" s="49"/>
      <c r="CJ248" s="49"/>
      <c r="CK248" s="49"/>
      <c r="CL248" s="49"/>
      <c r="CM248" s="49"/>
      <c r="CN248" s="49"/>
      <c r="CO248" s="49"/>
      <c r="CP248" s="49"/>
      <c r="CQ248" s="49"/>
      <c r="CR248" s="49"/>
      <c r="CS248" s="49"/>
      <c r="CT248" s="155"/>
      <c r="CU248" s="155"/>
      <c r="CV248" s="155"/>
      <c r="CW248" s="155"/>
      <c r="CX248" s="155"/>
      <c r="CY248" s="155"/>
      <c r="CZ248" s="155"/>
      <c r="DA248" s="155"/>
      <c r="DB248" s="155"/>
      <c r="DC248" s="155"/>
      <c r="DD248" s="155"/>
      <c r="DE248" s="155"/>
      <c r="DF248" s="155"/>
      <c r="DG248" s="155"/>
      <c r="DH248" s="155"/>
      <c r="DI248" s="155"/>
      <c r="DJ248" s="155"/>
      <c r="DK248" s="155"/>
      <c r="DL248" s="155"/>
      <c r="DM248" s="155"/>
      <c r="DN248" s="155"/>
      <c r="DO248" s="155"/>
      <c r="DP248" s="155"/>
      <c r="DQ248" s="155"/>
      <c r="DR248" s="155"/>
      <c r="DS248" s="155"/>
      <c r="DT248" s="155"/>
      <c r="DU248" s="155"/>
      <c r="DV248" s="155"/>
      <c r="DW248" s="155"/>
      <c r="DX248" s="155"/>
    </row>
    <row r="249" spans="1:128" ht="18" customHeight="1">
      <c r="A249" s="271" t="str">
        <f t="shared" si="46"/>
        <v>牽牛星壬</v>
      </c>
      <c r="B249" s="271" t="s">
        <v>1006</v>
      </c>
      <c r="C249" s="271" t="s">
        <v>492</v>
      </c>
      <c r="D249" s="155" t="str">
        <f t="shared" si="47"/>
        <v>己</v>
      </c>
      <c r="E249" s="49">
        <v>2007</v>
      </c>
      <c r="F249" s="279" t="s">
        <v>643</v>
      </c>
      <c r="G249" s="155"/>
      <c r="H249" s="155"/>
      <c r="I249" s="270"/>
      <c r="J249" s="271" t="s">
        <v>1007</v>
      </c>
      <c r="K249" s="280" t="s">
        <v>612</v>
      </c>
      <c r="L249" s="270"/>
      <c r="M249" s="49" t="s">
        <v>742</v>
      </c>
      <c r="N249" s="216" t="s">
        <v>743</v>
      </c>
      <c r="O249" s="155"/>
      <c r="P249" s="155"/>
      <c r="Q249" s="155"/>
      <c r="R249" s="155"/>
      <c r="S249" s="155"/>
      <c r="T249" s="155"/>
      <c r="U249" s="158"/>
      <c r="V249" s="155"/>
      <c r="W249" s="155"/>
      <c r="X249" s="263"/>
      <c r="Y249" s="155"/>
      <c r="Z249" s="155"/>
      <c r="AA249" s="263"/>
      <c r="AB249" s="263"/>
      <c r="AC249" s="155"/>
      <c r="AD249" s="155"/>
      <c r="AE249" s="155"/>
      <c r="AF249" s="155"/>
      <c r="AG249" s="271"/>
      <c r="AH249" s="271" t="s">
        <v>872</v>
      </c>
      <c r="AI249" s="270">
        <v>3</v>
      </c>
      <c r="AJ249" s="155"/>
      <c r="AK249" s="271" t="s">
        <v>688</v>
      </c>
      <c r="AL249" s="271" t="s">
        <v>460</v>
      </c>
      <c r="AM249" s="155"/>
      <c r="AN249" s="282">
        <v>2015</v>
      </c>
      <c r="AO249" s="216" t="s">
        <v>955</v>
      </c>
      <c r="AP249" s="284" t="s">
        <v>714</v>
      </c>
      <c r="AQ249" s="285">
        <v>32</v>
      </c>
      <c r="AR249" s="155"/>
      <c r="AS249" s="155"/>
      <c r="AT249" s="155"/>
      <c r="AU249" s="155"/>
      <c r="AV249" s="155"/>
      <c r="AW249" s="155"/>
      <c r="AX249" s="155"/>
      <c r="AY249" s="155"/>
      <c r="AZ249" s="49"/>
      <c r="BA249" s="49"/>
      <c r="BB249" s="49"/>
      <c r="BC249" s="49"/>
      <c r="BD249" s="49"/>
      <c r="BE249" s="49"/>
      <c r="BF249" s="49"/>
      <c r="BG249" s="49"/>
      <c r="BH249" s="49"/>
      <c r="BI249" s="155"/>
      <c r="BJ249" s="155"/>
      <c r="BK249" s="155"/>
      <c r="BL249" s="49"/>
      <c r="BM249" s="49"/>
      <c r="BN249" s="49"/>
      <c r="BO249" s="49"/>
      <c r="BP249" s="49"/>
      <c r="BQ249" s="49"/>
      <c r="BR249" s="49"/>
      <c r="BS249" s="49"/>
      <c r="BT249" s="271" t="s">
        <v>714</v>
      </c>
      <c r="BU249" s="155" t="s">
        <v>622</v>
      </c>
      <c r="BV249" s="155">
        <v>0</v>
      </c>
      <c r="BW249" s="49"/>
      <c r="BX249" s="49"/>
      <c r="BY249" s="49"/>
      <c r="BZ249" s="49"/>
      <c r="CA249" s="49"/>
      <c r="CB249" s="49"/>
      <c r="CC249" s="49"/>
      <c r="CD249" s="49"/>
      <c r="CE249" s="49"/>
      <c r="CF249" s="49"/>
      <c r="CG249" s="49"/>
      <c r="CH249" s="49"/>
      <c r="CI249" s="49"/>
      <c r="CJ249" s="49"/>
      <c r="CK249" s="49"/>
      <c r="CL249" s="49"/>
      <c r="CM249" s="49"/>
      <c r="CN249" s="49"/>
      <c r="CO249" s="49"/>
      <c r="CP249" s="49"/>
      <c r="CQ249" s="49"/>
      <c r="CR249" s="49"/>
      <c r="CS249" s="49"/>
      <c r="CT249" s="155"/>
      <c r="CU249" s="155"/>
      <c r="CV249" s="155"/>
      <c r="CW249" s="155"/>
      <c r="CX249" s="155"/>
      <c r="CY249" s="155"/>
      <c r="CZ249" s="155"/>
      <c r="DA249" s="155"/>
      <c r="DB249" s="155"/>
      <c r="DC249" s="155"/>
      <c r="DD249" s="155"/>
      <c r="DE249" s="155"/>
      <c r="DF249" s="155"/>
      <c r="DG249" s="155"/>
      <c r="DH249" s="155"/>
      <c r="DI249" s="155"/>
      <c r="DJ249" s="155"/>
      <c r="DK249" s="155"/>
      <c r="DL249" s="155"/>
      <c r="DM249" s="155"/>
      <c r="DN249" s="155"/>
      <c r="DO249" s="155"/>
      <c r="DP249" s="155"/>
      <c r="DQ249" s="155"/>
      <c r="DR249" s="155"/>
      <c r="DS249" s="155"/>
      <c r="DT249" s="155"/>
      <c r="DU249" s="155"/>
      <c r="DV249" s="155"/>
      <c r="DW249" s="155"/>
      <c r="DX249" s="155"/>
    </row>
    <row r="250" spans="1:128" ht="18" customHeight="1">
      <c r="A250" s="271" t="str">
        <f t="shared" si="46"/>
        <v>牽牛星癸</v>
      </c>
      <c r="B250" s="271" t="s">
        <v>1008</v>
      </c>
      <c r="C250" s="271" t="s">
        <v>492</v>
      </c>
      <c r="D250" s="155" t="str">
        <f t="shared" si="47"/>
        <v>戊</v>
      </c>
      <c r="E250" s="49">
        <v>2008</v>
      </c>
      <c r="F250" s="279" t="s">
        <v>930</v>
      </c>
      <c r="G250" s="155"/>
      <c r="H250" s="155"/>
      <c r="I250" s="270"/>
      <c r="J250" s="271" t="s">
        <v>989</v>
      </c>
      <c r="K250" s="280" t="s">
        <v>622</v>
      </c>
      <c r="L250" s="270"/>
      <c r="M250" s="49" t="s">
        <v>1009</v>
      </c>
      <c r="N250" s="216" t="s">
        <v>749</v>
      </c>
      <c r="O250" s="155"/>
      <c r="P250" s="155"/>
      <c r="Q250" s="155"/>
      <c r="R250" s="155"/>
      <c r="S250" s="155"/>
      <c r="T250" s="155"/>
      <c r="U250" s="158"/>
      <c r="V250" s="155"/>
      <c r="W250" s="155"/>
      <c r="X250" s="263"/>
      <c r="Y250" s="155"/>
      <c r="Z250" s="155"/>
      <c r="AA250" s="263"/>
      <c r="AB250" s="263"/>
      <c r="AC250" s="155"/>
      <c r="AD250" s="155"/>
      <c r="AE250" s="155"/>
      <c r="AF250" s="155"/>
      <c r="AG250" s="271"/>
      <c r="AH250" s="271" t="s">
        <v>868</v>
      </c>
      <c r="AI250" s="270">
        <v>6</v>
      </c>
      <c r="AJ250" s="155"/>
      <c r="AK250" s="271" t="s">
        <v>693</v>
      </c>
      <c r="AL250" s="271" t="s">
        <v>433</v>
      </c>
      <c r="AM250" s="155"/>
      <c r="AN250" s="282">
        <v>2016</v>
      </c>
      <c r="AO250" s="216" t="s">
        <v>946</v>
      </c>
      <c r="AP250" s="284" t="s">
        <v>769</v>
      </c>
      <c r="AQ250" s="285">
        <v>33</v>
      </c>
      <c r="AR250" s="155"/>
      <c r="AS250" s="155"/>
      <c r="AT250" s="155"/>
      <c r="AU250" s="155"/>
      <c r="AV250" s="155"/>
      <c r="AW250" s="155"/>
      <c r="AX250" s="155"/>
      <c r="AY250" s="155"/>
      <c r="AZ250" s="49"/>
      <c r="BA250" s="49"/>
      <c r="BB250" s="49"/>
      <c r="BC250" s="49"/>
      <c r="BD250" s="49"/>
      <c r="BE250" s="49"/>
      <c r="BF250" s="49"/>
      <c r="BG250" s="49"/>
      <c r="BH250" s="49"/>
      <c r="BI250" s="155"/>
      <c r="BJ250" s="155"/>
      <c r="BK250" s="155"/>
      <c r="BL250" s="49"/>
      <c r="BM250" s="49"/>
      <c r="BN250" s="49"/>
      <c r="BO250" s="49"/>
      <c r="BP250" s="49"/>
      <c r="BQ250" s="49"/>
      <c r="BR250" s="49"/>
      <c r="BS250" s="49"/>
      <c r="BT250" s="271" t="s">
        <v>720</v>
      </c>
      <c r="BU250" s="155" t="s">
        <v>660</v>
      </c>
      <c r="BV250" s="155">
        <v>1</v>
      </c>
      <c r="BW250" s="49"/>
      <c r="BX250" s="49"/>
      <c r="BY250" s="49"/>
      <c r="BZ250" s="49"/>
      <c r="CA250" s="49"/>
      <c r="CB250" s="49"/>
      <c r="CC250" s="49"/>
      <c r="CD250" s="49"/>
      <c r="CE250" s="49"/>
      <c r="CF250" s="49"/>
      <c r="CG250" s="49"/>
      <c r="CH250" s="49"/>
      <c r="CI250" s="49"/>
      <c r="CJ250" s="49"/>
      <c r="CK250" s="49"/>
      <c r="CL250" s="49"/>
      <c r="CM250" s="49"/>
      <c r="CN250" s="49"/>
      <c r="CO250" s="49"/>
      <c r="CP250" s="49"/>
      <c r="CQ250" s="49"/>
      <c r="CR250" s="49"/>
      <c r="CS250" s="49"/>
      <c r="CT250" s="155"/>
      <c r="CU250" s="155"/>
      <c r="CV250" s="155"/>
      <c r="CW250" s="155"/>
      <c r="CX250" s="155"/>
      <c r="CY250" s="155"/>
      <c r="CZ250" s="155"/>
      <c r="DA250" s="155"/>
      <c r="DB250" s="155"/>
      <c r="DC250" s="155"/>
      <c r="DD250" s="155"/>
      <c r="DE250" s="155"/>
      <c r="DF250" s="155"/>
      <c r="DG250" s="155"/>
      <c r="DH250" s="155"/>
      <c r="DI250" s="155"/>
      <c r="DJ250" s="155"/>
      <c r="DK250" s="155"/>
      <c r="DL250" s="155"/>
      <c r="DM250" s="155"/>
      <c r="DN250" s="155"/>
      <c r="DO250" s="155"/>
      <c r="DP250" s="155"/>
      <c r="DQ250" s="155"/>
      <c r="DR250" s="155"/>
      <c r="DS250" s="155"/>
      <c r="DT250" s="155"/>
      <c r="DU250" s="155"/>
      <c r="DV250" s="155"/>
      <c r="DW250" s="155"/>
      <c r="DX250" s="155"/>
    </row>
    <row r="251" spans="1:128" ht="18" customHeight="1">
      <c r="A251" s="271" t="str">
        <f t="shared" si="46"/>
        <v>牽牛星戊</v>
      </c>
      <c r="B251" s="271" t="s">
        <v>1010</v>
      </c>
      <c r="C251" s="271" t="s">
        <v>492</v>
      </c>
      <c r="D251" s="155" t="str">
        <f t="shared" si="47"/>
        <v>乙</v>
      </c>
      <c r="E251" s="49">
        <v>2009</v>
      </c>
      <c r="F251" s="279" t="s">
        <v>981</v>
      </c>
      <c r="G251" s="155"/>
      <c r="H251" s="155"/>
      <c r="I251" s="270"/>
      <c r="J251" s="271" t="s">
        <v>1011</v>
      </c>
      <c r="K251" s="280" t="s">
        <v>622</v>
      </c>
      <c r="L251" s="270"/>
      <c r="M251" s="49" t="s">
        <v>1012</v>
      </c>
      <c r="N251" s="216" t="s">
        <v>1013</v>
      </c>
      <c r="O251" s="155"/>
      <c r="P251" s="155"/>
      <c r="Q251" s="155"/>
      <c r="R251" s="155"/>
      <c r="S251" s="155"/>
      <c r="T251" s="155"/>
      <c r="U251" s="158"/>
      <c r="V251" s="155"/>
      <c r="W251" s="155"/>
      <c r="X251" s="263"/>
      <c r="Y251" s="155"/>
      <c r="Z251" s="155"/>
      <c r="AA251" s="263"/>
      <c r="AB251" s="263"/>
      <c r="AC251" s="155"/>
      <c r="AD251" s="155"/>
      <c r="AE251" s="155"/>
      <c r="AF251" s="155"/>
      <c r="AG251" s="271"/>
      <c r="AH251" s="271" t="s">
        <v>882</v>
      </c>
      <c r="AI251" s="270">
        <v>9</v>
      </c>
      <c r="AJ251" s="155"/>
      <c r="AK251" s="271" t="s">
        <v>698</v>
      </c>
      <c r="AL251" s="271" t="s">
        <v>433</v>
      </c>
      <c r="AM251" s="155"/>
      <c r="AN251" s="282">
        <v>2017</v>
      </c>
      <c r="AO251" s="216" t="s">
        <v>946</v>
      </c>
      <c r="AP251" s="284" t="s">
        <v>863</v>
      </c>
      <c r="AQ251" s="285">
        <v>34</v>
      </c>
      <c r="AR251" s="155"/>
      <c r="AS251" s="155"/>
      <c r="AT251" s="155"/>
      <c r="AU251" s="155"/>
      <c r="AV251" s="155"/>
      <c r="AW251" s="155"/>
      <c r="AX251" s="155"/>
      <c r="AY251" s="155"/>
      <c r="AZ251" s="49"/>
      <c r="BA251" s="49"/>
      <c r="BB251" s="49"/>
      <c r="BC251" s="49"/>
      <c r="BD251" s="49"/>
      <c r="BE251" s="49"/>
      <c r="BF251" s="49"/>
      <c r="BG251" s="49"/>
      <c r="BH251" s="49"/>
      <c r="BI251" s="155"/>
      <c r="BJ251" s="155"/>
      <c r="BK251" s="155"/>
      <c r="BL251" s="49"/>
      <c r="BM251" s="49"/>
      <c r="BN251" s="49"/>
      <c r="BO251" s="49"/>
      <c r="BP251" s="49"/>
      <c r="BQ251" s="49"/>
      <c r="BR251" s="49"/>
      <c r="BS251" s="49"/>
      <c r="BT251" s="271" t="s">
        <v>724</v>
      </c>
      <c r="BU251" s="155" t="s">
        <v>660</v>
      </c>
      <c r="BV251" s="155">
        <v>0</v>
      </c>
      <c r="BW251" s="49"/>
      <c r="BX251" s="49"/>
      <c r="BY251" s="49"/>
      <c r="BZ251" s="49"/>
      <c r="CA251" s="49"/>
      <c r="CB251" s="49"/>
      <c r="CC251" s="49"/>
      <c r="CD251" s="49"/>
      <c r="CE251" s="49"/>
      <c r="CF251" s="49"/>
      <c r="CG251" s="49"/>
      <c r="CH251" s="49"/>
      <c r="CI251" s="49"/>
      <c r="CJ251" s="49"/>
      <c r="CK251" s="49"/>
      <c r="CL251" s="49"/>
      <c r="CM251" s="49"/>
      <c r="CN251" s="49"/>
      <c r="CO251" s="49"/>
      <c r="CP251" s="49"/>
      <c r="CQ251" s="49"/>
      <c r="CR251" s="49"/>
      <c r="CS251" s="49"/>
      <c r="CT251" s="155"/>
      <c r="CU251" s="155"/>
      <c r="CV251" s="155"/>
      <c r="CW251" s="155"/>
      <c r="CX251" s="155"/>
      <c r="CY251" s="155"/>
      <c r="CZ251" s="155"/>
      <c r="DA251" s="155"/>
      <c r="DB251" s="155"/>
      <c r="DC251" s="155"/>
      <c r="DD251" s="155"/>
      <c r="DE251" s="155"/>
      <c r="DF251" s="155"/>
      <c r="DG251" s="155"/>
      <c r="DH251" s="155"/>
      <c r="DI251" s="155"/>
      <c r="DJ251" s="155"/>
      <c r="DK251" s="155"/>
      <c r="DL251" s="155"/>
      <c r="DM251" s="155"/>
      <c r="DN251" s="155"/>
      <c r="DO251" s="155"/>
      <c r="DP251" s="155"/>
      <c r="DQ251" s="155"/>
      <c r="DR251" s="155"/>
      <c r="DS251" s="155"/>
      <c r="DT251" s="155"/>
      <c r="DU251" s="155"/>
      <c r="DV251" s="155"/>
      <c r="DW251" s="155"/>
      <c r="DX251" s="155"/>
    </row>
    <row r="252" spans="1:128" ht="18" customHeight="1">
      <c r="A252" s="271" t="str">
        <f t="shared" si="46"/>
        <v>牽牛星己</v>
      </c>
      <c r="B252" s="271" t="s">
        <v>1014</v>
      </c>
      <c r="C252" s="271" t="s">
        <v>492</v>
      </c>
      <c r="D252" s="155" t="str">
        <f t="shared" si="47"/>
        <v>甲</v>
      </c>
      <c r="E252" s="49">
        <v>2010</v>
      </c>
      <c r="F252" s="279" t="s">
        <v>906</v>
      </c>
      <c r="G252" s="155"/>
      <c r="H252" s="155"/>
      <c r="I252" s="270"/>
      <c r="J252" s="271" t="s">
        <v>947</v>
      </c>
      <c r="K252" s="280" t="s">
        <v>612</v>
      </c>
      <c r="L252" s="270"/>
      <c r="M252" s="49" t="s">
        <v>758</v>
      </c>
      <c r="N252" s="216" t="s">
        <v>759</v>
      </c>
      <c r="O252" s="155"/>
      <c r="P252" s="155"/>
      <c r="Q252" s="155"/>
      <c r="R252" s="155"/>
      <c r="S252" s="155"/>
      <c r="T252" s="155"/>
      <c r="U252" s="158"/>
      <c r="V252" s="155"/>
      <c r="W252" s="155"/>
      <c r="X252" s="263"/>
      <c r="Y252" s="155"/>
      <c r="Z252" s="155"/>
      <c r="AA252" s="263"/>
      <c r="AB252" s="263"/>
      <c r="AC252" s="155"/>
      <c r="AD252" s="155"/>
      <c r="AE252" s="155"/>
      <c r="AF252" s="155"/>
      <c r="AG252" s="271"/>
      <c r="AH252" s="271" t="s">
        <v>886</v>
      </c>
      <c r="AI252" s="270">
        <v>7</v>
      </c>
      <c r="AJ252" s="155"/>
      <c r="AK252" s="271" t="s">
        <v>703</v>
      </c>
      <c r="AL252" s="271" t="s">
        <v>433</v>
      </c>
      <c r="AM252" s="155"/>
      <c r="AN252" s="282">
        <v>2018</v>
      </c>
      <c r="AO252" s="216" t="s">
        <v>971</v>
      </c>
      <c r="AP252" s="284" t="s">
        <v>913</v>
      </c>
      <c r="AQ252" s="285">
        <v>35</v>
      </c>
      <c r="AR252" s="155"/>
      <c r="AS252" s="155"/>
      <c r="AT252" s="155"/>
      <c r="AU252" s="155"/>
      <c r="AV252" s="155"/>
      <c r="AW252" s="155"/>
      <c r="AX252" s="155"/>
      <c r="AY252" s="155"/>
      <c r="AZ252" s="49"/>
      <c r="BA252" s="49"/>
      <c r="BB252" s="49"/>
      <c r="BC252" s="49"/>
      <c r="BD252" s="49"/>
      <c r="BE252" s="49"/>
      <c r="BF252" s="49"/>
      <c r="BG252" s="49"/>
      <c r="BH252" s="49"/>
      <c r="BI252" s="155"/>
      <c r="BJ252" s="155"/>
      <c r="BK252" s="155"/>
      <c r="BL252" s="49"/>
      <c r="BM252" s="49"/>
      <c r="BN252" s="49"/>
      <c r="BO252" s="49"/>
      <c r="BP252" s="49"/>
      <c r="BQ252" s="49"/>
      <c r="BR252" s="49"/>
      <c r="BS252" s="49"/>
      <c r="BT252" s="271" t="s">
        <v>729</v>
      </c>
      <c r="BU252" s="155" t="s">
        <v>622</v>
      </c>
      <c r="BV252" s="155">
        <v>0</v>
      </c>
      <c r="BW252" s="49"/>
      <c r="BX252" s="49"/>
      <c r="BY252" s="49"/>
      <c r="BZ252" s="49"/>
      <c r="CA252" s="49"/>
      <c r="CB252" s="49"/>
      <c r="CC252" s="49"/>
      <c r="CD252" s="49"/>
      <c r="CE252" s="49"/>
      <c r="CF252" s="49"/>
      <c r="CG252" s="49"/>
      <c r="CH252" s="49"/>
      <c r="CI252" s="49"/>
      <c r="CJ252" s="49"/>
      <c r="CK252" s="49"/>
      <c r="CL252" s="49"/>
      <c r="CM252" s="49"/>
      <c r="CN252" s="49"/>
      <c r="CO252" s="49"/>
      <c r="CP252" s="49"/>
      <c r="CQ252" s="49"/>
      <c r="CR252" s="49"/>
      <c r="CS252" s="49"/>
      <c r="CT252" s="155"/>
      <c r="CU252" s="155"/>
      <c r="CV252" s="155"/>
      <c r="CW252" s="155"/>
      <c r="CX252" s="155"/>
      <c r="CY252" s="155"/>
      <c r="CZ252" s="155"/>
      <c r="DA252" s="155"/>
      <c r="DB252" s="155"/>
      <c r="DC252" s="155"/>
      <c r="DD252" s="155"/>
      <c r="DE252" s="155"/>
      <c r="DF252" s="155"/>
      <c r="DG252" s="155"/>
      <c r="DH252" s="155"/>
      <c r="DI252" s="155"/>
      <c r="DJ252" s="155"/>
      <c r="DK252" s="155"/>
      <c r="DL252" s="155"/>
      <c r="DM252" s="155"/>
      <c r="DN252" s="155"/>
      <c r="DO252" s="155"/>
      <c r="DP252" s="155"/>
      <c r="DQ252" s="155"/>
      <c r="DR252" s="155"/>
      <c r="DS252" s="155"/>
      <c r="DT252" s="155"/>
      <c r="DU252" s="155"/>
      <c r="DV252" s="155"/>
      <c r="DW252" s="155"/>
      <c r="DX252" s="155"/>
    </row>
    <row r="253" spans="1:128" ht="18" customHeight="1">
      <c r="A253" s="271" t="str">
        <f t="shared" si="46"/>
        <v>牽牛星甲</v>
      </c>
      <c r="B253" s="271" t="s">
        <v>1015</v>
      </c>
      <c r="C253" s="271" t="s">
        <v>492</v>
      </c>
      <c r="D253" s="155" t="str">
        <f t="shared" si="47"/>
        <v>辛</v>
      </c>
      <c r="E253" s="49">
        <v>2011</v>
      </c>
      <c r="F253" s="279" t="s">
        <v>643</v>
      </c>
      <c r="G253" s="155"/>
      <c r="H253" s="155"/>
      <c r="I253" s="270"/>
      <c r="J253" s="271" t="s">
        <v>951</v>
      </c>
      <c r="K253" s="280" t="s">
        <v>660</v>
      </c>
      <c r="L253" s="270"/>
      <c r="M253" s="49" t="s">
        <v>1016</v>
      </c>
      <c r="N253" s="216" t="s">
        <v>1017</v>
      </c>
      <c r="O253" s="155"/>
      <c r="P253" s="155"/>
      <c r="Q253" s="155"/>
      <c r="R253" s="155"/>
      <c r="S253" s="155"/>
      <c r="T253" s="155"/>
      <c r="U253" s="158"/>
      <c r="V253" s="155"/>
      <c r="W253" s="155"/>
      <c r="X253" s="263"/>
      <c r="Y253" s="155"/>
      <c r="Z253" s="155"/>
      <c r="AA253" s="263"/>
      <c r="AB253" s="263"/>
      <c r="AC253" s="155"/>
      <c r="AD253" s="155"/>
      <c r="AE253" s="155"/>
      <c r="AF253" s="155"/>
      <c r="AG253" s="271"/>
      <c r="AH253" s="271" t="s">
        <v>890</v>
      </c>
      <c r="AI253" s="270">
        <v>10</v>
      </c>
      <c r="AJ253" s="155"/>
      <c r="AK253" s="271" t="s">
        <v>708</v>
      </c>
      <c r="AL253" s="271" t="s">
        <v>433</v>
      </c>
      <c r="AM253" s="155"/>
      <c r="AN253" s="282">
        <v>2019</v>
      </c>
      <c r="AO253" s="216" t="s">
        <v>971</v>
      </c>
      <c r="AP253" s="284" t="s">
        <v>962</v>
      </c>
      <c r="AQ253" s="285">
        <v>36</v>
      </c>
      <c r="AR253" s="155"/>
      <c r="AS253" s="155"/>
      <c r="AT253" s="155"/>
      <c r="AU253" s="155"/>
      <c r="AV253" s="155"/>
      <c r="AW253" s="155"/>
      <c r="AX253" s="155"/>
      <c r="AY253" s="155"/>
      <c r="AZ253" s="49"/>
      <c r="BA253" s="49"/>
      <c r="BB253" s="49"/>
      <c r="BC253" s="49"/>
      <c r="BD253" s="49"/>
      <c r="BE253" s="49"/>
      <c r="BF253" s="49"/>
      <c r="BG253" s="49"/>
      <c r="BH253" s="49"/>
      <c r="BI253" s="155"/>
      <c r="BJ253" s="155"/>
      <c r="BK253" s="155"/>
      <c r="BL253" s="49"/>
      <c r="BM253" s="49"/>
      <c r="BN253" s="49"/>
      <c r="BO253" s="49"/>
      <c r="BP253" s="49"/>
      <c r="BQ253" s="49"/>
      <c r="BR253" s="49"/>
      <c r="BS253" s="49"/>
      <c r="BT253" s="271" t="s">
        <v>735</v>
      </c>
      <c r="BU253" s="155" t="s">
        <v>612</v>
      </c>
      <c r="BV253" s="155">
        <v>0</v>
      </c>
      <c r="BW253" s="49"/>
      <c r="BX253" s="49"/>
      <c r="BY253" s="49"/>
      <c r="BZ253" s="49"/>
      <c r="CA253" s="49"/>
      <c r="CB253" s="49"/>
      <c r="CC253" s="49"/>
      <c r="CD253" s="49"/>
      <c r="CE253" s="49"/>
      <c r="CF253" s="49"/>
      <c r="CG253" s="49"/>
      <c r="CH253" s="49"/>
      <c r="CI253" s="49"/>
      <c r="CJ253" s="49"/>
      <c r="CK253" s="49"/>
      <c r="CL253" s="49"/>
      <c r="CM253" s="49"/>
      <c r="CN253" s="49"/>
      <c r="CO253" s="49"/>
      <c r="CP253" s="49"/>
      <c r="CQ253" s="49"/>
      <c r="CR253" s="49"/>
      <c r="CS253" s="49"/>
      <c r="CT253" s="155"/>
      <c r="CU253" s="155"/>
      <c r="CV253" s="155"/>
      <c r="CW253" s="155"/>
      <c r="CX253" s="155"/>
      <c r="CY253" s="155"/>
      <c r="CZ253" s="155"/>
      <c r="DA253" s="155"/>
      <c r="DB253" s="155"/>
      <c r="DC253" s="155"/>
      <c r="DD253" s="155"/>
      <c r="DE253" s="155"/>
      <c r="DF253" s="155"/>
      <c r="DG253" s="155"/>
      <c r="DH253" s="155"/>
      <c r="DI253" s="155"/>
      <c r="DJ253" s="155"/>
      <c r="DK253" s="155"/>
      <c r="DL253" s="155"/>
      <c r="DM253" s="155"/>
      <c r="DN253" s="155"/>
      <c r="DO253" s="155"/>
      <c r="DP253" s="155"/>
      <c r="DQ253" s="155"/>
      <c r="DR253" s="155"/>
      <c r="DS253" s="155"/>
      <c r="DT253" s="155"/>
      <c r="DU253" s="155"/>
      <c r="DV253" s="155"/>
      <c r="DW253" s="155"/>
      <c r="DX253" s="155"/>
    </row>
    <row r="254" spans="1:128" ht="18" customHeight="1">
      <c r="A254" s="271" t="str">
        <f t="shared" si="46"/>
        <v>牽牛星乙</v>
      </c>
      <c r="B254" s="271" t="s">
        <v>1018</v>
      </c>
      <c r="C254" s="271" t="s">
        <v>492</v>
      </c>
      <c r="D254" s="155" t="str">
        <f t="shared" si="47"/>
        <v>庚</v>
      </c>
      <c r="E254" s="49">
        <v>2012</v>
      </c>
      <c r="F254" s="279" t="s">
        <v>930</v>
      </c>
      <c r="G254" s="155"/>
      <c r="H254" s="155"/>
      <c r="I254" s="270"/>
      <c r="J254" s="271" t="s">
        <v>1019</v>
      </c>
      <c r="K254" s="280" t="s">
        <v>660</v>
      </c>
      <c r="L254" s="270"/>
      <c r="M254" s="49" t="s">
        <v>770</v>
      </c>
      <c r="N254" s="216" t="s">
        <v>771</v>
      </c>
      <c r="O254" s="155"/>
      <c r="P254" s="155"/>
      <c r="Q254" s="155"/>
      <c r="R254" s="155"/>
      <c r="S254" s="155"/>
      <c r="T254" s="155"/>
      <c r="U254" s="158"/>
      <c r="V254" s="155"/>
      <c r="W254" s="155"/>
      <c r="X254" s="263"/>
      <c r="Y254" s="155"/>
      <c r="Z254" s="155"/>
      <c r="AA254" s="263"/>
      <c r="AB254" s="263"/>
      <c r="AC254" s="155"/>
      <c r="AD254" s="155"/>
      <c r="AE254" s="155"/>
      <c r="AF254" s="155"/>
      <c r="AG254" s="271"/>
      <c r="AH254" s="271" t="s">
        <v>895</v>
      </c>
      <c r="AI254" s="270">
        <v>11</v>
      </c>
      <c r="AJ254" s="155"/>
      <c r="AK254" s="271" t="s">
        <v>713</v>
      </c>
      <c r="AL254" s="271" t="s">
        <v>433</v>
      </c>
      <c r="AM254" s="155"/>
      <c r="AN254" s="282">
        <v>2020</v>
      </c>
      <c r="AO254" s="216" t="s">
        <v>979</v>
      </c>
      <c r="AP254" s="284" t="s">
        <v>1003</v>
      </c>
      <c r="AQ254" s="285">
        <v>37</v>
      </c>
      <c r="AR254" s="155"/>
      <c r="AS254" s="155"/>
      <c r="AT254" s="155"/>
      <c r="AU254" s="155"/>
      <c r="AV254" s="155"/>
      <c r="AW254" s="155"/>
      <c r="AX254" s="155"/>
      <c r="AY254" s="155"/>
      <c r="AZ254" s="49"/>
      <c r="BA254" s="49"/>
      <c r="BB254" s="49"/>
      <c r="BC254" s="49"/>
      <c r="BD254" s="49"/>
      <c r="BE254" s="49"/>
      <c r="BF254" s="49"/>
      <c r="BG254" s="49"/>
      <c r="BH254" s="49"/>
      <c r="BI254" s="155"/>
      <c r="BJ254" s="155"/>
      <c r="BK254" s="155"/>
      <c r="BL254" s="49"/>
      <c r="BM254" s="49"/>
      <c r="BN254" s="49"/>
      <c r="BO254" s="49"/>
      <c r="BP254" s="49"/>
      <c r="BQ254" s="49"/>
      <c r="BR254" s="49"/>
      <c r="BS254" s="49"/>
      <c r="BT254" s="271" t="s">
        <v>741</v>
      </c>
      <c r="BU254" s="155" t="s">
        <v>612</v>
      </c>
      <c r="BV254" s="155">
        <v>0</v>
      </c>
      <c r="BW254" s="49"/>
      <c r="BX254" s="49"/>
      <c r="BY254" s="49"/>
      <c r="BZ254" s="49"/>
      <c r="CA254" s="49"/>
      <c r="CB254" s="49"/>
      <c r="CC254" s="49"/>
      <c r="CD254" s="49"/>
      <c r="CE254" s="49"/>
      <c r="CF254" s="49"/>
      <c r="CG254" s="49"/>
      <c r="CH254" s="49"/>
      <c r="CI254" s="49"/>
      <c r="CJ254" s="49"/>
      <c r="CK254" s="49"/>
      <c r="CL254" s="49"/>
      <c r="CM254" s="49"/>
      <c r="CN254" s="49"/>
      <c r="CO254" s="49"/>
      <c r="CP254" s="49"/>
      <c r="CQ254" s="49"/>
      <c r="CR254" s="49"/>
      <c r="CS254" s="49"/>
      <c r="CT254" s="155"/>
      <c r="CU254" s="155"/>
      <c r="CV254" s="155"/>
      <c r="CW254" s="155"/>
      <c r="CX254" s="155"/>
      <c r="CY254" s="155"/>
      <c r="CZ254" s="155"/>
      <c r="DA254" s="155"/>
      <c r="DB254" s="155"/>
      <c r="DC254" s="155"/>
      <c r="DD254" s="155"/>
      <c r="DE254" s="155"/>
      <c r="DF254" s="155"/>
      <c r="DG254" s="155"/>
      <c r="DH254" s="155"/>
      <c r="DI254" s="155"/>
      <c r="DJ254" s="155"/>
      <c r="DK254" s="155"/>
      <c r="DL254" s="155"/>
      <c r="DM254" s="155"/>
      <c r="DN254" s="155"/>
      <c r="DO254" s="155"/>
      <c r="DP254" s="155"/>
      <c r="DQ254" s="155"/>
      <c r="DR254" s="155"/>
      <c r="DS254" s="155"/>
      <c r="DT254" s="155"/>
      <c r="DU254" s="155"/>
      <c r="DV254" s="155"/>
      <c r="DW254" s="155"/>
      <c r="DX254" s="155"/>
    </row>
    <row r="255" spans="1:128" ht="18" customHeight="1">
      <c r="A255" s="155"/>
      <c r="B255" s="155"/>
      <c r="C255" s="155"/>
      <c r="D255" s="155"/>
      <c r="E255" s="49">
        <v>2013</v>
      </c>
      <c r="F255" s="286" t="s">
        <v>981</v>
      </c>
      <c r="G255" s="155"/>
      <c r="H255" s="155"/>
      <c r="I255" s="270"/>
      <c r="J255" s="271" t="s">
        <v>1020</v>
      </c>
      <c r="K255" s="280" t="s">
        <v>612</v>
      </c>
      <c r="L255" s="270"/>
      <c r="M255" s="270"/>
      <c r="N255" s="270"/>
      <c r="O255" s="155"/>
      <c r="P255" s="155"/>
      <c r="Q255" s="155"/>
      <c r="R255" s="155"/>
      <c r="S255" s="155"/>
      <c r="T255" s="155"/>
      <c r="U255" s="158"/>
      <c r="V255" s="155"/>
      <c r="W255" s="155"/>
      <c r="X255" s="263"/>
      <c r="Y255" s="155"/>
      <c r="Z255" s="155"/>
      <c r="AA255" s="263"/>
      <c r="AB255" s="263"/>
      <c r="AC255" s="155"/>
      <c r="AD255" s="155"/>
      <c r="AE255" s="155"/>
      <c r="AF255" s="155"/>
      <c r="AG255" s="271"/>
      <c r="AH255" s="271" t="s">
        <v>898</v>
      </c>
      <c r="AI255" s="270">
        <v>12</v>
      </c>
      <c r="AJ255" s="155"/>
      <c r="AK255" s="271" t="s">
        <v>718</v>
      </c>
      <c r="AL255" s="271" t="s">
        <v>433</v>
      </c>
      <c r="AM255" s="155"/>
      <c r="AN255" s="282">
        <v>2021</v>
      </c>
      <c r="AO255" s="216" t="s">
        <v>979</v>
      </c>
      <c r="AP255" s="284" t="s">
        <v>1021</v>
      </c>
      <c r="AQ255" s="285">
        <v>38</v>
      </c>
      <c r="AR255" s="155"/>
      <c r="AS255" s="155"/>
      <c r="AT255" s="155"/>
      <c r="AU255" s="155"/>
      <c r="AV255" s="155"/>
      <c r="AW255" s="155"/>
      <c r="AX255" s="155"/>
      <c r="AY255" s="155"/>
      <c r="AZ255" s="49"/>
      <c r="BA255" s="49"/>
      <c r="BB255" s="49"/>
      <c r="BC255" s="49"/>
      <c r="BD255" s="49"/>
      <c r="BE255" s="49"/>
      <c r="BF255" s="49"/>
      <c r="BG255" s="49"/>
      <c r="BH255" s="49"/>
      <c r="BI255" s="155"/>
      <c r="BJ255" s="155"/>
      <c r="BK255" s="155"/>
      <c r="BL255" s="49"/>
      <c r="BM255" s="49"/>
      <c r="BN255" s="49"/>
      <c r="BO255" s="49"/>
      <c r="BP255" s="49"/>
      <c r="BQ255" s="49"/>
      <c r="BR255" s="49"/>
      <c r="BS255" s="49"/>
      <c r="BT255" s="271" t="s">
        <v>747</v>
      </c>
      <c r="BU255" s="155" t="s">
        <v>645</v>
      </c>
      <c r="BV255" s="155">
        <v>0</v>
      </c>
      <c r="BW255" s="49"/>
      <c r="BX255" s="49"/>
      <c r="BY255" s="49"/>
      <c r="BZ255" s="49"/>
      <c r="CA255" s="49"/>
      <c r="CB255" s="49"/>
      <c r="CC255" s="49"/>
      <c r="CD255" s="49"/>
      <c r="CE255" s="49"/>
      <c r="CF255" s="49"/>
      <c r="CG255" s="49"/>
      <c r="CH255" s="49"/>
      <c r="CI255" s="49"/>
      <c r="CJ255" s="49"/>
      <c r="CK255" s="49"/>
      <c r="CL255" s="49"/>
      <c r="CM255" s="49"/>
      <c r="CN255" s="49"/>
      <c r="CO255" s="49"/>
      <c r="CP255" s="49"/>
      <c r="CQ255" s="49"/>
      <c r="CR255" s="49"/>
      <c r="CS255" s="49"/>
      <c r="CT255" s="155"/>
      <c r="CU255" s="155"/>
      <c r="CV255" s="155"/>
      <c r="CW255" s="155"/>
      <c r="CX255" s="155"/>
      <c r="CY255" s="155"/>
      <c r="CZ255" s="155"/>
      <c r="DA255" s="155"/>
      <c r="DB255" s="155"/>
      <c r="DC255" s="155"/>
      <c r="DD255" s="155"/>
      <c r="DE255" s="155"/>
      <c r="DF255" s="155"/>
      <c r="DG255" s="155"/>
      <c r="DH255" s="155"/>
      <c r="DI255" s="155"/>
      <c r="DJ255" s="155"/>
      <c r="DK255" s="155"/>
      <c r="DL255" s="155"/>
      <c r="DM255" s="155"/>
      <c r="DN255" s="155"/>
      <c r="DO255" s="155"/>
      <c r="DP255" s="155"/>
      <c r="DQ255" s="155"/>
      <c r="DR255" s="155"/>
      <c r="DS255" s="155"/>
      <c r="DT255" s="155"/>
      <c r="DU255" s="155"/>
      <c r="DV255" s="155"/>
      <c r="DW255" s="155"/>
      <c r="DX255" s="155"/>
    </row>
    <row r="256" spans="1:128" ht="18" customHeight="1">
      <c r="A256" s="155"/>
      <c r="B256" s="155"/>
      <c r="C256" s="155"/>
      <c r="D256" s="155"/>
      <c r="E256" s="49">
        <v>2014</v>
      </c>
      <c r="F256" s="286" t="s">
        <v>906</v>
      </c>
      <c r="G256" s="155"/>
      <c r="H256" s="155"/>
      <c r="I256" s="270"/>
      <c r="J256" s="271" t="s">
        <v>1022</v>
      </c>
      <c r="K256" s="280" t="s">
        <v>628</v>
      </c>
      <c r="L256" s="270"/>
      <c r="M256" s="270"/>
      <c r="N256" s="270"/>
      <c r="O256" s="155"/>
      <c r="P256" s="155"/>
      <c r="Q256" s="155"/>
      <c r="R256" s="155"/>
      <c r="S256" s="155"/>
      <c r="T256" s="155"/>
      <c r="U256" s="158"/>
      <c r="V256" s="155"/>
      <c r="W256" s="155"/>
      <c r="X256" s="263"/>
      <c r="Y256" s="155"/>
      <c r="Z256" s="155"/>
      <c r="AA256" s="263"/>
      <c r="AB256" s="263"/>
      <c r="AC256" s="155"/>
      <c r="AD256" s="155"/>
      <c r="AE256" s="155"/>
      <c r="AF256" s="155"/>
      <c r="AG256" s="271"/>
      <c r="AH256" s="271" t="s">
        <v>902</v>
      </c>
      <c r="AI256" s="270">
        <v>8</v>
      </c>
      <c r="AJ256" s="155"/>
      <c r="AK256" s="271" t="s">
        <v>723</v>
      </c>
      <c r="AL256" s="271" t="s">
        <v>433</v>
      </c>
      <c r="AM256" s="155"/>
      <c r="AN256" s="282">
        <v>2022</v>
      </c>
      <c r="AO256" s="216" t="s">
        <v>988</v>
      </c>
      <c r="AP256" s="284" t="s">
        <v>1023</v>
      </c>
      <c r="AQ256" s="285">
        <v>39</v>
      </c>
      <c r="AR256" s="155"/>
      <c r="AS256" s="155"/>
      <c r="AT256" s="155"/>
      <c r="AU256" s="155"/>
      <c r="AV256" s="155"/>
      <c r="AW256" s="155"/>
      <c r="AX256" s="155"/>
      <c r="AY256" s="155"/>
      <c r="AZ256" s="49"/>
      <c r="BA256" s="49"/>
      <c r="BB256" s="49"/>
      <c r="BC256" s="49"/>
      <c r="BD256" s="49"/>
      <c r="BE256" s="49"/>
      <c r="BF256" s="49"/>
      <c r="BG256" s="49"/>
      <c r="BH256" s="49"/>
      <c r="BI256" s="155"/>
      <c r="BJ256" s="155"/>
      <c r="BK256" s="155"/>
      <c r="BL256" s="49"/>
      <c r="BM256" s="49"/>
      <c r="BN256" s="49"/>
      <c r="BO256" s="49"/>
      <c r="BP256" s="49"/>
      <c r="BQ256" s="49"/>
      <c r="BR256" s="49"/>
      <c r="BS256" s="49"/>
      <c r="BT256" s="271" t="s">
        <v>752</v>
      </c>
      <c r="BU256" s="155" t="s">
        <v>628</v>
      </c>
      <c r="BV256" s="155">
        <v>0</v>
      </c>
      <c r="BW256" s="49"/>
      <c r="BX256" s="49"/>
      <c r="BY256" s="49"/>
      <c r="BZ256" s="49"/>
      <c r="CA256" s="49"/>
      <c r="CB256" s="49"/>
      <c r="CC256" s="49"/>
      <c r="CD256" s="49"/>
      <c r="CE256" s="49"/>
      <c r="CF256" s="49"/>
      <c r="CG256" s="49"/>
      <c r="CH256" s="49"/>
      <c r="CI256" s="49"/>
      <c r="CJ256" s="49"/>
      <c r="CK256" s="49"/>
      <c r="CL256" s="49"/>
      <c r="CM256" s="49"/>
      <c r="CN256" s="49"/>
      <c r="CO256" s="49"/>
      <c r="CP256" s="49"/>
      <c r="CQ256" s="49"/>
      <c r="CR256" s="49"/>
      <c r="CS256" s="49"/>
      <c r="CT256" s="155"/>
      <c r="CU256" s="155"/>
      <c r="CV256" s="155"/>
      <c r="CW256" s="155"/>
      <c r="CX256" s="155"/>
      <c r="CY256" s="155"/>
      <c r="CZ256" s="155"/>
      <c r="DA256" s="155"/>
      <c r="DB256" s="155"/>
      <c r="DC256" s="155"/>
      <c r="DD256" s="155"/>
      <c r="DE256" s="155"/>
      <c r="DF256" s="155"/>
      <c r="DG256" s="155"/>
      <c r="DH256" s="155"/>
      <c r="DI256" s="155"/>
      <c r="DJ256" s="155"/>
      <c r="DK256" s="155"/>
      <c r="DL256" s="155"/>
      <c r="DM256" s="155"/>
      <c r="DN256" s="155"/>
      <c r="DO256" s="155"/>
      <c r="DP256" s="155"/>
      <c r="DQ256" s="155"/>
      <c r="DR256" s="155"/>
      <c r="DS256" s="155"/>
      <c r="DT256" s="155"/>
      <c r="DU256" s="155"/>
      <c r="DV256" s="155"/>
      <c r="DW256" s="155"/>
      <c r="DX256" s="155"/>
    </row>
    <row r="257" spans="1:128" ht="18" customHeight="1">
      <c r="A257" s="155"/>
      <c r="B257" s="155"/>
      <c r="C257" s="155"/>
      <c r="D257" s="155"/>
      <c r="E257" s="49">
        <v>2015</v>
      </c>
      <c r="F257" s="286" t="s">
        <v>746</v>
      </c>
      <c r="G257" s="155"/>
      <c r="H257" s="155"/>
      <c r="I257" s="270"/>
      <c r="J257" s="271" t="s">
        <v>1024</v>
      </c>
      <c r="K257" s="280" t="s">
        <v>628</v>
      </c>
      <c r="L257" s="270"/>
      <c r="M257" s="270"/>
      <c r="N257" s="270"/>
      <c r="O257" s="155"/>
      <c r="P257" s="155"/>
      <c r="Q257" s="155"/>
      <c r="R257" s="155"/>
      <c r="S257" s="155"/>
      <c r="T257" s="155"/>
      <c r="U257" s="158"/>
      <c r="V257" s="155"/>
      <c r="W257" s="155"/>
      <c r="X257" s="263"/>
      <c r="Y257" s="155"/>
      <c r="Z257" s="155"/>
      <c r="AA257" s="263"/>
      <c r="AB257" s="263"/>
      <c r="AC257" s="155"/>
      <c r="AD257" s="155"/>
      <c r="AE257" s="155"/>
      <c r="AF257" s="155"/>
      <c r="AG257" s="271"/>
      <c r="AH257" s="271" t="s">
        <v>907</v>
      </c>
      <c r="AI257" s="270">
        <v>4</v>
      </c>
      <c r="AJ257" s="155"/>
      <c r="AK257" s="271" t="s">
        <v>728</v>
      </c>
      <c r="AL257" s="271" t="s">
        <v>433</v>
      </c>
      <c r="AM257" s="155"/>
      <c r="AN257" s="282">
        <v>2023</v>
      </c>
      <c r="AO257" s="216" t="s">
        <v>988</v>
      </c>
      <c r="AP257" s="284" t="s">
        <v>1025</v>
      </c>
      <c r="AQ257" s="285">
        <v>40</v>
      </c>
      <c r="AR257" s="155"/>
      <c r="AS257" s="155"/>
      <c r="AT257" s="155"/>
      <c r="AU257" s="155"/>
      <c r="AV257" s="155"/>
      <c r="AW257" s="155"/>
      <c r="AX257" s="155"/>
      <c r="AY257" s="155"/>
      <c r="AZ257" s="49"/>
      <c r="BA257" s="49"/>
      <c r="BB257" s="49"/>
      <c r="BC257" s="49"/>
      <c r="BD257" s="49"/>
      <c r="BE257" s="49"/>
      <c r="BF257" s="49"/>
      <c r="BG257" s="49"/>
      <c r="BH257" s="49"/>
      <c r="BI257" s="155"/>
      <c r="BJ257" s="155"/>
      <c r="BK257" s="155"/>
      <c r="BL257" s="49"/>
      <c r="BM257" s="49"/>
      <c r="BN257" s="49"/>
      <c r="BO257" s="49"/>
      <c r="BP257" s="49"/>
      <c r="BQ257" s="49"/>
      <c r="BR257" s="49"/>
      <c r="BS257" s="49"/>
      <c r="BT257" s="271" t="s">
        <v>757</v>
      </c>
      <c r="BU257" s="280" t="s">
        <v>628</v>
      </c>
      <c r="BV257" s="155">
        <v>0</v>
      </c>
      <c r="BW257" s="49"/>
      <c r="BX257" s="49"/>
      <c r="BY257" s="49"/>
      <c r="BZ257" s="49"/>
      <c r="CA257" s="49"/>
      <c r="CB257" s="49"/>
      <c r="CC257" s="49"/>
      <c r="CD257" s="49"/>
      <c r="CE257" s="49"/>
      <c r="CF257" s="49"/>
      <c r="CG257" s="49"/>
      <c r="CH257" s="49"/>
      <c r="CI257" s="49"/>
      <c r="CJ257" s="49"/>
      <c r="CK257" s="49"/>
      <c r="CL257" s="49"/>
      <c r="CM257" s="49"/>
      <c r="CN257" s="49"/>
      <c r="CO257" s="49"/>
      <c r="CP257" s="49"/>
      <c r="CQ257" s="49"/>
      <c r="CR257" s="49"/>
      <c r="CS257" s="49"/>
      <c r="CT257" s="155"/>
      <c r="CU257" s="155"/>
      <c r="CV257" s="155"/>
      <c r="CW257" s="155"/>
      <c r="CX257" s="155"/>
      <c r="CY257" s="155"/>
      <c r="CZ257" s="155"/>
      <c r="DA257" s="155"/>
      <c r="DB257" s="155"/>
      <c r="DC257" s="155"/>
      <c r="DD257" s="155"/>
      <c r="DE257" s="155"/>
      <c r="DF257" s="155"/>
      <c r="DG257" s="155"/>
      <c r="DH257" s="155"/>
      <c r="DI257" s="155"/>
      <c r="DJ257" s="155"/>
      <c r="DK257" s="155"/>
      <c r="DL257" s="155"/>
      <c r="DM257" s="155"/>
      <c r="DN257" s="155"/>
      <c r="DO257" s="155"/>
      <c r="DP257" s="155"/>
      <c r="DQ257" s="155"/>
      <c r="DR257" s="155"/>
      <c r="DS257" s="155"/>
      <c r="DT257" s="155"/>
      <c r="DU257" s="155"/>
      <c r="DV257" s="155"/>
      <c r="DW257" s="155"/>
      <c r="DX257" s="155"/>
    </row>
    <row r="258" spans="1:128" ht="18" customHeight="1">
      <c r="A258" s="155"/>
      <c r="B258" s="155"/>
      <c r="C258" s="155"/>
      <c r="D258" s="155"/>
      <c r="E258" s="49">
        <v>2016</v>
      </c>
      <c r="F258" s="286" t="s">
        <v>930</v>
      </c>
      <c r="G258" s="155"/>
      <c r="H258" s="155"/>
      <c r="I258" s="270"/>
      <c r="J258" s="271" t="s">
        <v>1026</v>
      </c>
      <c r="K258" s="280" t="s">
        <v>612</v>
      </c>
      <c r="L258" s="270"/>
      <c r="M258" s="270"/>
      <c r="N258" s="270"/>
      <c r="O258" s="155"/>
      <c r="P258" s="155"/>
      <c r="Q258" s="155"/>
      <c r="R258" s="155"/>
      <c r="S258" s="155"/>
      <c r="T258" s="155"/>
      <c r="U258" s="158"/>
      <c r="V258" s="155"/>
      <c r="W258" s="155"/>
      <c r="X258" s="263"/>
      <c r="Y258" s="155"/>
      <c r="Z258" s="155"/>
      <c r="AA258" s="263"/>
      <c r="AB258" s="263"/>
      <c r="AC258" s="155"/>
      <c r="AD258" s="155"/>
      <c r="AE258" s="155"/>
      <c r="AF258" s="155"/>
      <c r="AG258" s="271"/>
      <c r="AH258" s="271" t="s">
        <v>910</v>
      </c>
      <c r="AI258" s="270">
        <v>2</v>
      </c>
      <c r="AJ258" s="155"/>
      <c r="AK258" s="271" t="s">
        <v>733</v>
      </c>
      <c r="AL258" s="271" t="s">
        <v>433</v>
      </c>
      <c r="AM258" s="155"/>
      <c r="AN258" s="282">
        <v>2024</v>
      </c>
      <c r="AO258" s="216" t="s">
        <v>996</v>
      </c>
      <c r="AP258" s="284" t="s">
        <v>638</v>
      </c>
      <c r="AQ258" s="285">
        <v>41</v>
      </c>
      <c r="AR258" s="155"/>
      <c r="AS258" s="155"/>
      <c r="AT258" s="155"/>
      <c r="AU258" s="155"/>
      <c r="AV258" s="155"/>
      <c r="AW258" s="155"/>
      <c r="AX258" s="155"/>
      <c r="AY258" s="155"/>
      <c r="AZ258" s="49"/>
      <c r="BA258" s="49"/>
      <c r="BB258" s="49"/>
      <c r="BC258" s="49"/>
      <c r="BD258" s="49"/>
      <c r="BE258" s="49"/>
      <c r="BF258" s="49"/>
      <c r="BG258" s="49"/>
      <c r="BH258" s="49"/>
      <c r="BI258" s="155"/>
      <c r="BJ258" s="155"/>
      <c r="BK258" s="155"/>
      <c r="BL258" s="49"/>
      <c r="BM258" s="49"/>
      <c r="BN258" s="49"/>
      <c r="BO258" s="49"/>
      <c r="BP258" s="49"/>
      <c r="BQ258" s="49"/>
      <c r="BR258" s="49"/>
      <c r="BS258" s="49"/>
      <c r="BT258" s="271" t="s">
        <v>763</v>
      </c>
      <c r="BU258" s="280" t="s">
        <v>645</v>
      </c>
      <c r="BV258" s="155">
        <v>0</v>
      </c>
      <c r="BW258" s="49"/>
      <c r="BX258" s="49"/>
      <c r="BY258" s="49"/>
      <c r="BZ258" s="49"/>
      <c r="CA258" s="49"/>
      <c r="CB258" s="49"/>
      <c r="CC258" s="49"/>
      <c r="CD258" s="49"/>
      <c r="CE258" s="49"/>
      <c r="CF258" s="49"/>
      <c r="CG258" s="49"/>
      <c r="CH258" s="49"/>
      <c r="CI258" s="49"/>
      <c r="CJ258" s="49"/>
      <c r="CK258" s="49"/>
      <c r="CL258" s="49"/>
      <c r="CM258" s="49"/>
      <c r="CN258" s="49"/>
      <c r="CO258" s="49"/>
      <c r="CP258" s="49"/>
      <c r="CQ258" s="49"/>
      <c r="CR258" s="49"/>
      <c r="CS258" s="49"/>
      <c r="CT258" s="155"/>
      <c r="CU258" s="155"/>
      <c r="CV258" s="155"/>
      <c r="CW258" s="155"/>
      <c r="CX258" s="155"/>
      <c r="CY258" s="155"/>
      <c r="CZ258" s="155"/>
      <c r="DA258" s="155"/>
      <c r="DB258" s="155"/>
      <c r="DC258" s="155"/>
      <c r="DD258" s="155"/>
      <c r="DE258" s="155"/>
      <c r="DF258" s="155"/>
      <c r="DG258" s="155"/>
      <c r="DH258" s="155"/>
      <c r="DI258" s="155"/>
      <c r="DJ258" s="155"/>
      <c r="DK258" s="155"/>
      <c r="DL258" s="155"/>
      <c r="DM258" s="155"/>
      <c r="DN258" s="155"/>
      <c r="DO258" s="155"/>
      <c r="DP258" s="155"/>
      <c r="DQ258" s="155"/>
      <c r="DR258" s="155"/>
      <c r="DS258" s="155"/>
      <c r="DT258" s="155"/>
      <c r="DU258" s="155"/>
      <c r="DV258" s="155"/>
      <c r="DW258" s="155"/>
      <c r="DX258" s="155"/>
    </row>
    <row r="259" spans="1:128" ht="18" customHeight="1">
      <c r="A259" s="155"/>
      <c r="B259" s="155"/>
      <c r="C259" s="155"/>
      <c r="D259" s="155"/>
      <c r="E259" s="49">
        <v>2017</v>
      </c>
      <c r="F259" s="286" t="s">
        <v>1027</v>
      </c>
      <c r="G259" s="155"/>
      <c r="H259" s="155"/>
      <c r="I259" s="270"/>
      <c r="J259" s="271" t="s">
        <v>1028</v>
      </c>
      <c r="K259" s="280" t="s">
        <v>645</v>
      </c>
      <c r="L259" s="270"/>
      <c r="M259" s="270"/>
      <c r="N259" s="270"/>
      <c r="O259" s="155"/>
      <c r="P259" s="155"/>
      <c r="Q259" s="155"/>
      <c r="R259" s="155"/>
      <c r="S259" s="155"/>
      <c r="T259" s="155"/>
      <c r="U259" s="158"/>
      <c r="V259" s="155"/>
      <c r="W259" s="155"/>
      <c r="X259" s="263"/>
      <c r="Y259" s="155"/>
      <c r="Z259" s="155"/>
      <c r="AA259" s="263"/>
      <c r="AB259" s="263"/>
      <c r="AC259" s="155"/>
      <c r="AD259" s="155"/>
      <c r="AE259" s="155"/>
      <c r="AF259" s="155"/>
      <c r="AG259" s="271"/>
      <c r="AH259" s="271" t="s">
        <v>913</v>
      </c>
      <c r="AI259" s="270">
        <v>5</v>
      </c>
      <c r="AJ259" s="155"/>
      <c r="AK259" s="271" t="s">
        <v>739</v>
      </c>
      <c r="AL259" s="271" t="s">
        <v>433</v>
      </c>
      <c r="AM259" s="155"/>
      <c r="AN259" s="282">
        <v>2025</v>
      </c>
      <c r="AO259" s="216" t="s">
        <v>996</v>
      </c>
      <c r="AP259" s="284" t="s">
        <v>704</v>
      </c>
      <c r="AQ259" s="285">
        <v>42</v>
      </c>
      <c r="AR259" s="155"/>
      <c r="AS259" s="155"/>
      <c r="AT259" s="155"/>
      <c r="AU259" s="155"/>
      <c r="AV259" s="155"/>
      <c r="AW259" s="155"/>
      <c r="AX259" s="155"/>
      <c r="AY259" s="155"/>
      <c r="AZ259" s="49"/>
      <c r="BA259" s="49"/>
      <c r="BB259" s="49"/>
      <c r="BC259" s="49"/>
      <c r="BD259" s="49"/>
      <c r="BE259" s="49"/>
      <c r="BF259" s="49"/>
      <c r="BG259" s="49"/>
      <c r="BH259" s="49"/>
      <c r="BI259" s="155"/>
      <c r="BJ259" s="155"/>
      <c r="BK259" s="155"/>
      <c r="BL259" s="49"/>
      <c r="BM259" s="49"/>
      <c r="BN259" s="49"/>
      <c r="BO259" s="49"/>
      <c r="BP259" s="49"/>
      <c r="BQ259" s="49"/>
      <c r="BR259" s="49"/>
      <c r="BS259" s="49"/>
      <c r="BT259" s="271" t="s">
        <v>769</v>
      </c>
      <c r="BU259" s="280" t="s">
        <v>622</v>
      </c>
      <c r="BV259" s="155">
        <v>0</v>
      </c>
      <c r="BW259" s="49"/>
      <c r="BX259" s="49"/>
      <c r="BY259" s="49"/>
      <c r="BZ259" s="49"/>
      <c r="CA259" s="49"/>
      <c r="CB259" s="49"/>
      <c r="CC259" s="49"/>
      <c r="CD259" s="49"/>
      <c r="CE259" s="49"/>
      <c r="CF259" s="49"/>
      <c r="CG259" s="49"/>
      <c r="CH259" s="49"/>
      <c r="CI259" s="49"/>
      <c r="CJ259" s="49"/>
      <c r="CK259" s="49"/>
      <c r="CL259" s="49"/>
      <c r="CM259" s="49"/>
      <c r="CN259" s="49"/>
      <c r="CO259" s="49"/>
      <c r="CP259" s="49"/>
      <c r="CQ259" s="49"/>
      <c r="CR259" s="49"/>
      <c r="CS259" s="49"/>
      <c r="CT259" s="155"/>
      <c r="CU259" s="155"/>
      <c r="CV259" s="155"/>
      <c r="CW259" s="155"/>
      <c r="CX259" s="155"/>
      <c r="CY259" s="155"/>
      <c r="CZ259" s="155"/>
      <c r="DA259" s="155"/>
      <c r="DB259" s="155"/>
      <c r="DC259" s="155"/>
      <c r="DD259" s="155"/>
      <c r="DE259" s="155"/>
      <c r="DF259" s="155"/>
      <c r="DG259" s="155"/>
      <c r="DH259" s="155"/>
      <c r="DI259" s="155"/>
      <c r="DJ259" s="155"/>
      <c r="DK259" s="155"/>
      <c r="DL259" s="155"/>
      <c r="DM259" s="155"/>
      <c r="DN259" s="155"/>
      <c r="DO259" s="155"/>
      <c r="DP259" s="155"/>
      <c r="DQ259" s="155"/>
      <c r="DR259" s="155"/>
      <c r="DS259" s="155"/>
      <c r="DT259" s="155"/>
      <c r="DU259" s="155"/>
      <c r="DV259" s="155"/>
      <c r="DW259" s="155"/>
      <c r="DX259" s="155"/>
    </row>
    <row r="260" spans="1:128" ht="18" customHeight="1">
      <c r="A260" s="155"/>
      <c r="B260" s="155"/>
      <c r="C260" s="155"/>
      <c r="D260" s="155"/>
      <c r="E260" s="49">
        <v>2018</v>
      </c>
      <c r="F260" s="286" t="s">
        <v>906</v>
      </c>
      <c r="G260" s="158"/>
      <c r="H260" s="155"/>
      <c r="I260" s="270"/>
      <c r="J260" s="271" t="s">
        <v>1029</v>
      </c>
      <c r="K260" s="280" t="s">
        <v>645</v>
      </c>
      <c r="L260" s="270"/>
      <c r="M260" s="270"/>
      <c r="N260" s="270"/>
      <c r="O260" s="155"/>
      <c r="P260" s="155"/>
      <c r="Q260" s="155"/>
      <c r="R260" s="155"/>
      <c r="S260" s="155"/>
      <c r="T260" s="155"/>
      <c r="U260" s="158"/>
      <c r="V260" s="155"/>
      <c r="W260" s="155"/>
      <c r="X260" s="263"/>
      <c r="Y260" s="155"/>
      <c r="Z260" s="155"/>
      <c r="AA260" s="263"/>
      <c r="AB260" s="263"/>
      <c r="AC260" s="155"/>
      <c r="AD260" s="155"/>
      <c r="AE260" s="155"/>
      <c r="AF260" s="155"/>
      <c r="AG260" s="271"/>
      <c r="AH260" s="271" t="s">
        <v>917</v>
      </c>
      <c r="AI260" s="270">
        <v>1</v>
      </c>
      <c r="AJ260" s="155"/>
      <c r="AK260" s="271" t="s">
        <v>745</v>
      </c>
      <c r="AL260" s="271" t="s">
        <v>499</v>
      </c>
      <c r="AM260" s="155"/>
      <c r="AN260" s="282">
        <v>2026</v>
      </c>
      <c r="AO260" s="216" t="s">
        <v>955</v>
      </c>
      <c r="AP260" s="284" t="s">
        <v>757</v>
      </c>
      <c r="AQ260" s="285">
        <v>43</v>
      </c>
      <c r="AR260" s="155"/>
      <c r="AS260" s="155"/>
      <c r="AT260" s="155"/>
      <c r="AU260" s="155"/>
      <c r="AV260" s="155"/>
      <c r="AW260" s="155"/>
      <c r="AX260" s="155"/>
      <c r="AY260" s="155"/>
      <c r="AZ260" s="49"/>
      <c r="BA260" s="49"/>
      <c r="BB260" s="49"/>
      <c r="BC260" s="49"/>
      <c r="BD260" s="49"/>
      <c r="BE260" s="49"/>
      <c r="BF260" s="49"/>
      <c r="BG260" s="49"/>
      <c r="BH260" s="49"/>
      <c r="BI260" s="155"/>
      <c r="BJ260" s="155"/>
      <c r="BK260" s="155"/>
      <c r="BL260" s="49"/>
      <c r="BM260" s="49"/>
      <c r="BN260" s="49"/>
      <c r="BO260" s="49"/>
      <c r="BP260" s="49"/>
      <c r="BQ260" s="49"/>
      <c r="BR260" s="49"/>
      <c r="BS260" s="49"/>
      <c r="BT260" s="271" t="s">
        <v>774</v>
      </c>
      <c r="BU260" s="280" t="s">
        <v>622</v>
      </c>
      <c r="BV260" s="155">
        <v>1</v>
      </c>
      <c r="BW260" s="49"/>
      <c r="BX260" s="49"/>
      <c r="BY260" s="49"/>
      <c r="BZ260" s="49"/>
      <c r="CA260" s="49"/>
      <c r="CB260" s="49"/>
      <c r="CC260" s="49"/>
      <c r="CD260" s="49"/>
      <c r="CE260" s="49"/>
      <c r="CF260" s="49"/>
      <c r="CG260" s="49"/>
      <c r="CH260" s="49"/>
      <c r="CI260" s="49"/>
      <c r="CJ260" s="49"/>
      <c r="CK260" s="49"/>
      <c r="CL260" s="49"/>
      <c r="CM260" s="49"/>
      <c r="CN260" s="49"/>
      <c r="CO260" s="49"/>
      <c r="CP260" s="49"/>
      <c r="CQ260" s="49"/>
      <c r="CR260" s="49"/>
      <c r="CS260" s="49"/>
      <c r="CT260" s="155"/>
      <c r="CU260" s="155"/>
      <c r="CV260" s="155"/>
      <c r="CW260" s="155"/>
      <c r="CX260" s="155"/>
      <c r="CY260" s="155"/>
      <c r="CZ260" s="155"/>
      <c r="DA260" s="155"/>
      <c r="DB260" s="155"/>
      <c r="DC260" s="155"/>
      <c r="DD260" s="155"/>
      <c r="DE260" s="155"/>
      <c r="DF260" s="155"/>
      <c r="DG260" s="155"/>
      <c r="DH260" s="155"/>
      <c r="DI260" s="155"/>
      <c r="DJ260" s="155"/>
      <c r="DK260" s="155"/>
      <c r="DL260" s="155"/>
      <c r="DM260" s="155"/>
      <c r="DN260" s="155"/>
      <c r="DO260" s="155"/>
      <c r="DP260" s="155"/>
      <c r="DQ260" s="155"/>
      <c r="DR260" s="155"/>
      <c r="DS260" s="155"/>
      <c r="DT260" s="155"/>
      <c r="DU260" s="155"/>
      <c r="DV260" s="155"/>
      <c r="DW260" s="155"/>
      <c r="DX260" s="155"/>
    </row>
    <row r="261" spans="1:128" ht="18" customHeight="1">
      <c r="A261" s="155"/>
      <c r="B261" s="155"/>
      <c r="C261" s="155"/>
      <c r="D261" s="155"/>
      <c r="E261" s="49">
        <v>2019</v>
      </c>
      <c r="F261" s="286" t="s">
        <v>746</v>
      </c>
      <c r="G261" s="158"/>
      <c r="H261" s="155"/>
      <c r="I261" s="270"/>
      <c r="J261" s="271" t="s">
        <v>1021</v>
      </c>
      <c r="K261" s="280" t="s">
        <v>612</v>
      </c>
      <c r="L261" s="270"/>
      <c r="M261" s="270"/>
      <c r="N261" s="270"/>
      <c r="O261" s="155"/>
      <c r="P261" s="155"/>
      <c r="Q261" s="155"/>
      <c r="R261" s="155"/>
      <c r="S261" s="155"/>
      <c r="T261" s="155"/>
      <c r="U261" s="158"/>
      <c r="V261" s="155"/>
      <c r="W261" s="155"/>
      <c r="X261" s="263"/>
      <c r="Y261" s="155"/>
      <c r="Z261" s="155"/>
      <c r="AA261" s="263"/>
      <c r="AB261" s="263"/>
      <c r="AC261" s="155"/>
      <c r="AD261" s="155"/>
      <c r="AE261" s="155"/>
      <c r="AF261" s="155"/>
      <c r="AG261" s="271"/>
      <c r="AH261" s="271" t="s">
        <v>921</v>
      </c>
      <c r="AI261" s="270">
        <v>3</v>
      </c>
      <c r="AJ261" s="155"/>
      <c r="AK261" s="271" t="s">
        <v>751</v>
      </c>
      <c r="AL261" s="271" t="s">
        <v>499</v>
      </c>
      <c r="AM261" s="155"/>
      <c r="AN261" s="282">
        <v>2027</v>
      </c>
      <c r="AO261" s="216" t="s">
        <v>955</v>
      </c>
      <c r="AP261" s="284" t="s">
        <v>853</v>
      </c>
      <c r="AQ261" s="285">
        <v>44</v>
      </c>
      <c r="AR261" s="155"/>
      <c r="AS261" s="155"/>
      <c r="AT261" s="155"/>
      <c r="AU261" s="155"/>
      <c r="AV261" s="155"/>
      <c r="AW261" s="155"/>
      <c r="AX261" s="155"/>
      <c r="AY261" s="155"/>
      <c r="AZ261" s="49"/>
      <c r="BA261" s="49"/>
      <c r="BB261" s="49"/>
      <c r="BC261" s="49"/>
      <c r="BD261" s="49"/>
      <c r="BE261" s="49"/>
      <c r="BF261" s="49"/>
      <c r="BG261" s="49"/>
      <c r="BH261" s="49"/>
      <c r="BI261" s="155"/>
      <c r="BJ261" s="155"/>
      <c r="BK261" s="155"/>
      <c r="BL261" s="49"/>
      <c r="BM261" s="49"/>
      <c r="BN261" s="49"/>
      <c r="BO261" s="49"/>
      <c r="BP261" s="49"/>
      <c r="BQ261" s="49"/>
      <c r="BR261" s="49"/>
      <c r="BS261" s="49"/>
      <c r="BT261" s="271" t="s">
        <v>778</v>
      </c>
      <c r="BU261" s="280" t="s">
        <v>645</v>
      </c>
      <c r="BV261" s="155">
        <v>1</v>
      </c>
      <c r="BW261" s="49"/>
      <c r="BX261" s="49"/>
      <c r="BY261" s="49"/>
      <c r="BZ261" s="49"/>
      <c r="CA261" s="49"/>
      <c r="CB261" s="49"/>
      <c r="CC261" s="49"/>
      <c r="CD261" s="49"/>
      <c r="CE261" s="49"/>
      <c r="CF261" s="49"/>
      <c r="CG261" s="49"/>
      <c r="CH261" s="49"/>
      <c r="CI261" s="49"/>
      <c r="CJ261" s="49"/>
      <c r="CK261" s="49"/>
      <c r="CL261" s="49"/>
      <c r="CM261" s="49"/>
      <c r="CN261" s="49"/>
      <c r="CO261" s="49"/>
      <c r="CP261" s="49"/>
      <c r="CQ261" s="49"/>
      <c r="CR261" s="49"/>
      <c r="CS261" s="49"/>
      <c r="CT261" s="155"/>
      <c r="CU261" s="155"/>
      <c r="CV261" s="155"/>
      <c r="CW261" s="155"/>
      <c r="CX261" s="155"/>
      <c r="CY261" s="155"/>
      <c r="CZ261" s="155"/>
      <c r="DA261" s="155"/>
      <c r="DB261" s="155"/>
      <c r="DC261" s="155"/>
      <c r="DD261" s="155"/>
      <c r="DE261" s="155"/>
      <c r="DF261" s="155"/>
      <c r="DG261" s="155"/>
      <c r="DH261" s="155"/>
      <c r="DI261" s="155"/>
      <c r="DJ261" s="155"/>
      <c r="DK261" s="155"/>
      <c r="DL261" s="155"/>
      <c r="DM261" s="155"/>
      <c r="DN261" s="155"/>
      <c r="DO261" s="155"/>
      <c r="DP261" s="155"/>
      <c r="DQ261" s="155"/>
      <c r="DR261" s="155"/>
      <c r="DS261" s="155"/>
      <c r="DT261" s="155"/>
      <c r="DU261" s="155"/>
      <c r="DV261" s="155"/>
      <c r="DW261" s="155"/>
      <c r="DX261" s="155"/>
    </row>
    <row r="262" spans="1:128" ht="18" customHeight="1">
      <c r="A262" s="155"/>
      <c r="B262" s="155"/>
      <c r="C262" s="155"/>
      <c r="D262" s="155"/>
      <c r="E262" s="49">
        <v>2020</v>
      </c>
      <c r="F262" s="286" t="s">
        <v>930</v>
      </c>
      <c r="G262" s="158"/>
      <c r="H262" s="155"/>
      <c r="I262" s="270"/>
      <c r="J262" s="271" t="s">
        <v>1030</v>
      </c>
      <c r="K262" s="280" t="s">
        <v>622</v>
      </c>
      <c r="L262" s="270"/>
      <c r="M262" s="270"/>
      <c r="N262" s="270"/>
      <c r="O262" s="155"/>
      <c r="P262" s="155"/>
      <c r="Q262" s="155"/>
      <c r="R262" s="155"/>
      <c r="S262" s="155"/>
      <c r="T262" s="155"/>
      <c r="U262" s="158"/>
      <c r="V262" s="155"/>
      <c r="W262" s="155"/>
      <c r="X262" s="263"/>
      <c r="Y262" s="155"/>
      <c r="Z262" s="155"/>
      <c r="AA262" s="263"/>
      <c r="AB262" s="263"/>
      <c r="AC262" s="155"/>
      <c r="AD262" s="155"/>
      <c r="AE262" s="155"/>
      <c r="AF262" s="155"/>
      <c r="AG262" s="271"/>
      <c r="AH262" s="271" t="s">
        <v>923</v>
      </c>
      <c r="AI262" s="270">
        <v>6</v>
      </c>
      <c r="AJ262" s="155"/>
      <c r="AK262" s="271" t="s">
        <v>756</v>
      </c>
      <c r="AL262" s="271" t="s">
        <v>499</v>
      </c>
      <c r="AM262" s="155"/>
      <c r="AN262" s="282">
        <v>2028</v>
      </c>
      <c r="AO262" s="216" t="s">
        <v>946</v>
      </c>
      <c r="AP262" s="284" t="s">
        <v>907</v>
      </c>
      <c r="AQ262" s="285">
        <v>45</v>
      </c>
      <c r="AR262" s="155"/>
      <c r="AS262" s="155"/>
      <c r="AT262" s="155"/>
      <c r="AU262" s="155"/>
      <c r="AV262" s="155"/>
      <c r="AW262" s="155"/>
      <c r="AX262" s="155"/>
      <c r="AY262" s="155"/>
      <c r="AZ262" s="49"/>
      <c r="BA262" s="49"/>
      <c r="BB262" s="49"/>
      <c r="BC262" s="49"/>
      <c r="BD262" s="49"/>
      <c r="BE262" s="49"/>
      <c r="BF262" s="49"/>
      <c r="BG262" s="49"/>
      <c r="BH262" s="49"/>
      <c r="BI262" s="155"/>
      <c r="BJ262" s="155"/>
      <c r="BK262" s="155"/>
      <c r="BL262" s="49"/>
      <c r="BM262" s="49"/>
      <c r="BN262" s="49"/>
      <c r="BO262" s="49"/>
      <c r="BP262" s="49"/>
      <c r="BQ262" s="49"/>
      <c r="BR262" s="49"/>
      <c r="BS262" s="49"/>
      <c r="BT262" s="271" t="s">
        <v>783</v>
      </c>
      <c r="BU262" s="280" t="s">
        <v>660</v>
      </c>
      <c r="BV262" s="155">
        <v>0</v>
      </c>
      <c r="BW262" s="49"/>
      <c r="BX262" s="49"/>
      <c r="BY262" s="49"/>
      <c r="BZ262" s="49"/>
      <c r="CA262" s="49"/>
      <c r="CB262" s="49"/>
      <c r="CC262" s="49"/>
      <c r="CD262" s="49"/>
      <c r="CE262" s="49"/>
      <c r="CF262" s="49"/>
      <c r="CG262" s="49"/>
      <c r="CH262" s="49"/>
      <c r="CI262" s="49"/>
      <c r="CJ262" s="49"/>
      <c r="CK262" s="49"/>
      <c r="CL262" s="49"/>
      <c r="CM262" s="49"/>
      <c r="CN262" s="49"/>
      <c r="CO262" s="49"/>
      <c r="CP262" s="49"/>
      <c r="CQ262" s="49"/>
      <c r="CR262" s="49"/>
      <c r="CS262" s="49"/>
      <c r="CT262" s="155"/>
      <c r="CU262" s="155"/>
      <c r="CV262" s="155"/>
      <c r="CW262" s="155"/>
      <c r="CX262" s="155"/>
      <c r="CY262" s="155"/>
      <c r="CZ262" s="155"/>
      <c r="DA262" s="155"/>
      <c r="DB262" s="155"/>
      <c r="DC262" s="155"/>
      <c r="DD262" s="155"/>
      <c r="DE262" s="155"/>
      <c r="DF262" s="155"/>
      <c r="DG262" s="155"/>
      <c r="DH262" s="155"/>
      <c r="DI262" s="155"/>
      <c r="DJ262" s="155"/>
      <c r="DK262" s="155"/>
      <c r="DL262" s="155"/>
      <c r="DM262" s="155"/>
      <c r="DN262" s="155"/>
      <c r="DO262" s="155"/>
      <c r="DP262" s="155"/>
      <c r="DQ262" s="155"/>
      <c r="DR262" s="155"/>
      <c r="DS262" s="155"/>
      <c r="DT262" s="155"/>
      <c r="DU262" s="155"/>
      <c r="DV262" s="155"/>
      <c r="DW262" s="155"/>
      <c r="DX262" s="155"/>
    </row>
    <row r="263" spans="1:128" ht="18" customHeight="1">
      <c r="A263" s="155"/>
      <c r="B263" s="155"/>
      <c r="C263" s="155"/>
      <c r="D263" s="155"/>
      <c r="E263" s="49">
        <v>2021</v>
      </c>
      <c r="F263" s="286" t="s">
        <v>1031</v>
      </c>
      <c r="G263" s="158"/>
      <c r="H263" s="155"/>
      <c r="I263" s="270"/>
      <c r="J263" s="271" t="s">
        <v>992</v>
      </c>
      <c r="K263" s="280" t="s">
        <v>622</v>
      </c>
      <c r="L263" s="270"/>
      <c r="M263" s="270"/>
      <c r="N263" s="270"/>
      <c r="O263" s="155"/>
      <c r="P263" s="155"/>
      <c r="Q263" s="155"/>
      <c r="R263" s="155"/>
      <c r="S263" s="155"/>
      <c r="T263" s="155"/>
      <c r="U263" s="158"/>
      <c r="V263" s="155"/>
      <c r="W263" s="155"/>
      <c r="X263" s="263"/>
      <c r="Y263" s="155"/>
      <c r="Z263" s="155"/>
      <c r="AA263" s="263"/>
      <c r="AB263" s="263"/>
      <c r="AC263" s="155"/>
      <c r="AD263" s="155"/>
      <c r="AE263" s="155"/>
      <c r="AF263" s="155"/>
      <c r="AG263" s="271"/>
      <c r="AH263" s="271" t="s">
        <v>953</v>
      </c>
      <c r="AI263" s="270">
        <v>9</v>
      </c>
      <c r="AJ263" s="155"/>
      <c r="AK263" s="271" t="s">
        <v>761</v>
      </c>
      <c r="AL263" s="271" t="s">
        <v>499</v>
      </c>
      <c r="AM263" s="155"/>
      <c r="AN263" s="282">
        <v>2029</v>
      </c>
      <c r="AO263" s="216" t="s">
        <v>946</v>
      </c>
      <c r="AP263" s="284" t="s">
        <v>953</v>
      </c>
      <c r="AQ263" s="285">
        <v>46</v>
      </c>
      <c r="AR263" s="155"/>
      <c r="AS263" s="155"/>
      <c r="AT263" s="155"/>
      <c r="AU263" s="155"/>
      <c r="AV263" s="155"/>
      <c r="AW263" s="155"/>
      <c r="AX263" s="155"/>
      <c r="AY263" s="155"/>
      <c r="AZ263" s="49"/>
      <c r="BA263" s="49"/>
      <c r="BB263" s="49"/>
      <c r="BC263" s="49"/>
      <c r="BD263" s="49"/>
      <c r="BE263" s="49"/>
      <c r="BF263" s="49"/>
      <c r="BG263" s="49"/>
      <c r="BH263" s="49"/>
      <c r="BI263" s="155"/>
      <c r="BJ263" s="155"/>
      <c r="BK263" s="155"/>
      <c r="BL263" s="49"/>
      <c r="BM263" s="49"/>
      <c r="BN263" s="49"/>
      <c r="BO263" s="49"/>
      <c r="BP263" s="49"/>
      <c r="BQ263" s="49"/>
      <c r="BR263" s="49"/>
      <c r="BS263" s="49"/>
      <c r="BT263" s="271" t="s">
        <v>788</v>
      </c>
      <c r="BU263" s="280" t="s">
        <v>660</v>
      </c>
      <c r="BV263" s="155">
        <v>0</v>
      </c>
      <c r="BW263" s="49"/>
      <c r="BX263" s="49"/>
      <c r="BY263" s="49"/>
      <c r="BZ263" s="49"/>
      <c r="CA263" s="49"/>
      <c r="CB263" s="49"/>
      <c r="CC263" s="49"/>
      <c r="CD263" s="49"/>
      <c r="CE263" s="49"/>
      <c r="CF263" s="49"/>
      <c r="CG263" s="49"/>
      <c r="CH263" s="49"/>
      <c r="CI263" s="49"/>
      <c r="CJ263" s="49"/>
      <c r="CK263" s="49"/>
      <c r="CL263" s="49"/>
      <c r="CM263" s="49"/>
      <c r="CN263" s="49"/>
      <c r="CO263" s="49"/>
      <c r="CP263" s="49"/>
      <c r="CQ263" s="49"/>
      <c r="CR263" s="49"/>
      <c r="CS263" s="49"/>
      <c r="CT263" s="155"/>
      <c r="CU263" s="155"/>
      <c r="CV263" s="155"/>
      <c r="CW263" s="155"/>
      <c r="CX263" s="155"/>
      <c r="CY263" s="155"/>
      <c r="CZ263" s="155"/>
      <c r="DA263" s="155"/>
      <c r="DB263" s="155"/>
      <c r="DC263" s="155"/>
      <c r="DD263" s="155"/>
      <c r="DE263" s="155"/>
      <c r="DF263" s="155"/>
      <c r="DG263" s="155"/>
      <c r="DH263" s="155"/>
      <c r="DI263" s="155"/>
      <c r="DJ263" s="155"/>
      <c r="DK263" s="155"/>
      <c r="DL263" s="155"/>
      <c r="DM263" s="155"/>
      <c r="DN263" s="155"/>
      <c r="DO263" s="155"/>
      <c r="DP263" s="155"/>
      <c r="DQ263" s="155"/>
      <c r="DR263" s="155"/>
      <c r="DS263" s="155"/>
      <c r="DT263" s="155"/>
      <c r="DU263" s="155"/>
      <c r="DV263" s="155"/>
      <c r="DW263" s="155"/>
      <c r="DX263" s="155"/>
    </row>
    <row r="264" spans="1:128" ht="18" customHeight="1">
      <c r="A264" s="155"/>
      <c r="B264" s="155"/>
      <c r="C264" s="155"/>
      <c r="D264" s="155"/>
      <c r="E264" s="49">
        <v>2022</v>
      </c>
      <c r="F264" s="286" t="s">
        <v>934</v>
      </c>
      <c r="G264" s="158"/>
      <c r="H264" s="155"/>
      <c r="I264" s="270"/>
      <c r="J264" s="271" t="s">
        <v>1032</v>
      </c>
      <c r="K264" s="280" t="s">
        <v>612</v>
      </c>
      <c r="L264" s="270"/>
      <c r="M264" s="270"/>
      <c r="N264" s="270"/>
      <c r="O264" s="155"/>
      <c r="P264" s="155"/>
      <c r="Q264" s="155"/>
      <c r="R264" s="155"/>
      <c r="S264" s="155"/>
      <c r="T264" s="155"/>
      <c r="U264" s="158"/>
      <c r="V264" s="155"/>
      <c r="W264" s="155"/>
      <c r="X264" s="263"/>
      <c r="Y264" s="155"/>
      <c r="Z264" s="155"/>
      <c r="AA264" s="263"/>
      <c r="AB264" s="263"/>
      <c r="AC264" s="155"/>
      <c r="AD264" s="155"/>
      <c r="AE264" s="155"/>
      <c r="AF264" s="155"/>
      <c r="AG264" s="271"/>
      <c r="AH264" s="271" t="s">
        <v>949</v>
      </c>
      <c r="AI264" s="270">
        <v>7</v>
      </c>
      <c r="AJ264" s="155"/>
      <c r="AK264" s="271" t="s">
        <v>767</v>
      </c>
      <c r="AL264" s="271" t="s">
        <v>499</v>
      </c>
      <c r="AM264" s="155"/>
      <c r="AN264" s="282">
        <v>2030</v>
      </c>
      <c r="AO264" s="216" t="s">
        <v>971</v>
      </c>
      <c r="AP264" s="284" t="s">
        <v>994</v>
      </c>
      <c r="AQ264" s="285">
        <v>47</v>
      </c>
      <c r="AR264" s="155"/>
      <c r="AS264" s="155"/>
      <c r="AT264" s="155"/>
      <c r="AU264" s="155"/>
      <c r="AV264" s="155"/>
      <c r="AW264" s="155"/>
      <c r="AX264" s="155"/>
      <c r="AY264" s="155"/>
      <c r="AZ264" s="49"/>
      <c r="BA264" s="49"/>
      <c r="BB264" s="49"/>
      <c r="BC264" s="49"/>
      <c r="BD264" s="49"/>
      <c r="BE264" s="49"/>
      <c r="BF264" s="49"/>
      <c r="BG264" s="49"/>
      <c r="BH264" s="49"/>
      <c r="BI264" s="155"/>
      <c r="BJ264" s="155"/>
      <c r="BK264" s="155"/>
      <c r="BL264" s="49"/>
      <c r="BM264" s="49"/>
      <c r="BN264" s="49"/>
      <c r="BO264" s="49"/>
      <c r="BP264" s="49"/>
      <c r="BQ264" s="49"/>
      <c r="BR264" s="49"/>
      <c r="BS264" s="49"/>
      <c r="BT264" s="271" t="s">
        <v>824</v>
      </c>
      <c r="BU264" s="280" t="s">
        <v>645</v>
      </c>
      <c r="BV264" s="155">
        <v>1</v>
      </c>
      <c r="BW264" s="49"/>
      <c r="BX264" s="49"/>
      <c r="BY264" s="49"/>
      <c r="BZ264" s="49"/>
      <c r="CA264" s="49"/>
      <c r="CB264" s="49"/>
      <c r="CC264" s="49"/>
      <c r="CD264" s="49"/>
      <c r="CE264" s="49"/>
      <c r="CF264" s="49"/>
      <c r="CG264" s="49"/>
      <c r="CH264" s="49"/>
      <c r="CI264" s="49"/>
      <c r="CJ264" s="49"/>
      <c r="CK264" s="49"/>
      <c r="CL264" s="49"/>
      <c r="CM264" s="49"/>
      <c r="CN264" s="49"/>
      <c r="CO264" s="49"/>
      <c r="CP264" s="49"/>
      <c r="CQ264" s="49"/>
      <c r="CR264" s="49"/>
      <c r="CS264" s="49"/>
      <c r="CT264" s="155"/>
      <c r="CU264" s="155"/>
      <c r="CV264" s="155"/>
      <c r="CW264" s="155"/>
      <c r="CX264" s="155"/>
      <c r="CY264" s="155"/>
      <c r="CZ264" s="155"/>
      <c r="DA264" s="155"/>
      <c r="DB264" s="155"/>
      <c r="DC264" s="155"/>
      <c r="DD264" s="155"/>
      <c r="DE264" s="155"/>
      <c r="DF264" s="155"/>
      <c r="DG264" s="155"/>
      <c r="DH264" s="155"/>
      <c r="DI264" s="155"/>
      <c r="DJ264" s="155"/>
      <c r="DK264" s="155"/>
      <c r="DL264" s="155"/>
      <c r="DM264" s="155"/>
      <c r="DN264" s="155"/>
      <c r="DO264" s="155"/>
      <c r="DP264" s="155"/>
      <c r="DQ264" s="155"/>
      <c r="DR264" s="155"/>
      <c r="DS264" s="155"/>
      <c r="DT264" s="155"/>
      <c r="DU264" s="155"/>
      <c r="DV264" s="155"/>
      <c r="DW264" s="155"/>
      <c r="DX264" s="155"/>
    </row>
    <row r="265" spans="1:128" ht="18" customHeight="1">
      <c r="A265" s="155"/>
      <c r="B265" s="155"/>
      <c r="C265" s="155"/>
      <c r="D265" s="155"/>
      <c r="E265" s="49">
        <v>2023</v>
      </c>
      <c r="F265" s="286" t="s">
        <v>746</v>
      </c>
      <c r="G265" s="158"/>
      <c r="H265" s="155"/>
      <c r="I265" s="270"/>
      <c r="J265" s="271" t="s">
        <v>1033</v>
      </c>
      <c r="K265" s="280" t="s">
        <v>612</v>
      </c>
      <c r="L265" s="270"/>
      <c r="M265" s="270"/>
      <c r="N265" s="270"/>
      <c r="O265" s="155"/>
      <c r="P265" s="155"/>
      <c r="Q265" s="155"/>
      <c r="R265" s="155"/>
      <c r="S265" s="155"/>
      <c r="T265" s="155"/>
      <c r="U265" s="158"/>
      <c r="V265" s="155"/>
      <c r="W265" s="155"/>
      <c r="X265" s="263"/>
      <c r="Y265" s="155"/>
      <c r="Z265" s="155"/>
      <c r="AA265" s="263"/>
      <c r="AB265" s="263"/>
      <c r="AC265" s="155"/>
      <c r="AD265" s="155"/>
      <c r="AE265" s="155"/>
      <c r="AF265" s="155"/>
      <c r="AG265" s="271"/>
      <c r="AH265" s="271" t="s">
        <v>945</v>
      </c>
      <c r="AI265" s="270">
        <v>10</v>
      </c>
      <c r="AJ265" s="155"/>
      <c r="AK265" s="271" t="s">
        <v>773</v>
      </c>
      <c r="AL265" s="271" t="s">
        <v>499</v>
      </c>
      <c r="AM265" s="155"/>
      <c r="AN265" s="282">
        <v>2031</v>
      </c>
      <c r="AO265" s="216" t="s">
        <v>971</v>
      </c>
      <c r="AP265" s="284" t="s">
        <v>1028</v>
      </c>
      <c r="AQ265" s="285">
        <v>48</v>
      </c>
      <c r="AR265" s="155"/>
      <c r="AS265" s="155"/>
      <c r="AT265" s="155"/>
      <c r="AU265" s="155"/>
      <c r="AV265" s="155"/>
      <c r="AW265" s="155"/>
      <c r="AX265" s="155"/>
      <c r="AY265" s="155"/>
      <c r="AZ265" s="49"/>
      <c r="BA265" s="49"/>
      <c r="BB265" s="49"/>
      <c r="BC265" s="49"/>
      <c r="BD265" s="49"/>
      <c r="BE265" s="49"/>
      <c r="BF265" s="49"/>
      <c r="BG265" s="49"/>
      <c r="BH265" s="49"/>
      <c r="BI265" s="155"/>
      <c r="BJ265" s="155"/>
      <c r="BK265" s="155"/>
      <c r="BL265" s="49"/>
      <c r="BM265" s="49"/>
      <c r="BN265" s="49"/>
      <c r="BO265" s="49"/>
      <c r="BP265" s="49"/>
      <c r="BQ265" s="49"/>
      <c r="BR265" s="49"/>
      <c r="BS265" s="49"/>
      <c r="BT265" s="271" t="s">
        <v>828</v>
      </c>
      <c r="BU265" s="155" t="s">
        <v>612</v>
      </c>
      <c r="BV265" s="155">
        <v>0</v>
      </c>
      <c r="BW265" s="49"/>
      <c r="BX265" s="49"/>
      <c r="BY265" s="49"/>
      <c r="BZ265" s="49"/>
      <c r="CA265" s="49"/>
      <c r="CB265" s="49"/>
      <c r="CC265" s="49"/>
      <c r="CD265" s="49"/>
      <c r="CE265" s="49"/>
      <c r="CF265" s="49"/>
      <c r="CG265" s="49"/>
      <c r="CH265" s="49"/>
      <c r="CI265" s="49"/>
      <c r="CJ265" s="49"/>
      <c r="CK265" s="49"/>
      <c r="CL265" s="49"/>
      <c r="CM265" s="49"/>
      <c r="CN265" s="49"/>
      <c r="CO265" s="49"/>
      <c r="CP265" s="49"/>
      <c r="CQ265" s="49"/>
      <c r="CR265" s="49"/>
      <c r="CS265" s="49"/>
      <c r="CT265" s="155"/>
      <c r="CU265" s="155"/>
      <c r="CV265" s="155"/>
      <c r="CW265" s="155"/>
      <c r="CX265" s="155"/>
      <c r="CY265" s="155"/>
      <c r="CZ265" s="155"/>
      <c r="DA265" s="155"/>
      <c r="DB265" s="155"/>
      <c r="DC265" s="155"/>
      <c r="DD265" s="155"/>
      <c r="DE265" s="155"/>
      <c r="DF265" s="155"/>
      <c r="DG265" s="155"/>
      <c r="DH265" s="155"/>
      <c r="DI265" s="155"/>
      <c r="DJ265" s="155"/>
      <c r="DK265" s="155"/>
      <c r="DL265" s="155"/>
      <c r="DM265" s="155"/>
      <c r="DN265" s="155"/>
      <c r="DO265" s="155"/>
      <c r="DP265" s="155"/>
      <c r="DQ265" s="155"/>
      <c r="DR265" s="155"/>
      <c r="DS265" s="155"/>
      <c r="DT265" s="155"/>
      <c r="DU265" s="155"/>
      <c r="DV265" s="155"/>
      <c r="DW265" s="155"/>
      <c r="DX265" s="155"/>
    </row>
    <row r="266" spans="1:128" ht="18" customHeight="1">
      <c r="A266" s="155"/>
      <c r="B266" s="155"/>
      <c r="C266" s="155"/>
      <c r="D266" s="155"/>
      <c r="E266" s="49">
        <v>2024</v>
      </c>
      <c r="F266" s="286" t="s">
        <v>1034</v>
      </c>
      <c r="G266" s="158"/>
      <c r="H266" s="155"/>
      <c r="I266" s="270"/>
      <c r="J266" s="271" t="s">
        <v>1035</v>
      </c>
      <c r="K266" s="280" t="s">
        <v>612</v>
      </c>
      <c r="L266" s="270"/>
      <c r="M266" s="270"/>
      <c r="N266" s="270"/>
      <c r="O266" s="155"/>
      <c r="P266" s="155"/>
      <c r="Q266" s="155"/>
      <c r="R266" s="155"/>
      <c r="S266" s="155"/>
      <c r="T266" s="155"/>
      <c r="U266" s="158"/>
      <c r="V266" s="155"/>
      <c r="W266" s="155"/>
      <c r="X266" s="263"/>
      <c r="Y266" s="155"/>
      <c r="Z266" s="155"/>
      <c r="AA266" s="263"/>
      <c r="AB266" s="263"/>
      <c r="AC266" s="155"/>
      <c r="AD266" s="155"/>
      <c r="AE266" s="155"/>
      <c r="AF266" s="155"/>
      <c r="AG266" s="271"/>
      <c r="AH266" s="271" t="s">
        <v>941</v>
      </c>
      <c r="AI266" s="270">
        <v>11</v>
      </c>
      <c r="AJ266" s="155"/>
      <c r="AK266" s="271" t="s">
        <v>777</v>
      </c>
      <c r="AL266" s="271" t="s">
        <v>499</v>
      </c>
      <c r="AM266" s="155"/>
      <c r="AN266" s="282">
        <v>2032</v>
      </c>
      <c r="AO266" s="216" t="s">
        <v>979</v>
      </c>
      <c r="AP266" s="284" t="s">
        <v>1036</v>
      </c>
      <c r="AQ266" s="285">
        <v>49</v>
      </c>
      <c r="AR266" s="155"/>
      <c r="AS266" s="155"/>
      <c r="AT266" s="155"/>
      <c r="AU266" s="155"/>
      <c r="AV266" s="155"/>
      <c r="AW266" s="155"/>
      <c r="AX266" s="155"/>
      <c r="AY266" s="155"/>
      <c r="AZ266" s="49"/>
      <c r="BA266" s="49"/>
      <c r="BB266" s="49"/>
      <c r="BC266" s="49"/>
      <c r="BD266" s="49"/>
      <c r="BE266" s="49"/>
      <c r="BF266" s="49"/>
      <c r="BG266" s="49"/>
      <c r="BH266" s="49"/>
      <c r="BI266" s="155"/>
      <c r="BJ266" s="155"/>
      <c r="BK266" s="155"/>
      <c r="BL266" s="49"/>
      <c r="BM266" s="49"/>
      <c r="BN266" s="49"/>
      <c r="BO266" s="49"/>
      <c r="BP266" s="49"/>
      <c r="BQ266" s="49"/>
      <c r="BR266" s="49"/>
      <c r="BS266" s="49"/>
      <c r="BT266" s="271" t="s">
        <v>833</v>
      </c>
      <c r="BU266" s="155" t="s">
        <v>612</v>
      </c>
      <c r="BV266" s="155">
        <v>0</v>
      </c>
      <c r="BW266" s="49"/>
      <c r="BX266" s="49"/>
      <c r="BY266" s="49"/>
      <c r="BZ266" s="49"/>
      <c r="CA266" s="49"/>
      <c r="CB266" s="49"/>
      <c r="CC266" s="49"/>
      <c r="CD266" s="49"/>
      <c r="CE266" s="49"/>
      <c r="CF266" s="49"/>
      <c r="CG266" s="49"/>
      <c r="CH266" s="49"/>
      <c r="CI266" s="49"/>
      <c r="CJ266" s="49"/>
      <c r="CK266" s="49"/>
      <c r="CL266" s="49"/>
      <c r="CM266" s="49"/>
      <c r="CN266" s="49"/>
      <c r="CO266" s="49"/>
      <c r="CP266" s="49"/>
      <c r="CQ266" s="49"/>
      <c r="CR266" s="49"/>
      <c r="CS266" s="49"/>
      <c r="CT266" s="155"/>
      <c r="CU266" s="155"/>
      <c r="CV266" s="155"/>
      <c r="CW266" s="155"/>
      <c r="CX266" s="155"/>
      <c r="CY266" s="155"/>
      <c r="CZ266" s="155"/>
      <c r="DA266" s="155"/>
      <c r="DB266" s="155"/>
      <c r="DC266" s="155"/>
      <c r="DD266" s="155"/>
      <c r="DE266" s="155"/>
      <c r="DF266" s="155"/>
      <c r="DG266" s="155"/>
      <c r="DH266" s="155"/>
      <c r="DI266" s="155"/>
      <c r="DJ266" s="155"/>
      <c r="DK266" s="155"/>
      <c r="DL266" s="155"/>
      <c r="DM266" s="155"/>
      <c r="DN266" s="155"/>
      <c r="DO266" s="155"/>
      <c r="DP266" s="155"/>
      <c r="DQ266" s="155"/>
      <c r="DR266" s="155"/>
      <c r="DS266" s="155"/>
      <c r="DT266" s="155"/>
      <c r="DU266" s="155"/>
      <c r="DV266" s="155"/>
      <c r="DW266" s="155"/>
      <c r="DX266" s="155"/>
    </row>
    <row r="267" spans="1:128" ht="18" customHeight="1">
      <c r="A267" s="155"/>
      <c r="B267" s="155"/>
      <c r="C267" s="155"/>
      <c r="D267" s="155"/>
      <c r="E267" s="49">
        <v>2025</v>
      </c>
      <c r="F267" s="286" t="s">
        <v>1031</v>
      </c>
      <c r="G267" s="158"/>
      <c r="H267" s="155"/>
      <c r="I267" s="270"/>
      <c r="J267" s="271" t="s">
        <v>1037</v>
      </c>
      <c r="K267" s="280" t="s">
        <v>660</v>
      </c>
      <c r="L267" s="270"/>
      <c r="M267" s="270"/>
      <c r="N267" s="270"/>
      <c r="O267" s="155"/>
      <c r="P267" s="155"/>
      <c r="Q267" s="155"/>
      <c r="R267" s="155"/>
      <c r="S267" s="155"/>
      <c r="T267" s="155"/>
      <c r="U267" s="158"/>
      <c r="V267" s="155"/>
      <c r="W267" s="155"/>
      <c r="X267" s="263"/>
      <c r="Y267" s="155"/>
      <c r="Z267" s="155"/>
      <c r="AA267" s="263"/>
      <c r="AB267" s="263"/>
      <c r="AC267" s="155"/>
      <c r="AD267" s="155"/>
      <c r="AE267" s="155"/>
      <c r="AF267" s="155"/>
      <c r="AG267" s="271"/>
      <c r="AH267" s="271" t="s">
        <v>938</v>
      </c>
      <c r="AI267" s="270">
        <v>12</v>
      </c>
      <c r="AJ267" s="155"/>
      <c r="AK267" s="271" t="s">
        <v>782</v>
      </c>
      <c r="AL267" s="271" t="s">
        <v>499</v>
      </c>
      <c r="AM267" s="155"/>
      <c r="AN267" s="282">
        <v>2033</v>
      </c>
      <c r="AO267" s="216" t="s">
        <v>979</v>
      </c>
      <c r="AP267" s="284" t="s">
        <v>1038</v>
      </c>
      <c r="AQ267" s="285">
        <v>50</v>
      </c>
      <c r="AR267" s="155"/>
      <c r="AS267" s="155"/>
      <c r="AT267" s="155"/>
      <c r="AU267" s="155"/>
      <c r="AV267" s="155"/>
      <c r="AW267" s="155"/>
      <c r="AX267" s="155"/>
      <c r="AY267" s="155"/>
      <c r="AZ267" s="49"/>
      <c r="BA267" s="49"/>
      <c r="BB267" s="49"/>
      <c r="BC267" s="49"/>
      <c r="BD267" s="49"/>
      <c r="BE267" s="49"/>
      <c r="BF267" s="49"/>
      <c r="BG267" s="49"/>
      <c r="BH267" s="49"/>
      <c r="BI267" s="155"/>
      <c r="BJ267" s="155"/>
      <c r="BK267" s="155"/>
      <c r="BL267" s="49"/>
      <c r="BM267" s="49"/>
      <c r="BN267" s="49"/>
      <c r="BO267" s="49"/>
      <c r="BP267" s="49"/>
      <c r="BQ267" s="49"/>
      <c r="BR267" s="49"/>
      <c r="BS267" s="49"/>
      <c r="BT267" s="271" t="s">
        <v>838</v>
      </c>
      <c r="BU267" s="155" t="s">
        <v>645</v>
      </c>
      <c r="BV267" s="155">
        <v>0</v>
      </c>
      <c r="BW267" s="49"/>
      <c r="BX267" s="49"/>
      <c r="BY267" s="49"/>
      <c r="BZ267" s="49"/>
      <c r="CA267" s="49"/>
      <c r="CB267" s="49"/>
      <c r="CC267" s="49"/>
      <c r="CD267" s="49"/>
      <c r="CE267" s="49"/>
      <c r="CF267" s="49"/>
      <c r="CG267" s="49"/>
      <c r="CH267" s="49"/>
      <c r="CI267" s="49"/>
      <c r="CJ267" s="49"/>
      <c r="CK267" s="49"/>
      <c r="CL267" s="49"/>
      <c r="CM267" s="49"/>
      <c r="CN267" s="49"/>
      <c r="CO267" s="49"/>
      <c r="CP267" s="49"/>
      <c r="CQ267" s="49"/>
      <c r="CR267" s="49"/>
      <c r="CS267" s="49"/>
      <c r="CT267" s="155"/>
      <c r="CU267" s="155"/>
      <c r="CV267" s="155"/>
      <c r="CW267" s="155"/>
      <c r="CX267" s="155"/>
      <c r="CY267" s="155"/>
      <c r="CZ267" s="155"/>
      <c r="DA267" s="155"/>
      <c r="DB267" s="155"/>
      <c r="DC267" s="155"/>
      <c r="DD267" s="155"/>
      <c r="DE267" s="155"/>
      <c r="DF267" s="155"/>
      <c r="DG267" s="155"/>
      <c r="DH267" s="155"/>
      <c r="DI267" s="155"/>
      <c r="DJ267" s="155"/>
      <c r="DK267" s="155"/>
      <c r="DL267" s="155"/>
      <c r="DM267" s="155"/>
      <c r="DN267" s="155"/>
      <c r="DO267" s="155"/>
      <c r="DP267" s="155"/>
      <c r="DQ267" s="155"/>
      <c r="DR267" s="155"/>
      <c r="DS267" s="155"/>
      <c r="DT267" s="155"/>
      <c r="DU267" s="155"/>
      <c r="DV267" s="155"/>
      <c r="DW267" s="155"/>
      <c r="DX267" s="155"/>
    </row>
    <row r="268" spans="1:128" ht="18" customHeight="1">
      <c r="A268" s="155"/>
      <c r="B268" s="155"/>
      <c r="C268" s="155"/>
      <c r="D268" s="155"/>
      <c r="E268" s="49">
        <v>2026</v>
      </c>
      <c r="F268" s="286" t="s">
        <v>965</v>
      </c>
      <c r="G268" s="158"/>
      <c r="H268" s="155"/>
      <c r="I268" s="270"/>
      <c r="J268" s="271" t="s">
        <v>1039</v>
      </c>
      <c r="K268" s="280" t="s">
        <v>628</v>
      </c>
      <c r="L268" s="270"/>
      <c r="M268" s="270"/>
      <c r="N268" s="270"/>
      <c r="O268" s="155"/>
      <c r="P268" s="155"/>
      <c r="Q268" s="155"/>
      <c r="R268" s="155"/>
      <c r="S268" s="155"/>
      <c r="T268" s="155"/>
      <c r="U268" s="158"/>
      <c r="V268" s="155"/>
      <c r="W268" s="155"/>
      <c r="X268" s="263"/>
      <c r="Y268" s="155"/>
      <c r="Z268" s="155"/>
      <c r="AA268" s="263"/>
      <c r="AB268" s="263"/>
      <c r="AC268" s="155"/>
      <c r="AD268" s="155"/>
      <c r="AE268" s="155"/>
      <c r="AF268" s="155"/>
      <c r="AG268" s="271"/>
      <c r="AH268" s="271" t="s">
        <v>935</v>
      </c>
      <c r="AI268" s="270">
        <v>8</v>
      </c>
      <c r="AJ268" s="155"/>
      <c r="AK268" s="271" t="s">
        <v>787</v>
      </c>
      <c r="AL268" s="271" t="s">
        <v>499</v>
      </c>
      <c r="AM268" s="155"/>
      <c r="AN268" s="282">
        <v>2034</v>
      </c>
      <c r="AO268" s="216" t="s">
        <v>979</v>
      </c>
      <c r="AP268" s="284" t="s">
        <v>627</v>
      </c>
      <c r="AQ268" s="285">
        <v>51</v>
      </c>
      <c r="AR268" s="155"/>
      <c r="AS268" s="155"/>
      <c r="AT268" s="155"/>
      <c r="AU268" s="155"/>
      <c r="AV268" s="155"/>
      <c r="AW268" s="155"/>
      <c r="AX268" s="155"/>
      <c r="AY268" s="155"/>
      <c r="AZ268" s="49"/>
      <c r="BA268" s="49"/>
      <c r="BB268" s="49"/>
      <c r="BC268" s="49"/>
      <c r="BD268" s="49"/>
      <c r="BE268" s="49"/>
      <c r="BF268" s="49"/>
      <c r="BG268" s="49"/>
      <c r="BH268" s="49"/>
      <c r="BI268" s="155"/>
      <c r="BJ268" s="155"/>
      <c r="BK268" s="155"/>
      <c r="BL268" s="49"/>
      <c r="BM268" s="49"/>
      <c r="BN268" s="49"/>
      <c r="BO268" s="49"/>
      <c r="BP268" s="49"/>
      <c r="BQ268" s="49"/>
      <c r="BR268" s="49"/>
      <c r="BS268" s="49"/>
      <c r="BT268" s="271" t="s">
        <v>843</v>
      </c>
      <c r="BU268" s="155" t="s">
        <v>628</v>
      </c>
      <c r="BV268" s="155">
        <v>0</v>
      </c>
      <c r="BW268" s="49"/>
      <c r="BX268" s="49"/>
      <c r="BY268" s="49"/>
      <c r="BZ268" s="49"/>
      <c r="CA268" s="49"/>
      <c r="CB268" s="49"/>
      <c r="CC268" s="49"/>
      <c r="CD268" s="49"/>
      <c r="CE268" s="49"/>
      <c r="CF268" s="49"/>
      <c r="CG268" s="49"/>
      <c r="CH268" s="49"/>
      <c r="CI268" s="49"/>
      <c r="CJ268" s="49"/>
      <c r="CK268" s="49"/>
      <c r="CL268" s="49"/>
      <c r="CM268" s="49"/>
      <c r="CN268" s="49"/>
      <c r="CO268" s="49"/>
      <c r="CP268" s="49"/>
      <c r="CQ268" s="49"/>
      <c r="CR268" s="49"/>
      <c r="CS268" s="49"/>
      <c r="CT268" s="155"/>
      <c r="CU268" s="155"/>
      <c r="CV268" s="155"/>
      <c r="CW268" s="155"/>
      <c r="CX268" s="155"/>
      <c r="CY268" s="155"/>
      <c r="CZ268" s="155"/>
      <c r="DA268" s="155"/>
      <c r="DB268" s="155"/>
      <c r="DC268" s="155"/>
      <c r="DD268" s="155"/>
      <c r="DE268" s="155"/>
      <c r="DF268" s="155"/>
      <c r="DG268" s="155"/>
      <c r="DH268" s="155"/>
      <c r="DI268" s="155"/>
      <c r="DJ268" s="155"/>
      <c r="DK268" s="155"/>
      <c r="DL268" s="155"/>
      <c r="DM268" s="155"/>
      <c r="DN268" s="155"/>
      <c r="DO268" s="155"/>
      <c r="DP268" s="155"/>
      <c r="DQ268" s="155"/>
      <c r="DR268" s="155"/>
      <c r="DS268" s="155"/>
      <c r="DT268" s="155"/>
      <c r="DU268" s="155"/>
      <c r="DV268" s="155"/>
      <c r="DW268" s="155"/>
      <c r="DX268" s="155"/>
    </row>
    <row r="269" spans="1:128" ht="18" customHeight="1">
      <c r="A269" s="155"/>
      <c r="B269" s="155"/>
      <c r="C269" s="155"/>
      <c r="D269" s="155"/>
      <c r="E269" s="49">
        <v>2027</v>
      </c>
      <c r="F269" s="286" t="s">
        <v>768</v>
      </c>
      <c r="G269" s="158"/>
      <c r="H269" s="155"/>
      <c r="I269" s="270"/>
      <c r="J269" s="271" t="s">
        <v>1036</v>
      </c>
      <c r="K269" s="280" t="s">
        <v>628</v>
      </c>
      <c r="L269" s="270"/>
      <c r="M269" s="270"/>
      <c r="N269" s="270"/>
      <c r="O269" s="155"/>
      <c r="P269" s="155"/>
      <c r="Q269" s="155"/>
      <c r="R269" s="155"/>
      <c r="S269" s="155"/>
      <c r="T269" s="155"/>
      <c r="U269" s="158"/>
      <c r="V269" s="155"/>
      <c r="W269" s="155"/>
      <c r="X269" s="263"/>
      <c r="Y269" s="155"/>
      <c r="Z269" s="155"/>
      <c r="AA269" s="263"/>
      <c r="AB269" s="263"/>
      <c r="AC269" s="155"/>
      <c r="AD269" s="155"/>
      <c r="AE269" s="155"/>
      <c r="AF269" s="155"/>
      <c r="AG269" s="271"/>
      <c r="AH269" s="271" t="s">
        <v>931</v>
      </c>
      <c r="AI269" s="270">
        <v>4</v>
      </c>
      <c r="AJ269" s="155"/>
      <c r="AK269" s="271" t="s">
        <v>823</v>
      </c>
      <c r="AL269" s="271" t="s">
        <v>499</v>
      </c>
      <c r="AM269" s="155"/>
      <c r="AN269" s="282">
        <v>2035</v>
      </c>
      <c r="AO269" s="216" t="s">
        <v>979</v>
      </c>
      <c r="AP269" s="284" t="s">
        <v>694</v>
      </c>
      <c r="AQ269" s="285">
        <v>52</v>
      </c>
      <c r="AR269" s="155"/>
      <c r="AS269" s="155"/>
      <c r="AT269" s="155"/>
      <c r="AU269" s="155"/>
      <c r="AV269" s="155"/>
      <c r="AW269" s="155"/>
      <c r="AX269" s="155"/>
      <c r="AY269" s="155"/>
      <c r="AZ269" s="49"/>
      <c r="BA269" s="49"/>
      <c r="BB269" s="49"/>
      <c r="BC269" s="49"/>
      <c r="BD269" s="49"/>
      <c r="BE269" s="49"/>
      <c r="BF269" s="49"/>
      <c r="BG269" s="49"/>
      <c r="BH269" s="49"/>
      <c r="BI269" s="155"/>
      <c r="BJ269" s="155"/>
      <c r="BK269" s="155"/>
      <c r="BL269" s="49"/>
      <c r="BM269" s="49"/>
      <c r="BN269" s="49"/>
      <c r="BO269" s="49"/>
      <c r="BP269" s="49"/>
      <c r="BQ269" s="49"/>
      <c r="BR269" s="49"/>
      <c r="BS269" s="49"/>
      <c r="BT269" s="271" t="s">
        <v>847</v>
      </c>
      <c r="BU269" s="280" t="s">
        <v>628</v>
      </c>
      <c r="BV269" s="155">
        <v>0</v>
      </c>
      <c r="BW269" s="49"/>
      <c r="BX269" s="49"/>
      <c r="BY269" s="49"/>
      <c r="BZ269" s="49"/>
      <c r="CA269" s="49"/>
      <c r="CB269" s="49"/>
      <c r="CC269" s="49"/>
      <c r="CD269" s="49"/>
      <c r="CE269" s="49"/>
      <c r="CF269" s="49"/>
      <c r="CG269" s="49"/>
      <c r="CH269" s="49"/>
      <c r="CI269" s="49"/>
      <c r="CJ269" s="49"/>
      <c r="CK269" s="49"/>
      <c r="CL269" s="49"/>
      <c r="CM269" s="49"/>
      <c r="CN269" s="49"/>
      <c r="CO269" s="49"/>
      <c r="CP269" s="49"/>
      <c r="CQ269" s="49"/>
      <c r="CR269" s="49"/>
      <c r="CS269" s="49"/>
      <c r="CT269" s="155"/>
      <c r="CU269" s="155"/>
      <c r="CV269" s="155"/>
      <c r="CW269" s="155"/>
      <c r="CX269" s="155"/>
      <c r="CY269" s="155"/>
      <c r="CZ269" s="155"/>
      <c r="DA269" s="155"/>
      <c r="DB269" s="155"/>
      <c r="DC269" s="155"/>
      <c r="DD269" s="155"/>
      <c r="DE269" s="155"/>
      <c r="DF269" s="155"/>
      <c r="DG269" s="155"/>
      <c r="DH269" s="155"/>
      <c r="DI269" s="155"/>
      <c r="DJ269" s="155"/>
      <c r="DK269" s="155"/>
      <c r="DL269" s="155"/>
      <c r="DM269" s="155"/>
      <c r="DN269" s="155"/>
      <c r="DO269" s="155"/>
      <c r="DP269" s="155"/>
      <c r="DQ269" s="155"/>
      <c r="DR269" s="155"/>
      <c r="DS269" s="155"/>
      <c r="DT269" s="155"/>
      <c r="DU269" s="155"/>
      <c r="DV269" s="155"/>
      <c r="DW269" s="155"/>
      <c r="DX269" s="155"/>
    </row>
    <row r="270" spans="1:128" ht="18" customHeight="1">
      <c r="A270" s="155"/>
      <c r="B270" s="155"/>
      <c r="C270" s="155"/>
      <c r="D270" s="155"/>
      <c r="E270" s="49">
        <v>2028</v>
      </c>
      <c r="F270" s="286" t="s">
        <v>1040</v>
      </c>
      <c r="G270" s="158"/>
      <c r="H270" s="155"/>
      <c r="I270" s="270"/>
      <c r="J270" s="271" t="s">
        <v>1041</v>
      </c>
      <c r="K270" s="280" t="s">
        <v>660</v>
      </c>
      <c r="L270" s="270"/>
      <c r="M270" s="270"/>
      <c r="N270" s="270"/>
      <c r="O270" s="155"/>
      <c r="P270" s="155"/>
      <c r="Q270" s="155"/>
      <c r="R270" s="155"/>
      <c r="S270" s="155"/>
      <c r="T270" s="155"/>
      <c r="U270" s="158"/>
      <c r="V270" s="155"/>
      <c r="W270" s="155"/>
      <c r="X270" s="263"/>
      <c r="Y270" s="155"/>
      <c r="Z270" s="155"/>
      <c r="AA270" s="263"/>
      <c r="AB270" s="263"/>
      <c r="AC270" s="155"/>
      <c r="AD270" s="155"/>
      <c r="AE270" s="155"/>
      <c r="AF270" s="155"/>
      <c r="AG270" s="271"/>
      <c r="AH270" s="271" t="s">
        <v>927</v>
      </c>
      <c r="AI270" s="270">
        <v>2</v>
      </c>
      <c r="AJ270" s="155"/>
      <c r="AK270" s="271" t="s">
        <v>827</v>
      </c>
      <c r="AL270" s="271" t="s">
        <v>435</v>
      </c>
      <c r="AM270" s="155"/>
      <c r="AN270" s="282">
        <v>2036</v>
      </c>
      <c r="AO270" s="216" t="s">
        <v>988</v>
      </c>
      <c r="AP270" s="284" t="s">
        <v>747</v>
      </c>
      <c r="AQ270" s="285">
        <v>53</v>
      </c>
      <c r="AR270" s="155"/>
      <c r="AS270" s="155"/>
      <c r="AT270" s="155"/>
      <c r="AU270" s="155"/>
      <c r="AV270" s="155"/>
      <c r="AW270" s="155"/>
      <c r="AX270" s="155"/>
      <c r="AY270" s="155"/>
      <c r="AZ270" s="49"/>
      <c r="BA270" s="49"/>
      <c r="BB270" s="49"/>
      <c r="BC270" s="49"/>
      <c r="BD270" s="49"/>
      <c r="BE270" s="49"/>
      <c r="BF270" s="49"/>
      <c r="BG270" s="49"/>
      <c r="BH270" s="49"/>
      <c r="BI270" s="155"/>
      <c r="BJ270" s="155"/>
      <c r="BK270" s="155"/>
      <c r="BL270" s="49"/>
      <c r="BM270" s="49"/>
      <c r="BN270" s="49"/>
      <c r="BO270" s="49"/>
      <c r="BP270" s="49"/>
      <c r="BQ270" s="49"/>
      <c r="BR270" s="49"/>
      <c r="BS270" s="49"/>
      <c r="BT270" s="271" t="s">
        <v>853</v>
      </c>
      <c r="BU270" s="280" t="s">
        <v>645</v>
      </c>
      <c r="BV270" s="155">
        <v>0</v>
      </c>
      <c r="BW270" s="49"/>
      <c r="BX270" s="49"/>
      <c r="BY270" s="49"/>
      <c r="BZ270" s="49"/>
      <c r="CA270" s="49"/>
      <c r="CB270" s="49"/>
      <c r="CC270" s="49"/>
      <c r="CD270" s="49"/>
      <c r="CE270" s="49"/>
      <c r="CF270" s="49"/>
      <c r="CG270" s="49"/>
      <c r="CH270" s="49"/>
      <c r="CI270" s="49"/>
      <c r="CJ270" s="49"/>
      <c r="CK270" s="49"/>
      <c r="CL270" s="49"/>
      <c r="CM270" s="49"/>
      <c r="CN270" s="49"/>
      <c r="CO270" s="49"/>
      <c r="CP270" s="49"/>
      <c r="CQ270" s="49"/>
      <c r="CR270" s="49"/>
      <c r="CS270" s="49"/>
      <c r="CT270" s="155"/>
      <c r="CU270" s="155"/>
      <c r="CV270" s="155"/>
      <c r="CW270" s="155"/>
      <c r="CX270" s="155"/>
      <c r="CY270" s="155"/>
      <c r="CZ270" s="155"/>
      <c r="DA270" s="155"/>
      <c r="DB270" s="155"/>
      <c r="DC270" s="155"/>
      <c r="DD270" s="155"/>
      <c r="DE270" s="155"/>
      <c r="DF270" s="155"/>
      <c r="DG270" s="155"/>
      <c r="DH270" s="155"/>
      <c r="DI270" s="155"/>
      <c r="DJ270" s="155"/>
      <c r="DK270" s="155"/>
      <c r="DL270" s="155"/>
      <c r="DM270" s="155"/>
      <c r="DN270" s="155"/>
      <c r="DO270" s="155"/>
      <c r="DP270" s="155"/>
      <c r="DQ270" s="155"/>
      <c r="DR270" s="155"/>
      <c r="DS270" s="155"/>
      <c r="DT270" s="155"/>
      <c r="DU270" s="155"/>
      <c r="DV270" s="155"/>
      <c r="DW270" s="155"/>
      <c r="DX270" s="155"/>
    </row>
    <row r="271" spans="1:128" ht="18" customHeight="1">
      <c r="A271" s="155"/>
      <c r="B271" s="155"/>
      <c r="C271" s="155"/>
      <c r="D271" s="155"/>
      <c r="E271" s="49">
        <v>2029</v>
      </c>
      <c r="F271" s="286" t="s">
        <v>1031</v>
      </c>
      <c r="G271" s="158"/>
      <c r="H271" s="155"/>
      <c r="I271" s="270"/>
      <c r="J271" s="271" t="s">
        <v>1023</v>
      </c>
      <c r="K271" s="280" t="s">
        <v>645</v>
      </c>
      <c r="L271" s="270"/>
      <c r="M271" s="270"/>
      <c r="N271" s="270"/>
      <c r="O271" s="155"/>
      <c r="P271" s="155"/>
      <c r="Q271" s="155"/>
      <c r="R271" s="155"/>
      <c r="S271" s="155"/>
      <c r="T271" s="155"/>
      <c r="U271" s="158"/>
      <c r="V271" s="155"/>
      <c r="W271" s="155"/>
      <c r="X271" s="263"/>
      <c r="Y271" s="155"/>
      <c r="Z271" s="155"/>
      <c r="AA271" s="263"/>
      <c r="AB271" s="263"/>
      <c r="AC271" s="155"/>
      <c r="AD271" s="155"/>
      <c r="AE271" s="155"/>
      <c r="AF271" s="155"/>
      <c r="AG271" s="271"/>
      <c r="AH271" s="271" t="s">
        <v>970</v>
      </c>
      <c r="AI271" s="270">
        <v>5</v>
      </c>
      <c r="AJ271" s="155"/>
      <c r="AK271" s="271" t="s">
        <v>832</v>
      </c>
      <c r="AL271" s="271" t="s">
        <v>435</v>
      </c>
      <c r="AM271" s="155"/>
      <c r="AN271" s="282">
        <v>2037</v>
      </c>
      <c r="AO271" s="216" t="s">
        <v>988</v>
      </c>
      <c r="AP271" s="284" t="s">
        <v>843</v>
      </c>
      <c r="AQ271" s="285">
        <v>54</v>
      </c>
      <c r="AR271" s="155"/>
      <c r="AS271" s="155"/>
      <c r="AT271" s="155"/>
      <c r="AU271" s="155"/>
      <c r="AV271" s="155"/>
      <c r="AW271" s="155"/>
      <c r="AX271" s="155"/>
      <c r="AY271" s="155"/>
      <c r="AZ271" s="49"/>
      <c r="BA271" s="49"/>
      <c r="BB271" s="49"/>
      <c r="BC271" s="49"/>
      <c r="BD271" s="49"/>
      <c r="BE271" s="49"/>
      <c r="BF271" s="49"/>
      <c r="BG271" s="49"/>
      <c r="BH271" s="49"/>
      <c r="BI271" s="155"/>
      <c r="BJ271" s="155"/>
      <c r="BK271" s="155"/>
      <c r="BL271" s="49"/>
      <c r="BM271" s="49"/>
      <c r="BN271" s="49"/>
      <c r="BO271" s="49"/>
      <c r="BP271" s="49"/>
      <c r="BQ271" s="49"/>
      <c r="BR271" s="49"/>
      <c r="BS271" s="49"/>
      <c r="BT271" s="271" t="s">
        <v>858</v>
      </c>
      <c r="BU271" s="280" t="s">
        <v>622</v>
      </c>
      <c r="BV271" s="155">
        <v>1</v>
      </c>
      <c r="BW271" s="49"/>
      <c r="BX271" s="49"/>
      <c r="BY271" s="49"/>
      <c r="BZ271" s="49"/>
      <c r="CA271" s="49"/>
      <c r="CB271" s="49"/>
      <c r="CC271" s="49"/>
      <c r="CD271" s="49"/>
      <c r="CE271" s="49"/>
      <c r="CF271" s="49"/>
      <c r="CG271" s="49"/>
      <c r="CH271" s="49"/>
      <c r="CI271" s="49"/>
      <c r="CJ271" s="49"/>
      <c r="CK271" s="49"/>
      <c r="CL271" s="49"/>
      <c r="CM271" s="49"/>
      <c r="CN271" s="49"/>
      <c r="CO271" s="49"/>
      <c r="CP271" s="49"/>
      <c r="CQ271" s="49"/>
      <c r="CR271" s="49"/>
      <c r="CS271" s="49"/>
      <c r="CT271" s="155"/>
      <c r="CU271" s="155"/>
      <c r="CV271" s="155"/>
      <c r="CW271" s="155"/>
      <c r="CX271" s="155"/>
      <c r="CY271" s="155"/>
      <c r="CZ271" s="155"/>
      <c r="DA271" s="155"/>
      <c r="DB271" s="155"/>
      <c r="DC271" s="155"/>
      <c r="DD271" s="155"/>
      <c r="DE271" s="155"/>
      <c r="DF271" s="155"/>
      <c r="DG271" s="155"/>
      <c r="DH271" s="155"/>
      <c r="DI271" s="155"/>
      <c r="DJ271" s="155"/>
      <c r="DK271" s="155"/>
      <c r="DL271" s="155"/>
      <c r="DM271" s="155"/>
      <c r="DN271" s="155"/>
      <c r="DO271" s="155"/>
      <c r="DP271" s="155"/>
      <c r="DQ271" s="155"/>
      <c r="DR271" s="155"/>
      <c r="DS271" s="155"/>
      <c r="DT271" s="155"/>
      <c r="DU271" s="155"/>
      <c r="DV271" s="155"/>
      <c r="DW271" s="155"/>
      <c r="DX271" s="155"/>
    </row>
    <row r="272" spans="1:128" ht="18" customHeight="1">
      <c r="A272" s="155"/>
      <c r="B272" s="155"/>
      <c r="C272" s="155"/>
      <c r="D272" s="155"/>
      <c r="E272" s="49">
        <v>2030</v>
      </c>
      <c r="F272" s="286" t="s">
        <v>981</v>
      </c>
      <c r="G272" s="158"/>
      <c r="H272" s="155"/>
      <c r="I272" s="270"/>
      <c r="J272" s="271" t="s">
        <v>1042</v>
      </c>
      <c r="K272" s="280" t="s">
        <v>645</v>
      </c>
      <c r="L272" s="270"/>
      <c r="M272" s="270"/>
      <c r="N272" s="270"/>
      <c r="O272" s="155"/>
      <c r="P272" s="155"/>
      <c r="Q272" s="155"/>
      <c r="R272" s="155"/>
      <c r="S272" s="155"/>
      <c r="T272" s="155"/>
      <c r="U272" s="158"/>
      <c r="V272" s="155"/>
      <c r="W272" s="155"/>
      <c r="X272" s="263"/>
      <c r="Y272" s="155"/>
      <c r="Z272" s="155"/>
      <c r="AA272" s="263"/>
      <c r="AB272" s="263"/>
      <c r="AC272" s="155"/>
      <c r="AD272" s="155"/>
      <c r="AE272" s="155"/>
      <c r="AF272" s="155"/>
      <c r="AG272" s="271"/>
      <c r="AH272" s="271" t="s">
        <v>966</v>
      </c>
      <c r="AI272" s="270">
        <v>1</v>
      </c>
      <c r="AJ272" s="155"/>
      <c r="AK272" s="271" t="s">
        <v>837</v>
      </c>
      <c r="AL272" s="271" t="s">
        <v>435</v>
      </c>
      <c r="AM272" s="155"/>
      <c r="AN272" s="282">
        <v>2038</v>
      </c>
      <c r="AO272" s="216" t="s">
        <v>996</v>
      </c>
      <c r="AP272" s="284" t="s">
        <v>898</v>
      </c>
      <c r="AQ272" s="285">
        <v>55</v>
      </c>
      <c r="AR272" s="155"/>
      <c r="AS272" s="155"/>
      <c r="AT272" s="155"/>
      <c r="AU272" s="155"/>
      <c r="AV272" s="155"/>
      <c r="AW272" s="155"/>
      <c r="AX272" s="155"/>
      <c r="AY272" s="155"/>
      <c r="AZ272" s="49"/>
      <c r="BA272" s="49"/>
      <c r="BB272" s="49"/>
      <c r="BC272" s="49"/>
      <c r="BD272" s="49"/>
      <c r="BE272" s="49"/>
      <c r="BF272" s="49"/>
      <c r="BG272" s="49"/>
      <c r="BH272" s="49"/>
      <c r="BI272" s="155"/>
      <c r="BJ272" s="155"/>
      <c r="BK272" s="155"/>
      <c r="BL272" s="49"/>
      <c r="BM272" s="49"/>
      <c r="BN272" s="49"/>
      <c r="BO272" s="49"/>
      <c r="BP272" s="49"/>
      <c r="BQ272" s="49"/>
      <c r="BR272" s="49"/>
      <c r="BS272" s="49"/>
      <c r="BT272" s="271" t="s">
        <v>863</v>
      </c>
      <c r="BU272" s="280" t="s">
        <v>622</v>
      </c>
      <c r="BV272" s="155">
        <v>0</v>
      </c>
      <c r="BW272" s="49"/>
      <c r="BX272" s="49"/>
      <c r="BY272" s="49"/>
      <c r="BZ272" s="49"/>
      <c r="CA272" s="49"/>
      <c r="CB272" s="49"/>
      <c r="CC272" s="49"/>
      <c r="CD272" s="49"/>
      <c r="CE272" s="49"/>
      <c r="CF272" s="49"/>
      <c r="CG272" s="49"/>
      <c r="CH272" s="49"/>
      <c r="CI272" s="49"/>
      <c r="CJ272" s="49"/>
      <c r="CK272" s="49"/>
      <c r="CL272" s="49"/>
      <c r="CM272" s="49"/>
      <c r="CN272" s="49"/>
      <c r="CO272" s="49"/>
      <c r="CP272" s="49"/>
      <c r="CQ272" s="49"/>
      <c r="CR272" s="49"/>
      <c r="CS272" s="49"/>
      <c r="CT272" s="155"/>
      <c r="CU272" s="155"/>
      <c r="CV272" s="155"/>
      <c r="CW272" s="155"/>
      <c r="CX272" s="155"/>
      <c r="CY272" s="155"/>
      <c r="CZ272" s="155"/>
      <c r="DA272" s="155"/>
      <c r="DB272" s="155"/>
      <c r="DC272" s="155"/>
      <c r="DD272" s="155"/>
      <c r="DE272" s="155"/>
      <c r="DF272" s="155"/>
      <c r="DG272" s="155"/>
      <c r="DH272" s="155"/>
      <c r="DI272" s="155"/>
      <c r="DJ272" s="155"/>
      <c r="DK272" s="155"/>
      <c r="DL272" s="155"/>
      <c r="DM272" s="155"/>
      <c r="DN272" s="155"/>
      <c r="DO272" s="155"/>
      <c r="DP272" s="155"/>
      <c r="DQ272" s="155"/>
      <c r="DR272" s="155"/>
      <c r="DS272" s="155"/>
      <c r="DT272" s="155"/>
      <c r="DU272" s="155"/>
      <c r="DV272" s="155"/>
      <c r="DW272" s="155"/>
      <c r="DX272" s="155"/>
    </row>
    <row r="273" spans="1:128" ht="18" customHeight="1">
      <c r="A273" s="155"/>
      <c r="B273" s="155"/>
      <c r="C273" s="155"/>
      <c r="D273" s="155"/>
      <c r="E273" s="49">
        <v>2031</v>
      </c>
      <c r="F273" s="286" t="s">
        <v>768</v>
      </c>
      <c r="G273" s="158"/>
      <c r="H273" s="155"/>
      <c r="I273" s="270"/>
      <c r="J273" s="271" t="s">
        <v>997</v>
      </c>
      <c r="K273" s="280" t="s">
        <v>660</v>
      </c>
      <c r="L273" s="270"/>
      <c r="M273" s="270"/>
      <c r="N273" s="270"/>
      <c r="O273" s="155"/>
      <c r="P273" s="155"/>
      <c r="Q273" s="155"/>
      <c r="R273" s="155"/>
      <c r="S273" s="155"/>
      <c r="T273" s="155"/>
      <c r="U273" s="158"/>
      <c r="V273" s="155"/>
      <c r="W273" s="155"/>
      <c r="X273" s="263"/>
      <c r="Y273" s="155"/>
      <c r="Z273" s="155"/>
      <c r="AA273" s="263"/>
      <c r="AB273" s="263"/>
      <c r="AC273" s="155"/>
      <c r="AD273" s="155"/>
      <c r="AE273" s="155"/>
      <c r="AF273" s="155"/>
      <c r="AG273" s="271"/>
      <c r="AH273" s="271" t="s">
        <v>962</v>
      </c>
      <c r="AI273" s="270">
        <v>3</v>
      </c>
      <c r="AJ273" s="155"/>
      <c r="AK273" s="271" t="s">
        <v>842</v>
      </c>
      <c r="AL273" s="271" t="s">
        <v>435</v>
      </c>
      <c r="AM273" s="155"/>
      <c r="AN273" s="282">
        <v>2039</v>
      </c>
      <c r="AO273" s="216" t="s">
        <v>996</v>
      </c>
      <c r="AP273" s="284" t="s">
        <v>945</v>
      </c>
      <c r="AQ273" s="285">
        <v>56</v>
      </c>
      <c r="AR273" s="155"/>
      <c r="AS273" s="155"/>
      <c r="AT273" s="155"/>
      <c r="AU273" s="155"/>
      <c r="AV273" s="155"/>
      <c r="AW273" s="155"/>
      <c r="AX273" s="155"/>
      <c r="AY273" s="155"/>
      <c r="AZ273" s="49"/>
      <c r="BA273" s="49"/>
      <c r="BB273" s="49"/>
      <c r="BC273" s="49"/>
      <c r="BD273" s="49"/>
      <c r="BE273" s="49"/>
      <c r="BF273" s="49"/>
      <c r="BG273" s="49"/>
      <c r="BH273" s="49"/>
      <c r="BI273" s="155"/>
      <c r="BJ273" s="155"/>
      <c r="BK273" s="155"/>
      <c r="BL273" s="49"/>
      <c r="BM273" s="49"/>
      <c r="BN273" s="49"/>
      <c r="BO273" s="49"/>
      <c r="BP273" s="49"/>
      <c r="BQ273" s="49"/>
      <c r="BR273" s="49"/>
      <c r="BS273" s="49"/>
      <c r="BT273" s="271" t="s">
        <v>868</v>
      </c>
      <c r="BU273" s="280" t="s">
        <v>645</v>
      </c>
      <c r="BV273" s="155">
        <v>0</v>
      </c>
      <c r="BW273" s="49"/>
      <c r="BX273" s="49"/>
      <c r="BY273" s="49"/>
      <c r="BZ273" s="49"/>
      <c r="CA273" s="49"/>
      <c r="CB273" s="49"/>
      <c r="CC273" s="49"/>
      <c r="CD273" s="49"/>
      <c r="CE273" s="49"/>
      <c r="CF273" s="49"/>
      <c r="CG273" s="49"/>
      <c r="CH273" s="49"/>
      <c r="CI273" s="49"/>
      <c r="CJ273" s="49"/>
      <c r="CK273" s="49"/>
      <c r="CL273" s="49"/>
      <c r="CM273" s="49"/>
      <c r="CN273" s="49"/>
      <c r="CO273" s="49"/>
      <c r="CP273" s="49"/>
      <c r="CQ273" s="49"/>
      <c r="CR273" s="49"/>
      <c r="CS273" s="49"/>
      <c r="CT273" s="155"/>
      <c r="CU273" s="155"/>
      <c r="CV273" s="155"/>
      <c r="CW273" s="155"/>
      <c r="CX273" s="155"/>
      <c r="CY273" s="155"/>
      <c r="CZ273" s="155"/>
      <c r="DA273" s="155"/>
      <c r="DB273" s="155"/>
      <c r="DC273" s="155"/>
      <c r="DD273" s="155"/>
      <c r="DE273" s="155"/>
      <c r="DF273" s="155"/>
      <c r="DG273" s="155"/>
      <c r="DH273" s="155"/>
      <c r="DI273" s="155"/>
      <c r="DJ273" s="155"/>
      <c r="DK273" s="155"/>
      <c r="DL273" s="155"/>
      <c r="DM273" s="155"/>
      <c r="DN273" s="155"/>
      <c r="DO273" s="155"/>
      <c r="DP273" s="155"/>
      <c r="DQ273" s="155"/>
      <c r="DR273" s="155"/>
      <c r="DS273" s="155"/>
      <c r="DT273" s="155"/>
      <c r="DU273" s="155"/>
      <c r="DV273" s="155"/>
      <c r="DW273" s="155"/>
      <c r="DX273" s="155"/>
    </row>
    <row r="274" spans="1:128" ht="18" customHeight="1">
      <c r="A274" s="155"/>
      <c r="B274" s="155"/>
      <c r="C274" s="155"/>
      <c r="D274" s="155"/>
      <c r="E274" s="49">
        <v>2032</v>
      </c>
      <c r="F274" s="286" t="s">
        <v>1040</v>
      </c>
      <c r="G274" s="158"/>
      <c r="H274" s="155"/>
      <c r="I274" s="270"/>
      <c r="J274" s="271" t="s">
        <v>1043</v>
      </c>
      <c r="K274" s="280" t="s">
        <v>622</v>
      </c>
      <c r="L274" s="270"/>
      <c r="M274" s="270"/>
      <c r="N274" s="270"/>
      <c r="O274" s="155"/>
      <c r="P274" s="155"/>
      <c r="Q274" s="155"/>
      <c r="R274" s="155"/>
      <c r="S274" s="155"/>
      <c r="T274" s="155"/>
      <c r="U274" s="158"/>
      <c r="V274" s="155"/>
      <c r="W274" s="155"/>
      <c r="X274" s="263"/>
      <c r="Y274" s="155"/>
      <c r="Z274" s="155"/>
      <c r="AA274" s="263"/>
      <c r="AB274" s="263"/>
      <c r="AC274" s="155"/>
      <c r="AD274" s="155"/>
      <c r="AE274" s="155"/>
      <c r="AF274" s="155"/>
      <c r="AG274" s="271"/>
      <c r="AH274" s="271" t="s">
        <v>958</v>
      </c>
      <c r="AI274" s="270">
        <v>6</v>
      </c>
      <c r="AJ274" s="155"/>
      <c r="AK274" s="271" t="s">
        <v>846</v>
      </c>
      <c r="AL274" s="271" t="s">
        <v>435</v>
      </c>
      <c r="AM274" s="155"/>
      <c r="AN274" s="282">
        <v>2040</v>
      </c>
      <c r="AO274" s="216" t="s">
        <v>955</v>
      </c>
      <c r="AP274" s="284" t="s">
        <v>985</v>
      </c>
      <c r="AQ274" s="285">
        <v>57</v>
      </c>
      <c r="AR274" s="155"/>
      <c r="AS274" s="155"/>
      <c r="AT274" s="155"/>
      <c r="AU274" s="155"/>
      <c r="AV274" s="155"/>
      <c r="AW274" s="155"/>
      <c r="AX274" s="155"/>
      <c r="AY274" s="155"/>
      <c r="AZ274" s="49"/>
      <c r="BA274" s="49"/>
      <c r="BB274" s="49"/>
      <c r="BC274" s="49"/>
      <c r="BD274" s="49"/>
      <c r="BE274" s="49"/>
      <c r="BF274" s="49"/>
      <c r="BG274" s="49"/>
      <c r="BH274" s="49"/>
      <c r="BI274" s="155"/>
      <c r="BJ274" s="155"/>
      <c r="BK274" s="155"/>
      <c r="BL274" s="49"/>
      <c r="BM274" s="49"/>
      <c r="BN274" s="49"/>
      <c r="BO274" s="49"/>
      <c r="BP274" s="49"/>
      <c r="BQ274" s="49"/>
      <c r="BR274" s="49"/>
      <c r="BS274" s="49"/>
      <c r="BT274" s="271" t="s">
        <v>872</v>
      </c>
      <c r="BU274" s="280" t="s">
        <v>660</v>
      </c>
      <c r="BV274" s="155">
        <v>1</v>
      </c>
      <c r="BW274" s="49"/>
      <c r="BX274" s="49"/>
      <c r="BY274" s="49"/>
      <c r="BZ274" s="49"/>
      <c r="CA274" s="49"/>
      <c r="CB274" s="49"/>
      <c r="CC274" s="49"/>
      <c r="CD274" s="49"/>
      <c r="CE274" s="49"/>
      <c r="CF274" s="49"/>
      <c r="CG274" s="49"/>
      <c r="CH274" s="49"/>
      <c r="CI274" s="49"/>
      <c r="CJ274" s="49"/>
      <c r="CK274" s="49"/>
      <c r="CL274" s="49"/>
      <c r="CM274" s="49"/>
      <c r="CN274" s="49"/>
      <c r="CO274" s="49"/>
      <c r="CP274" s="49"/>
      <c r="CQ274" s="49"/>
      <c r="CR274" s="49"/>
      <c r="CS274" s="49"/>
      <c r="CT274" s="155"/>
      <c r="CU274" s="155"/>
      <c r="CV274" s="155"/>
      <c r="CW274" s="155"/>
      <c r="CX274" s="155"/>
      <c r="CY274" s="155"/>
      <c r="CZ274" s="155"/>
      <c r="DA274" s="155"/>
      <c r="DB274" s="155"/>
      <c r="DC274" s="155"/>
      <c r="DD274" s="155"/>
      <c r="DE274" s="155"/>
      <c r="DF274" s="155"/>
      <c r="DG274" s="155"/>
      <c r="DH274" s="155"/>
      <c r="DI274" s="155"/>
      <c r="DJ274" s="155"/>
      <c r="DK274" s="155"/>
      <c r="DL274" s="155"/>
      <c r="DM274" s="155"/>
      <c r="DN274" s="155"/>
      <c r="DO274" s="155"/>
      <c r="DP274" s="155"/>
      <c r="DQ274" s="155"/>
      <c r="DR274" s="155"/>
      <c r="DS274" s="155"/>
      <c r="DT274" s="155"/>
      <c r="DU274" s="155"/>
      <c r="DV274" s="155"/>
      <c r="DW274" s="155"/>
      <c r="DX274" s="155"/>
    </row>
    <row r="275" spans="1:128" ht="18" customHeight="1">
      <c r="A275" s="155"/>
      <c r="B275" s="155"/>
      <c r="C275" s="155"/>
      <c r="D275" s="155"/>
      <c r="E275" s="49">
        <v>2033</v>
      </c>
      <c r="F275" s="286" t="s">
        <v>1031</v>
      </c>
      <c r="G275" s="158"/>
      <c r="H275" s="155"/>
      <c r="I275" s="270"/>
      <c r="J275" s="271" t="s">
        <v>956</v>
      </c>
      <c r="K275" s="280" t="s">
        <v>622</v>
      </c>
      <c r="L275" s="270"/>
      <c r="M275" s="270"/>
      <c r="N275" s="270"/>
      <c r="O275" s="155"/>
      <c r="P275" s="155"/>
      <c r="Q275" s="155"/>
      <c r="R275" s="155"/>
      <c r="S275" s="155"/>
      <c r="T275" s="155"/>
      <c r="U275" s="158"/>
      <c r="V275" s="155"/>
      <c r="W275" s="155"/>
      <c r="X275" s="263"/>
      <c r="Y275" s="155"/>
      <c r="Z275" s="155"/>
      <c r="AA275" s="263"/>
      <c r="AB275" s="263"/>
      <c r="AC275" s="155"/>
      <c r="AD275" s="155"/>
      <c r="AE275" s="155"/>
      <c r="AF275" s="155"/>
      <c r="AG275" s="271"/>
      <c r="AH275" s="271" t="s">
        <v>973</v>
      </c>
      <c r="AI275" s="270">
        <v>9</v>
      </c>
      <c r="AJ275" s="155"/>
      <c r="AK275" s="271" t="s">
        <v>851</v>
      </c>
      <c r="AL275" s="271" t="s">
        <v>435</v>
      </c>
      <c r="AM275" s="155"/>
      <c r="AN275" s="282">
        <v>2041</v>
      </c>
      <c r="AO275" s="216" t="s">
        <v>955</v>
      </c>
      <c r="AP275" s="284" t="s">
        <v>1024</v>
      </c>
      <c r="AQ275" s="285">
        <v>58</v>
      </c>
      <c r="AR275" s="155"/>
      <c r="AS275" s="155"/>
      <c r="AT275" s="155"/>
      <c r="AU275" s="155"/>
      <c r="AV275" s="155"/>
      <c r="AW275" s="155"/>
      <c r="AX275" s="155"/>
      <c r="AY275" s="155"/>
      <c r="AZ275" s="49"/>
      <c r="BA275" s="49"/>
      <c r="BB275" s="49"/>
      <c r="BC275" s="49"/>
      <c r="BD275" s="49"/>
      <c r="BE275" s="49"/>
      <c r="BF275" s="49"/>
      <c r="BG275" s="49"/>
      <c r="BH275" s="49"/>
      <c r="BI275" s="155"/>
      <c r="BJ275" s="155"/>
      <c r="BK275" s="155"/>
      <c r="BL275" s="49"/>
      <c r="BM275" s="49"/>
      <c r="BN275" s="49"/>
      <c r="BO275" s="49"/>
      <c r="BP275" s="49"/>
      <c r="BQ275" s="49"/>
      <c r="BR275" s="49"/>
      <c r="BS275" s="49"/>
      <c r="BT275" s="271" t="s">
        <v>875</v>
      </c>
      <c r="BU275" s="280" t="s">
        <v>660</v>
      </c>
      <c r="BV275" s="155">
        <v>0</v>
      </c>
      <c r="BW275" s="49"/>
      <c r="BX275" s="49"/>
      <c r="BY275" s="49"/>
      <c r="BZ275" s="49"/>
      <c r="CA275" s="49"/>
      <c r="CB275" s="49"/>
      <c r="CC275" s="49"/>
      <c r="CD275" s="49"/>
      <c r="CE275" s="49"/>
      <c r="CF275" s="49"/>
      <c r="CG275" s="49"/>
      <c r="CH275" s="49"/>
      <c r="CI275" s="49"/>
      <c r="CJ275" s="49"/>
      <c r="CK275" s="49"/>
      <c r="CL275" s="49"/>
      <c r="CM275" s="49"/>
      <c r="CN275" s="49"/>
      <c r="CO275" s="49"/>
      <c r="CP275" s="49"/>
      <c r="CQ275" s="49"/>
      <c r="CR275" s="49"/>
      <c r="CS275" s="49"/>
      <c r="CT275" s="155"/>
      <c r="CU275" s="155"/>
      <c r="CV275" s="155"/>
      <c r="CW275" s="155"/>
      <c r="CX275" s="155"/>
      <c r="CY275" s="155"/>
      <c r="CZ275" s="155"/>
      <c r="DA275" s="155"/>
      <c r="DB275" s="155"/>
      <c r="DC275" s="155"/>
      <c r="DD275" s="155"/>
      <c r="DE275" s="155"/>
      <c r="DF275" s="155"/>
      <c r="DG275" s="155"/>
      <c r="DH275" s="155"/>
      <c r="DI275" s="155"/>
      <c r="DJ275" s="155"/>
      <c r="DK275" s="155"/>
      <c r="DL275" s="155"/>
      <c r="DM275" s="155"/>
      <c r="DN275" s="155"/>
      <c r="DO275" s="155"/>
      <c r="DP275" s="155"/>
      <c r="DQ275" s="155"/>
      <c r="DR275" s="155"/>
      <c r="DS275" s="155"/>
      <c r="DT275" s="155"/>
      <c r="DU275" s="155"/>
      <c r="DV275" s="155"/>
      <c r="DW275" s="155"/>
      <c r="DX275" s="155"/>
    </row>
    <row r="276" spans="1:128" ht="18" customHeight="1">
      <c r="A276" s="155"/>
      <c r="B276" s="155"/>
      <c r="C276" s="155"/>
      <c r="D276" s="155"/>
      <c r="E276" s="49">
        <v>2034</v>
      </c>
      <c r="F276" s="286" t="s">
        <v>981</v>
      </c>
      <c r="G276" s="158"/>
      <c r="H276" s="155"/>
      <c r="I276" s="270"/>
      <c r="J276" s="271" t="s">
        <v>1044</v>
      </c>
      <c r="K276" s="280" t="s">
        <v>660</v>
      </c>
      <c r="L276" s="270"/>
      <c r="M276" s="270"/>
      <c r="N276" s="270"/>
      <c r="O276" s="155"/>
      <c r="P276" s="155"/>
      <c r="Q276" s="155"/>
      <c r="R276" s="155"/>
      <c r="S276" s="155"/>
      <c r="T276" s="155"/>
      <c r="U276" s="158"/>
      <c r="V276" s="155"/>
      <c r="W276" s="155"/>
      <c r="X276" s="263"/>
      <c r="Y276" s="155"/>
      <c r="Z276" s="155"/>
      <c r="AA276" s="263"/>
      <c r="AB276" s="263"/>
      <c r="AC276" s="155"/>
      <c r="AD276" s="155"/>
      <c r="AE276" s="155"/>
      <c r="AF276" s="155"/>
      <c r="AG276" s="271"/>
      <c r="AH276" s="271" t="s">
        <v>976</v>
      </c>
      <c r="AI276" s="270">
        <v>7</v>
      </c>
      <c r="AJ276" s="155"/>
      <c r="AK276" s="271" t="s">
        <v>856</v>
      </c>
      <c r="AL276" s="271" t="s">
        <v>435</v>
      </c>
      <c r="AM276" s="155"/>
      <c r="AN276" s="282">
        <v>2042</v>
      </c>
      <c r="AO276" s="216" t="s">
        <v>946</v>
      </c>
      <c r="AP276" s="284" t="s">
        <v>1037</v>
      </c>
      <c r="AQ276" s="285">
        <v>59</v>
      </c>
      <c r="AR276" s="155"/>
      <c r="AS276" s="155"/>
      <c r="AT276" s="155"/>
      <c r="AU276" s="155"/>
      <c r="AV276" s="155"/>
      <c r="AW276" s="155"/>
      <c r="AX276" s="155"/>
      <c r="AY276" s="155"/>
      <c r="AZ276" s="49"/>
      <c r="BA276" s="49"/>
      <c r="BB276" s="49"/>
      <c r="BC276" s="49"/>
      <c r="BD276" s="49"/>
      <c r="BE276" s="49"/>
      <c r="BF276" s="49"/>
      <c r="BG276" s="49"/>
      <c r="BH276" s="49"/>
      <c r="BI276" s="155"/>
      <c r="BJ276" s="155"/>
      <c r="BK276" s="155"/>
      <c r="BL276" s="49"/>
      <c r="BM276" s="49"/>
      <c r="BN276" s="49"/>
      <c r="BO276" s="49"/>
      <c r="BP276" s="49"/>
      <c r="BQ276" s="49"/>
      <c r="BR276" s="49"/>
      <c r="BS276" s="49"/>
      <c r="BT276" s="271" t="s">
        <v>878</v>
      </c>
      <c r="BU276" s="280" t="s">
        <v>645</v>
      </c>
      <c r="BV276" s="155">
        <v>0</v>
      </c>
      <c r="BW276" s="49"/>
      <c r="BX276" s="49"/>
      <c r="BY276" s="49"/>
      <c r="BZ276" s="49"/>
      <c r="CA276" s="49"/>
      <c r="CB276" s="49"/>
      <c r="CC276" s="49"/>
      <c r="CD276" s="49"/>
      <c r="CE276" s="49"/>
      <c r="CF276" s="49"/>
      <c r="CG276" s="49"/>
      <c r="CH276" s="49"/>
      <c r="CI276" s="49"/>
      <c r="CJ276" s="49"/>
      <c r="CK276" s="49"/>
      <c r="CL276" s="49"/>
      <c r="CM276" s="49"/>
      <c r="CN276" s="49"/>
      <c r="CO276" s="49"/>
      <c r="CP276" s="49"/>
      <c r="CQ276" s="49"/>
      <c r="CR276" s="49"/>
      <c r="CS276" s="49"/>
      <c r="CT276" s="155"/>
      <c r="CU276" s="155"/>
      <c r="CV276" s="155"/>
      <c r="CW276" s="155"/>
      <c r="CX276" s="155"/>
      <c r="CY276" s="155"/>
      <c r="CZ276" s="155"/>
      <c r="DA276" s="155"/>
      <c r="DB276" s="155"/>
      <c r="DC276" s="155"/>
      <c r="DD276" s="155"/>
      <c r="DE276" s="155"/>
      <c r="DF276" s="155"/>
      <c r="DG276" s="155"/>
      <c r="DH276" s="155"/>
      <c r="DI276" s="155"/>
      <c r="DJ276" s="155"/>
      <c r="DK276" s="155"/>
      <c r="DL276" s="155"/>
      <c r="DM276" s="155"/>
      <c r="DN276" s="155"/>
      <c r="DO276" s="155"/>
      <c r="DP276" s="155"/>
      <c r="DQ276" s="155"/>
      <c r="DR276" s="155"/>
      <c r="DS276" s="155"/>
      <c r="DT276" s="155"/>
      <c r="DU276" s="155"/>
      <c r="DV276" s="155"/>
      <c r="DW276" s="155"/>
      <c r="DX276" s="155"/>
    </row>
    <row r="277" spans="1:128" ht="18" customHeight="1">
      <c r="A277" s="155"/>
      <c r="B277" s="155"/>
      <c r="C277" s="155"/>
      <c r="D277" s="155"/>
      <c r="E277" s="49">
        <v>2035</v>
      </c>
      <c r="F277" s="286" t="s">
        <v>857</v>
      </c>
      <c r="G277" s="158"/>
      <c r="H277" s="155"/>
      <c r="I277" s="270"/>
      <c r="J277" s="271" t="s">
        <v>1045</v>
      </c>
      <c r="K277" s="280" t="s">
        <v>612</v>
      </c>
      <c r="L277" s="270"/>
      <c r="M277" s="270"/>
      <c r="N277" s="270"/>
      <c r="O277" s="155"/>
      <c r="P277" s="155"/>
      <c r="Q277" s="155"/>
      <c r="R277" s="155"/>
      <c r="S277" s="155"/>
      <c r="T277" s="155"/>
      <c r="U277" s="158"/>
      <c r="V277" s="155"/>
      <c r="W277" s="155"/>
      <c r="X277" s="263"/>
      <c r="Y277" s="155"/>
      <c r="Z277" s="155"/>
      <c r="AA277" s="263"/>
      <c r="AB277" s="263"/>
      <c r="AC277" s="155"/>
      <c r="AD277" s="155"/>
      <c r="AE277" s="155"/>
      <c r="AF277" s="155"/>
      <c r="AG277" s="271"/>
      <c r="AH277" s="271" t="s">
        <v>982</v>
      </c>
      <c r="AI277" s="270">
        <v>10</v>
      </c>
      <c r="AJ277" s="155"/>
      <c r="AK277" s="271" t="s">
        <v>862</v>
      </c>
      <c r="AL277" s="271" t="s">
        <v>435</v>
      </c>
      <c r="AM277" s="155"/>
      <c r="AN277" s="282">
        <v>2043</v>
      </c>
      <c r="AO277" s="216" t="s">
        <v>946</v>
      </c>
      <c r="AP277" s="284" t="s">
        <v>1046</v>
      </c>
      <c r="AQ277" s="285">
        <v>60</v>
      </c>
      <c r="AR277" s="155"/>
      <c r="AS277" s="155"/>
      <c r="AT277" s="155"/>
      <c r="AU277" s="155"/>
      <c r="AV277" s="155"/>
      <c r="AW277" s="155"/>
      <c r="AX277" s="155"/>
      <c r="AY277" s="155"/>
      <c r="AZ277" s="49"/>
      <c r="BA277" s="49"/>
      <c r="BB277" s="49"/>
      <c r="BC277" s="49"/>
      <c r="BD277" s="49"/>
      <c r="BE277" s="49"/>
      <c r="BF277" s="49"/>
      <c r="BG277" s="49"/>
      <c r="BH277" s="49"/>
      <c r="BI277" s="155"/>
      <c r="BJ277" s="155"/>
      <c r="BK277" s="155"/>
      <c r="BL277" s="49"/>
      <c r="BM277" s="49"/>
      <c r="BN277" s="49"/>
      <c r="BO277" s="49"/>
      <c r="BP277" s="49"/>
      <c r="BQ277" s="49"/>
      <c r="BR277" s="49"/>
      <c r="BS277" s="49"/>
      <c r="BT277" s="271" t="s">
        <v>882</v>
      </c>
      <c r="BU277" s="280" t="s">
        <v>660</v>
      </c>
      <c r="BV277" s="155">
        <v>0</v>
      </c>
      <c r="BW277" s="49"/>
      <c r="BX277" s="49"/>
      <c r="BY277" s="49"/>
      <c r="BZ277" s="49"/>
      <c r="CA277" s="49"/>
      <c r="CB277" s="49"/>
      <c r="CC277" s="49"/>
      <c r="CD277" s="49"/>
      <c r="CE277" s="49"/>
      <c r="CF277" s="49"/>
      <c r="CG277" s="49"/>
      <c r="CH277" s="49"/>
      <c r="CI277" s="49"/>
      <c r="CJ277" s="49"/>
      <c r="CK277" s="49"/>
      <c r="CL277" s="49"/>
      <c r="CM277" s="49"/>
      <c r="CN277" s="49"/>
      <c r="CO277" s="49"/>
      <c r="CP277" s="49"/>
      <c r="CQ277" s="49"/>
      <c r="CR277" s="49"/>
      <c r="CS277" s="49"/>
      <c r="CT277" s="155"/>
      <c r="CU277" s="155"/>
      <c r="CV277" s="155"/>
      <c r="CW277" s="155"/>
      <c r="CX277" s="155"/>
      <c r="CY277" s="155"/>
      <c r="CZ277" s="155"/>
      <c r="DA277" s="155"/>
      <c r="DB277" s="155"/>
      <c r="DC277" s="155"/>
      <c r="DD277" s="155"/>
      <c r="DE277" s="155"/>
      <c r="DF277" s="155"/>
      <c r="DG277" s="155"/>
      <c r="DH277" s="155"/>
      <c r="DI277" s="155"/>
      <c r="DJ277" s="155"/>
      <c r="DK277" s="155"/>
      <c r="DL277" s="155"/>
      <c r="DM277" s="155"/>
      <c r="DN277" s="155"/>
      <c r="DO277" s="155"/>
      <c r="DP277" s="155"/>
      <c r="DQ277" s="155"/>
      <c r="DR277" s="155"/>
      <c r="DS277" s="155"/>
      <c r="DT277" s="155"/>
      <c r="DU277" s="155"/>
      <c r="DV277" s="155"/>
      <c r="DW277" s="155"/>
      <c r="DX277" s="155"/>
    </row>
    <row r="278" spans="1:128" ht="18" customHeight="1">
      <c r="A278" s="155"/>
      <c r="B278" s="155"/>
      <c r="C278" s="155"/>
      <c r="D278" s="155"/>
      <c r="E278" s="49">
        <v>2036</v>
      </c>
      <c r="F278" s="286" t="s">
        <v>1040</v>
      </c>
      <c r="G278" s="158"/>
      <c r="H278" s="155"/>
      <c r="I278" s="270"/>
      <c r="J278" s="271" t="s">
        <v>1047</v>
      </c>
      <c r="K278" s="280" t="s">
        <v>612</v>
      </c>
      <c r="L278" s="270"/>
      <c r="M278" s="270"/>
      <c r="N278" s="270"/>
      <c r="O278" s="155"/>
      <c r="P278" s="155"/>
      <c r="Q278" s="155"/>
      <c r="R278" s="155"/>
      <c r="S278" s="155"/>
      <c r="T278" s="155"/>
      <c r="U278" s="158"/>
      <c r="V278" s="155"/>
      <c r="W278" s="155"/>
      <c r="X278" s="263"/>
      <c r="Y278" s="155"/>
      <c r="Z278" s="155"/>
      <c r="AA278" s="263"/>
      <c r="AB278" s="263"/>
      <c r="AC278" s="155"/>
      <c r="AD278" s="155"/>
      <c r="AE278" s="155"/>
      <c r="AF278" s="155"/>
      <c r="AG278" s="271"/>
      <c r="AH278" s="271" t="s">
        <v>985</v>
      </c>
      <c r="AI278" s="270">
        <v>11</v>
      </c>
      <c r="AJ278" s="155"/>
      <c r="AK278" s="271" t="s">
        <v>867</v>
      </c>
      <c r="AL278" s="271" t="s">
        <v>435</v>
      </c>
      <c r="AM278" s="155"/>
      <c r="AN278" s="282">
        <v>2044</v>
      </c>
      <c r="AO278" s="216" t="s">
        <v>971</v>
      </c>
      <c r="AP278" s="284" t="s">
        <v>617</v>
      </c>
      <c r="AQ278" s="285">
        <v>1</v>
      </c>
      <c r="AR278" s="155"/>
      <c r="AS278" s="155"/>
      <c r="AT278" s="155"/>
      <c r="AU278" s="155"/>
      <c r="AV278" s="155"/>
      <c r="AW278" s="155"/>
      <c r="AX278" s="155"/>
      <c r="AY278" s="155"/>
      <c r="AZ278" s="49"/>
      <c r="BA278" s="49"/>
      <c r="BB278" s="49"/>
      <c r="BC278" s="49"/>
      <c r="BD278" s="49"/>
      <c r="BE278" s="49"/>
      <c r="BF278" s="49"/>
      <c r="BG278" s="49"/>
      <c r="BH278" s="49"/>
      <c r="BI278" s="155"/>
      <c r="BJ278" s="155"/>
      <c r="BK278" s="155"/>
      <c r="BL278" s="49"/>
      <c r="BM278" s="49"/>
      <c r="BN278" s="49"/>
      <c r="BO278" s="49"/>
      <c r="BP278" s="49"/>
      <c r="BQ278" s="49"/>
      <c r="BR278" s="49"/>
      <c r="BS278" s="49"/>
      <c r="BT278" s="271" t="s">
        <v>886</v>
      </c>
      <c r="BU278" s="280" t="s">
        <v>660</v>
      </c>
      <c r="BV278" s="155">
        <v>0</v>
      </c>
      <c r="BW278" s="49"/>
      <c r="BX278" s="49"/>
      <c r="BY278" s="49"/>
      <c r="BZ278" s="49"/>
      <c r="CA278" s="49"/>
      <c r="CB278" s="49"/>
      <c r="CC278" s="49"/>
      <c r="CD278" s="49"/>
      <c r="CE278" s="49"/>
      <c r="CF278" s="49"/>
      <c r="CG278" s="49"/>
      <c r="CH278" s="49"/>
      <c r="CI278" s="49"/>
      <c r="CJ278" s="49"/>
      <c r="CK278" s="49"/>
      <c r="CL278" s="49"/>
      <c r="CM278" s="49"/>
      <c r="CN278" s="49"/>
      <c r="CO278" s="49"/>
      <c r="CP278" s="49"/>
      <c r="CQ278" s="49"/>
      <c r="CR278" s="49"/>
      <c r="CS278" s="49"/>
      <c r="CT278" s="155"/>
      <c r="CU278" s="155"/>
      <c r="CV278" s="155"/>
      <c r="CW278" s="155"/>
      <c r="CX278" s="155"/>
      <c r="CY278" s="155"/>
      <c r="CZ278" s="155"/>
      <c r="DA278" s="155"/>
      <c r="DB278" s="155"/>
      <c r="DC278" s="155"/>
      <c r="DD278" s="155"/>
      <c r="DE278" s="155"/>
      <c r="DF278" s="155"/>
      <c r="DG278" s="155"/>
      <c r="DH278" s="155"/>
      <c r="DI278" s="155"/>
      <c r="DJ278" s="155"/>
      <c r="DK278" s="155"/>
      <c r="DL278" s="155"/>
      <c r="DM278" s="155"/>
      <c r="DN278" s="155"/>
      <c r="DO278" s="155"/>
      <c r="DP278" s="155"/>
      <c r="DQ278" s="155"/>
      <c r="DR278" s="155"/>
      <c r="DS278" s="155"/>
      <c r="DT278" s="155"/>
      <c r="DU278" s="155"/>
      <c r="DV278" s="155"/>
      <c r="DW278" s="155"/>
      <c r="DX278" s="155"/>
    </row>
    <row r="279" spans="1:128" ht="18" customHeight="1">
      <c r="A279" s="155"/>
      <c r="B279" s="155"/>
      <c r="C279" s="155"/>
      <c r="D279" s="155"/>
      <c r="E279" s="49">
        <v>2037</v>
      </c>
      <c r="F279" s="286" t="s">
        <v>1031</v>
      </c>
      <c r="G279" s="158"/>
      <c r="H279" s="155"/>
      <c r="I279" s="270"/>
      <c r="J279" s="271" t="s">
        <v>1048</v>
      </c>
      <c r="K279" s="280" t="s">
        <v>660</v>
      </c>
      <c r="L279" s="270"/>
      <c r="M279" s="270"/>
      <c r="N279" s="270"/>
      <c r="O279" s="155"/>
      <c r="P279" s="155"/>
      <c r="Q279" s="155"/>
      <c r="R279" s="155"/>
      <c r="S279" s="155"/>
      <c r="T279" s="155"/>
      <c r="U279" s="158"/>
      <c r="V279" s="155"/>
      <c r="W279" s="155"/>
      <c r="X279" s="263"/>
      <c r="Y279" s="155"/>
      <c r="Z279" s="155"/>
      <c r="AA279" s="263"/>
      <c r="AB279" s="263"/>
      <c r="AC279" s="155"/>
      <c r="AD279" s="155"/>
      <c r="AE279" s="155"/>
      <c r="AF279" s="155"/>
      <c r="AG279" s="271"/>
      <c r="AH279" s="271" t="s">
        <v>991</v>
      </c>
      <c r="AI279" s="270">
        <v>12</v>
      </c>
      <c r="AJ279" s="155"/>
      <c r="AK279" s="271" t="s">
        <v>870</v>
      </c>
      <c r="AL279" s="271" t="s">
        <v>435</v>
      </c>
      <c r="AM279" s="155"/>
      <c r="AN279" s="282">
        <v>2045</v>
      </c>
      <c r="AO279" s="216" t="s">
        <v>971</v>
      </c>
      <c r="AP279" s="284" t="s">
        <v>684</v>
      </c>
      <c r="AQ279" s="285">
        <v>2</v>
      </c>
      <c r="AR279" s="155"/>
      <c r="AS279" s="155"/>
      <c r="AT279" s="155"/>
      <c r="AU279" s="155"/>
      <c r="AV279" s="155"/>
      <c r="AW279" s="155"/>
      <c r="AX279" s="155"/>
      <c r="AY279" s="155"/>
      <c r="AZ279" s="49"/>
      <c r="BA279" s="49"/>
      <c r="BB279" s="49"/>
      <c r="BC279" s="49"/>
      <c r="BD279" s="49"/>
      <c r="BE279" s="49"/>
      <c r="BF279" s="49"/>
      <c r="BG279" s="49"/>
      <c r="BH279" s="49"/>
      <c r="BI279" s="155"/>
      <c r="BJ279" s="155"/>
      <c r="BK279" s="155"/>
      <c r="BL279" s="49"/>
      <c r="BM279" s="49"/>
      <c r="BN279" s="49"/>
      <c r="BO279" s="49"/>
      <c r="BP279" s="49"/>
      <c r="BQ279" s="49"/>
      <c r="BR279" s="49"/>
      <c r="BS279" s="49"/>
      <c r="BT279" s="271" t="s">
        <v>890</v>
      </c>
      <c r="BU279" s="280" t="s">
        <v>628</v>
      </c>
      <c r="BV279" s="155">
        <v>1</v>
      </c>
      <c r="BW279" s="49"/>
      <c r="BX279" s="49"/>
      <c r="BY279" s="49"/>
      <c r="BZ279" s="49"/>
      <c r="CA279" s="49"/>
      <c r="CB279" s="49"/>
      <c r="CC279" s="49"/>
      <c r="CD279" s="49"/>
      <c r="CE279" s="49"/>
      <c r="CF279" s="49"/>
      <c r="CG279" s="49"/>
      <c r="CH279" s="49"/>
      <c r="CI279" s="49"/>
      <c r="CJ279" s="49"/>
      <c r="CK279" s="49"/>
      <c r="CL279" s="49"/>
      <c r="CM279" s="49"/>
      <c r="CN279" s="49"/>
      <c r="CO279" s="49"/>
      <c r="CP279" s="49"/>
      <c r="CQ279" s="49"/>
      <c r="CR279" s="49"/>
      <c r="CS279" s="49"/>
      <c r="CT279" s="155"/>
      <c r="CU279" s="155"/>
      <c r="CV279" s="155"/>
      <c r="CW279" s="155"/>
      <c r="CX279" s="155"/>
      <c r="CY279" s="155"/>
      <c r="CZ279" s="155"/>
      <c r="DA279" s="155"/>
      <c r="DB279" s="155"/>
      <c r="DC279" s="155"/>
      <c r="DD279" s="155"/>
      <c r="DE279" s="155"/>
      <c r="DF279" s="155"/>
      <c r="DG279" s="155"/>
      <c r="DH279" s="155"/>
      <c r="DI279" s="155"/>
      <c r="DJ279" s="155"/>
      <c r="DK279" s="155"/>
      <c r="DL279" s="155"/>
      <c r="DM279" s="155"/>
      <c r="DN279" s="155"/>
      <c r="DO279" s="155"/>
      <c r="DP279" s="155"/>
      <c r="DQ279" s="155"/>
      <c r="DR279" s="155"/>
      <c r="DS279" s="155"/>
      <c r="DT279" s="155"/>
      <c r="DU279" s="155"/>
      <c r="DV279" s="155"/>
      <c r="DW279" s="155"/>
      <c r="DX279" s="155"/>
    </row>
    <row r="280" spans="1:128" ht="18" customHeight="1">
      <c r="A280" s="155"/>
      <c r="B280" s="155"/>
      <c r="C280" s="155"/>
      <c r="D280" s="155"/>
      <c r="E280" s="49">
        <v>2038</v>
      </c>
      <c r="F280" s="286" t="s">
        <v>981</v>
      </c>
      <c r="G280" s="158"/>
      <c r="H280" s="155"/>
      <c r="I280" s="270"/>
      <c r="J280" s="271" t="s">
        <v>1046</v>
      </c>
      <c r="K280" s="280" t="s">
        <v>628</v>
      </c>
      <c r="L280" s="270"/>
      <c r="M280" s="270"/>
      <c r="N280" s="270"/>
      <c r="O280" s="155"/>
      <c r="P280" s="155"/>
      <c r="Q280" s="155"/>
      <c r="R280" s="155"/>
      <c r="S280" s="155"/>
      <c r="T280" s="155"/>
      <c r="U280" s="158"/>
      <c r="V280" s="155"/>
      <c r="W280" s="155"/>
      <c r="X280" s="263"/>
      <c r="Y280" s="155"/>
      <c r="Z280" s="155"/>
      <c r="AA280" s="263"/>
      <c r="AB280" s="263"/>
      <c r="AC280" s="155"/>
      <c r="AD280" s="155"/>
      <c r="AE280" s="155"/>
      <c r="AF280" s="155"/>
      <c r="AG280" s="271"/>
      <c r="AH280" s="271" t="s">
        <v>994</v>
      </c>
      <c r="AI280" s="270">
        <v>8</v>
      </c>
      <c r="AJ280" s="155"/>
      <c r="AK280" s="271" t="s">
        <v>874</v>
      </c>
      <c r="AL280" s="271" t="s">
        <v>431</v>
      </c>
      <c r="AM280" s="155"/>
      <c r="AN280" s="282">
        <v>2046</v>
      </c>
      <c r="AO280" s="216" t="s">
        <v>979</v>
      </c>
      <c r="AP280" s="284" t="s">
        <v>735</v>
      </c>
      <c r="AQ280" s="285">
        <v>3</v>
      </c>
      <c r="AR280" s="155"/>
      <c r="AS280" s="155"/>
      <c r="AT280" s="155"/>
      <c r="AU280" s="155"/>
      <c r="AV280" s="155"/>
      <c r="AW280" s="155"/>
      <c r="AX280" s="155"/>
      <c r="AY280" s="155"/>
      <c r="AZ280" s="49"/>
      <c r="BA280" s="49"/>
      <c r="BB280" s="49"/>
      <c r="BC280" s="49"/>
      <c r="BD280" s="49"/>
      <c r="BE280" s="49"/>
      <c r="BF280" s="49"/>
      <c r="BG280" s="49"/>
      <c r="BH280" s="49"/>
      <c r="BI280" s="155"/>
      <c r="BJ280" s="155"/>
      <c r="BK280" s="155"/>
      <c r="BL280" s="49"/>
      <c r="BM280" s="49"/>
      <c r="BN280" s="49"/>
      <c r="BO280" s="49"/>
      <c r="BP280" s="49"/>
      <c r="BQ280" s="49"/>
      <c r="BR280" s="49"/>
      <c r="BS280" s="49"/>
      <c r="BT280" s="271" t="s">
        <v>895</v>
      </c>
      <c r="BU280" s="280" t="s">
        <v>612</v>
      </c>
      <c r="BV280" s="155">
        <v>0</v>
      </c>
      <c r="BW280" s="49"/>
      <c r="BX280" s="49"/>
      <c r="BY280" s="49"/>
      <c r="BZ280" s="49"/>
      <c r="CA280" s="49"/>
      <c r="CB280" s="49"/>
      <c r="CC280" s="49"/>
      <c r="CD280" s="49"/>
      <c r="CE280" s="49"/>
      <c r="CF280" s="49"/>
      <c r="CG280" s="49"/>
      <c r="CH280" s="49"/>
      <c r="CI280" s="49"/>
      <c r="CJ280" s="49"/>
      <c r="CK280" s="49"/>
      <c r="CL280" s="49"/>
      <c r="CM280" s="49"/>
      <c r="CN280" s="49"/>
      <c r="CO280" s="49"/>
      <c r="CP280" s="49"/>
      <c r="CQ280" s="49"/>
      <c r="CR280" s="49"/>
      <c r="CS280" s="49"/>
      <c r="CT280" s="155"/>
      <c r="CU280" s="155"/>
      <c r="CV280" s="155"/>
      <c r="CW280" s="155"/>
      <c r="CX280" s="155"/>
      <c r="CY280" s="155"/>
      <c r="CZ280" s="155"/>
      <c r="DA280" s="155"/>
      <c r="DB280" s="155"/>
      <c r="DC280" s="155"/>
      <c r="DD280" s="155"/>
      <c r="DE280" s="155"/>
      <c r="DF280" s="155"/>
      <c r="DG280" s="155"/>
      <c r="DH280" s="155"/>
      <c r="DI280" s="155"/>
      <c r="DJ280" s="155"/>
      <c r="DK280" s="155"/>
      <c r="DL280" s="155"/>
      <c r="DM280" s="155"/>
      <c r="DN280" s="155"/>
      <c r="DO280" s="155"/>
      <c r="DP280" s="155"/>
      <c r="DQ280" s="155"/>
      <c r="DR280" s="155"/>
      <c r="DS280" s="155"/>
      <c r="DT280" s="155"/>
      <c r="DU280" s="155"/>
      <c r="DV280" s="155"/>
      <c r="DW280" s="155"/>
      <c r="DX280" s="155"/>
    </row>
    <row r="281" spans="1:128" ht="18" customHeight="1">
      <c r="A281" s="155"/>
      <c r="B281" s="155"/>
      <c r="C281" s="155"/>
      <c r="D281" s="155"/>
      <c r="E281" s="49">
        <v>2039</v>
      </c>
      <c r="F281" s="286" t="s">
        <v>857</v>
      </c>
      <c r="G281" s="158"/>
      <c r="H281" s="155"/>
      <c r="I281" s="270"/>
      <c r="J281" s="271" t="s">
        <v>1049</v>
      </c>
      <c r="K281" s="280" t="s">
        <v>628</v>
      </c>
      <c r="L281" s="270"/>
      <c r="M281" s="270"/>
      <c r="N281" s="270"/>
      <c r="O281" s="155"/>
      <c r="P281" s="155"/>
      <c r="Q281" s="155"/>
      <c r="R281" s="155"/>
      <c r="S281" s="155"/>
      <c r="T281" s="155"/>
      <c r="U281" s="158"/>
      <c r="V281" s="155"/>
      <c r="W281" s="155"/>
      <c r="X281" s="263"/>
      <c r="Y281" s="155"/>
      <c r="Z281" s="155"/>
      <c r="AA281" s="263"/>
      <c r="AB281" s="263"/>
      <c r="AC281" s="155"/>
      <c r="AD281" s="155"/>
      <c r="AE281" s="155"/>
      <c r="AF281" s="155"/>
      <c r="AG281" s="271"/>
      <c r="AH281" s="271" t="s">
        <v>999</v>
      </c>
      <c r="AI281" s="270">
        <v>4</v>
      </c>
      <c r="AJ281" s="155"/>
      <c r="AK281" s="271" t="s">
        <v>877</v>
      </c>
      <c r="AL281" s="271" t="s">
        <v>431</v>
      </c>
      <c r="AM281" s="155"/>
      <c r="AN281" s="282">
        <v>2047</v>
      </c>
      <c r="AO281" s="216" t="s">
        <v>979</v>
      </c>
      <c r="AP281" s="284" t="s">
        <v>833</v>
      </c>
      <c r="AQ281" s="285">
        <v>4</v>
      </c>
      <c r="AR281" s="155"/>
      <c r="AS281" s="155"/>
      <c r="AT281" s="155"/>
      <c r="AU281" s="155"/>
      <c r="AV281" s="155"/>
      <c r="AW281" s="155"/>
      <c r="AX281" s="155"/>
      <c r="AY281" s="155"/>
      <c r="AZ281" s="49"/>
      <c r="BA281" s="49"/>
      <c r="BB281" s="49"/>
      <c r="BC281" s="49"/>
      <c r="BD281" s="49"/>
      <c r="BE281" s="49"/>
      <c r="BF281" s="49"/>
      <c r="BG281" s="49"/>
      <c r="BH281" s="49"/>
      <c r="BI281" s="155"/>
      <c r="BJ281" s="155"/>
      <c r="BK281" s="155"/>
      <c r="BL281" s="49"/>
      <c r="BM281" s="49"/>
      <c r="BN281" s="49"/>
      <c r="BO281" s="49"/>
      <c r="BP281" s="49"/>
      <c r="BQ281" s="49"/>
      <c r="BR281" s="49"/>
      <c r="BS281" s="49"/>
      <c r="BT281" s="271" t="s">
        <v>898</v>
      </c>
      <c r="BU281" s="280" t="s">
        <v>612</v>
      </c>
      <c r="BV281" s="155">
        <v>0</v>
      </c>
      <c r="BW281" s="49"/>
      <c r="BX281" s="49"/>
      <c r="BY281" s="49"/>
      <c r="BZ281" s="49"/>
      <c r="CA281" s="49"/>
      <c r="CB281" s="49"/>
      <c r="CC281" s="49"/>
      <c r="CD281" s="49"/>
      <c r="CE281" s="49"/>
      <c r="CF281" s="49"/>
      <c r="CG281" s="49"/>
      <c r="CH281" s="49"/>
      <c r="CI281" s="49"/>
      <c r="CJ281" s="49"/>
      <c r="CK281" s="49"/>
      <c r="CL281" s="49"/>
      <c r="CM281" s="49"/>
      <c r="CN281" s="49"/>
      <c r="CO281" s="49"/>
      <c r="CP281" s="49"/>
      <c r="CQ281" s="49"/>
      <c r="CR281" s="49"/>
      <c r="CS281" s="49"/>
      <c r="CT281" s="155"/>
      <c r="CU281" s="155"/>
      <c r="CV281" s="155"/>
      <c r="CW281" s="155"/>
      <c r="CX281" s="155"/>
      <c r="CY281" s="155"/>
      <c r="CZ281" s="155"/>
      <c r="DA281" s="155"/>
      <c r="DB281" s="155"/>
      <c r="DC281" s="155"/>
      <c r="DD281" s="155"/>
      <c r="DE281" s="155"/>
      <c r="DF281" s="155"/>
      <c r="DG281" s="155"/>
      <c r="DH281" s="155"/>
      <c r="DI281" s="155"/>
      <c r="DJ281" s="155"/>
      <c r="DK281" s="155"/>
      <c r="DL281" s="155"/>
      <c r="DM281" s="155"/>
      <c r="DN281" s="155"/>
      <c r="DO281" s="155"/>
      <c r="DP281" s="155"/>
      <c r="DQ281" s="155"/>
      <c r="DR281" s="155"/>
      <c r="DS281" s="155"/>
      <c r="DT281" s="155"/>
      <c r="DU281" s="155"/>
      <c r="DV281" s="155"/>
      <c r="DW281" s="155"/>
      <c r="DX281" s="155"/>
    </row>
    <row r="282" spans="1:128" ht="18" customHeight="1">
      <c r="A282" s="155"/>
      <c r="B282" s="155"/>
      <c r="C282" s="155"/>
      <c r="D282" s="155"/>
      <c r="E282" s="49">
        <v>2040</v>
      </c>
      <c r="F282" s="286" t="s">
        <v>1040</v>
      </c>
      <c r="G282" s="158"/>
      <c r="H282" s="155"/>
      <c r="I282" s="270"/>
      <c r="J282" s="271" t="s">
        <v>1038</v>
      </c>
      <c r="K282" s="280" t="s">
        <v>660</v>
      </c>
      <c r="L282" s="270"/>
      <c r="M282" s="270"/>
      <c r="N282" s="270"/>
      <c r="O282" s="155"/>
      <c r="P282" s="155"/>
      <c r="Q282" s="155"/>
      <c r="R282" s="155"/>
      <c r="S282" s="155"/>
      <c r="T282" s="155"/>
      <c r="U282" s="158"/>
      <c r="V282" s="155"/>
      <c r="W282" s="155"/>
      <c r="X282" s="263"/>
      <c r="Y282" s="155"/>
      <c r="Z282" s="155"/>
      <c r="AA282" s="263"/>
      <c r="AB282" s="263"/>
      <c r="AC282" s="155"/>
      <c r="AD282" s="155"/>
      <c r="AE282" s="155"/>
      <c r="AF282" s="155"/>
      <c r="AG282" s="271"/>
      <c r="AH282" s="271" t="s">
        <v>1003</v>
      </c>
      <c r="AI282" s="270">
        <v>2</v>
      </c>
      <c r="AJ282" s="155"/>
      <c r="AK282" s="271" t="s">
        <v>881</v>
      </c>
      <c r="AL282" s="271" t="s">
        <v>431</v>
      </c>
      <c r="AM282" s="155"/>
      <c r="AN282" s="282">
        <v>2048</v>
      </c>
      <c r="AO282" s="216" t="s">
        <v>988</v>
      </c>
      <c r="AP282" s="284" t="s">
        <v>890</v>
      </c>
      <c r="AQ282" s="285">
        <v>5</v>
      </c>
      <c r="AR282" s="155"/>
      <c r="AS282" s="155"/>
      <c r="AT282" s="155"/>
      <c r="AU282" s="155"/>
      <c r="AV282" s="155"/>
      <c r="AW282" s="155"/>
      <c r="AX282" s="155"/>
      <c r="AY282" s="155"/>
      <c r="AZ282" s="49"/>
      <c r="BA282" s="49"/>
      <c r="BB282" s="49"/>
      <c r="BC282" s="49"/>
      <c r="BD282" s="49"/>
      <c r="BE282" s="49"/>
      <c r="BF282" s="49"/>
      <c r="BG282" s="49"/>
      <c r="BH282" s="49"/>
      <c r="BI282" s="155"/>
      <c r="BJ282" s="155"/>
      <c r="BK282" s="155"/>
      <c r="BL282" s="49"/>
      <c r="BM282" s="49"/>
      <c r="BN282" s="49"/>
      <c r="BO282" s="49"/>
      <c r="BP282" s="49"/>
      <c r="BQ282" s="49"/>
      <c r="BR282" s="49"/>
      <c r="BS282" s="49"/>
      <c r="BT282" s="271" t="s">
        <v>902</v>
      </c>
      <c r="BU282" s="280" t="s">
        <v>628</v>
      </c>
      <c r="BV282" s="155">
        <v>0</v>
      </c>
      <c r="BW282" s="49"/>
      <c r="BX282" s="49"/>
      <c r="BY282" s="49"/>
      <c r="BZ282" s="49"/>
      <c r="CA282" s="49"/>
      <c r="CB282" s="49"/>
      <c r="CC282" s="49"/>
      <c r="CD282" s="49"/>
      <c r="CE282" s="49"/>
      <c r="CF282" s="49"/>
      <c r="CG282" s="49"/>
      <c r="CH282" s="49"/>
      <c r="CI282" s="49"/>
      <c r="CJ282" s="49"/>
      <c r="CK282" s="49"/>
      <c r="CL282" s="49"/>
      <c r="CM282" s="49"/>
      <c r="CN282" s="49"/>
      <c r="CO282" s="49"/>
      <c r="CP282" s="49"/>
      <c r="CQ282" s="49"/>
      <c r="CR282" s="49"/>
      <c r="CS282" s="49"/>
      <c r="CT282" s="155"/>
      <c r="CU282" s="155"/>
      <c r="CV282" s="155"/>
      <c r="CW282" s="155"/>
      <c r="CX282" s="155"/>
      <c r="CY282" s="155"/>
      <c r="CZ282" s="155"/>
      <c r="DA282" s="155"/>
      <c r="DB282" s="155"/>
      <c r="DC282" s="155"/>
      <c r="DD282" s="155"/>
      <c r="DE282" s="155"/>
      <c r="DF282" s="155"/>
      <c r="DG282" s="155"/>
      <c r="DH282" s="155"/>
      <c r="DI282" s="155"/>
      <c r="DJ282" s="155"/>
      <c r="DK282" s="155"/>
      <c r="DL282" s="155"/>
      <c r="DM282" s="155"/>
      <c r="DN282" s="155"/>
      <c r="DO282" s="155"/>
      <c r="DP282" s="155"/>
      <c r="DQ282" s="155"/>
      <c r="DR282" s="155"/>
      <c r="DS282" s="155"/>
      <c r="DT282" s="155"/>
      <c r="DU282" s="155"/>
      <c r="DV282" s="155"/>
      <c r="DW282" s="155"/>
      <c r="DX282" s="155"/>
    </row>
    <row r="283" spans="1:128" ht="18" customHeight="1">
      <c r="A283" s="155"/>
      <c r="B283" s="155"/>
      <c r="C283" s="155"/>
      <c r="D283" s="155"/>
      <c r="E283" s="49">
        <v>2041</v>
      </c>
      <c r="F283" s="49" t="s">
        <v>1031</v>
      </c>
      <c r="G283" s="158"/>
      <c r="H283" s="155"/>
      <c r="I283" s="270"/>
      <c r="J283" s="271" t="s">
        <v>1050</v>
      </c>
      <c r="K283" s="280" t="s">
        <v>645</v>
      </c>
      <c r="L283" s="270"/>
      <c r="M283" s="270"/>
      <c r="N283" s="270"/>
      <c r="O283" s="155"/>
      <c r="P283" s="155"/>
      <c r="Q283" s="155"/>
      <c r="R283" s="155"/>
      <c r="S283" s="155"/>
      <c r="T283" s="155"/>
      <c r="U283" s="158"/>
      <c r="V283" s="155"/>
      <c r="W283" s="155"/>
      <c r="X283" s="263"/>
      <c r="Y283" s="155"/>
      <c r="Z283" s="155"/>
      <c r="AA283" s="263"/>
      <c r="AB283" s="263"/>
      <c r="AC283" s="155"/>
      <c r="AD283" s="155"/>
      <c r="AE283" s="155"/>
      <c r="AF283" s="155"/>
      <c r="AG283" s="271"/>
      <c r="AH283" s="271" t="s">
        <v>1007</v>
      </c>
      <c r="AI283" s="270">
        <v>5</v>
      </c>
      <c r="AJ283" s="155"/>
      <c r="AK283" s="271" t="s">
        <v>885</v>
      </c>
      <c r="AL283" s="271" t="s">
        <v>431</v>
      </c>
      <c r="AM283" s="155"/>
      <c r="AN283" s="282">
        <v>2049</v>
      </c>
      <c r="AO283" s="216" t="s">
        <v>988</v>
      </c>
      <c r="AP283" s="284" t="s">
        <v>938</v>
      </c>
      <c r="AQ283" s="285">
        <v>6</v>
      </c>
      <c r="AR283" s="155"/>
      <c r="AS283" s="155"/>
      <c r="AT283" s="155"/>
      <c r="AU283" s="155"/>
      <c r="AV283" s="155"/>
      <c r="AW283" s="155"/>
      <c r="AX283" s="155"/>
      <c r="AY283" s="155"/>
      <c r="AZ283" s="49"/>
      <c r="BA283" s="49"/>
      <c r="BB283" s="49"/>
      <c r="BC283" s="49"/>
      <c r="BD283" s="49"/>
      <c r="BE283" s="49"/>
      <c r="BF283" s="49"/>
      <c r="BG283" s="49"/>
      <c r="BH283" s="49"/>
      <c r="BI283" s="155"/>
      <c r="BJ283" s="155"/>
      <c r="BK283" s="155"/>
      <c r="BL283" s="49"/>
      <c r="BM283" s="49"/>
      <c r="BN283" s="49"/>
      <c r="BO283" s="49"/>
      <c r="BP283" s="49"/>
      <c r="BQ283" s="49"/>
      <c r="BR283" s="49"/>
      <c r="BS283" s="49"/>
      <c r="BT283" s="271" t="s">
        <v>907</v>
      </c>
      <c r="BU283" s="280" t="s">
        <v>645</v>
      </c>
      <c r="BV283" s="155">
        <v>0</v>
      </c>
      <c r="BW283" s="49"/>
      <c r="BX283" s="49"/>
      <c r="BY283" s="49"/>
      <c r="BZ283" s="49"/>
      <c r="CA283" s="49"/>
      <c r="CB283" s="49"/>
      <c r="CC283" s="49"/>
      <c r="CD283" s="49"/>
      <c r="CE283" s="49"/>
      <c r="CF283" s="49"/>
      <c r="CG283" s="49"/>
      <c r="CH283" s="49"/>
      <c r="CI283" s="49"/>
      <c r="CJ283" s="49"/>
      <c r="CK283" s="49"/>
      <c r="CL283" s="49"/>
      <c r="CM283" s="49"/>
      <c r="CN283" s="49"/>
      <c r="CO283" s="49"/>
      <c r="CP283" s="49"/>
      <c r="CQ283" s="49"/>
      <c r="CR283" s="49"/>
      <c r="CS283" s="49"/>
      <c r="CT283" s="155"/>
      <c r="CU283" s="155"/>
      <c r="CV283" s="155"/>
      <c r="CW283" s="155"/>
      <c r="CX283" s="155"/>
      <c r="CY283" s="155"/>
      <c r="CZ283" s="155"/>
      <c r="DA283" s="155"/>
      <c r="DB283" s="155"/>
      <c r="DC283" s="155"/>
      <c r="DD283" s="155"/>
      <c r="DE283" s="155"/>
      <c r="DF283" s="155"/>
      <c r="DG283" s="155"/>
      <c r="DH283" s="155"/>
      <c r="DI283" s="155"/>
      <c r="DJ283" s="155"/>
      <c r="DK283" s="155"/>
      <c r="DL283" s="155"/>
      <c r="DM283" s="155"/>
      <c r="DN283" s="155"/>
      <c r="DO283" s="155"/>
      <c r="DP283" s="155"/>
      <c r="DQ283" s="155"/>
      <c r="DR283" s="155"/>
      <c r="DS283" s="155"/>
      <c r="DT283" s="155"/>
      <c r="DU283" s="155"/>
      <c r="DV283" s="155"/>
      <c r="DW283" s="155"/>
      <c r="DX283" s="155"/>
    </row>
    <row r="284" spans="1:128" ht="18" customHeight="1">
      <c r="A284" s="155"/>
      <c r="B284" s="155"/>
      <c r="C284" s="155"/>
      <c r="D284" s="155"/>
      <c r="E284" s="49">
        <v>2042</v>
      </c>
      <c r="F284" s="49" t="s">
        <v>981</v>
      </c>
      <c r="G284" s="158"/>
      <c r="H284" s="155"/>
      <c r="I284" s="270"/>
      <c r="J284" s="271" t="s">
        <v>1025</v>
      </c>
      <c r="K284" s="280" t="s">
        <v>645</v>
      </c>
      <c r="L284" s="270"/>
      <c r="M284" s="270"/>
      <c r="N284" s="270"/>
      <c r="O284" s="155"/>
      <c r="P284" s="155"/>
      <c r="Q284" s="155"/>
      <c r="R284" s="155"/>
      <c r="S284" s="155"/>
      <c r="T284" s="155"/>
      <c r="U284" s="158"/>
      <c r="V284" s="155"/>
      <c r="W284" s="155"/>
      <c r="X284" s="263"/>
      <c r="Y284" s="155"/>
      <c r="Z284" s="155"/>
      <c r="AA284" s="263"/>
      <c r="AB284" s="263"/>
      <c r="AC284" s="155"/>
      <c r="AD284" s="155"/>
      <c r="AE284" s="155"/>
      <c r="AF284" s="155"/>
      <c r="AG284" s="271"/>
      <c r="AH284" s="271" t="s">
        <v>989</v>
      </c>
      <c r="AI284" s="270">
        <v>1</v>
      </c>
      <c r="AJ284" s="155"/>
      <c r="AK284" s="271" t="s">
        <v>889</v>
      </c>
      <c r="AL284" s="271" t="s">
        <v>431</v>
      </c>
      <c r="AM284" s="155"/>
      <c r="AN284" s="282">
        <v>2050</v>
      </c>
      <c r="AO284" s="216" t="s">
        <v>996</v>
      </c>
      <c r="AP284" s="284" t="s">
        <v>976</v>
      </c>
      <c r="AQ284" s="285">
        <v>7</v>
      </c>
      <c r="AR284" s="155"/>
      <c r="AS284" s="155"/>
      <c r="AT284" s="155"/>
      <c r="AU284" s="155"/>
      <c r="AV284" s="155"/>
      <c r="AW284" s="155"/>
      <c r="AX284" s="155"/>
      <c r="AY284" s="155"/>
      <c r="AZ284" s="49"/>
      <c r="BA284" s="49"/>
      <c r="BB284" s="49"/>
      <c r="BC284" s="49"/>
      <c r="BD284" s="49"/>
      <c r="BE284" s="49"/>
      <c r="BF284" s="49"/>
      <c r="BG284" s="49"/>
      <c r="BH284" s="49"/>
      <c r="BI284" s="155"/>
      <c r="BJ284" s="155"/>
      <c r="BK284" s="155"/>
      <c r="BL284" s="49"/>
      <c r="BM284" s="49"/>
      <c r="BN284" s="49"/>
      <c r="BO284" s="49"/>
      <c r="BP284" s="49"/>
      <c r="BQ284" s="49"/>
      <c r="BR284" s="49"/>
      <c r="BS284" s="49"/>
      <c r="BT284" s="271" t="s">
        <v>910</v>
      </c>
      <c r="BU284" s="280" t="s">
        <v>645</v>
      </c>
      <c r="BV284" s="155">
        <v>0</v>
      </c>
      <c r="BW284" s="49"/>
      <c r="BX284" s="49"/>
      <c r="BY284" s="49"/>
      <c r="BZ284" s="49"/>
      <c r="CA284" s="49"/>
      <c r="CB284" s="49"/>
      <c r="CC284" s="49"/>
      <c r="CD284" s="49"/>
      <c r="CE284" s="49"/>
      <c r="CF284" s="49"/>
      <c r="CG284" s="49"/>
      <c r="CH284" s="49"/>
      <c r="CI284" s="49"/>
      <c r="CJ284" s="49"/>
      <c r="CK284" s="49"/>
      <c r="CL284" s="49"/>
      <c r="CM284" s="49"/>
      <c r="CN284" s="49"/>
      <c r="CO284" s="49"/>
      <c r="CP284" s="49"/>
      <c r="CQ284" s="49"/>
      <c r="CR284" s="49"/>
      <c r="CS284" s="49"/>
      <c r="CT284" s="155"/>
      <c r="CU284" s="155"/>
      <c r="CV284" s="155"/>
      <c r="CW284" s="155"/>
      <c r="CX284" s="155"/>
      <c r="CY284" s="155"/>
      <c r="CZ284" s="155"/>
      <c r="DA284" s="155"/>
      <c r="DB284" s="155"/>
      <c r="DC284" s="155"/>
      <c r="DD284" s="155"/>
      <c r="DE284" s="155"/>
      <c r="DF284" s="155"/>
      <c r="DG284" s="155"/>
      <c r="DH284" s="155"/>
      <c r="DI284" s="155"/>
      <c r="DJ284" s="155"/>
      <c r="DK284" s="155"/>
      <c r="DL284" s="155"/>
      <c r="DM284" s="155"/>
      <c r="DN284" s="155"/>
      <c r="DO284" s="155"/>
      <c r="DP284" s="155"/>
      <c r="DQ284" s="155"/>
      <c r="DR284" s="155"/>
      <c r="DS284" s="155"/>
      <c r="DT284" s="155"/>
      <c r="DU284" s="155"/>
      <c r="DV284" s="155"/>
      <c r="DW284" s="155"/>
      <c r="DX284" s="155"/>
    </row>
    <row r="285" spans="1:128" ht="18" customHeight="1">
      <c r="A285" s="155"/>
      <c r="B285" s="155"/>
      <c r="C285" s="155"/>
      <c r="D285" s="155"/>
      <c r="E285" s="49">
        <v>2043</v>
      </c>
      <c r="F285" s="49" t="s">
        <v>906</v>
      </c>
      <c r="G285" s="158"/>
      <c r="H285" s="155"/>
      <c r="I285" s="270"/>
      <c r="J285" s="271" t="s">
        <v>1051</v>
      </c>
      <c r="K285" s="280" t="s">
        <v>660</v>
      </c>
      <c r="L285" s="270"/>
      <c r="M285" s="270"/>
      <c r="N285" s="270"/>
      <c r="O285" s="155"/>
      <c r="P285" s="155"/>
      <c r="Q285" s="155"/>
      <c r="R285" s="155"/>
      <c r="S285" s="155"/>
      <c r="T285" s="155"/>
      <c r="U285" s="158"/>
      <c r="V285" s="155"/>
      <c r="W285" s="155"/>
      <c r="X285" s="263"/>
      <c r="Y285" s="155"/>
      <c r="Z285" s="155"/>
      <c r="AA285" s="263"/>
      <c r="AB285" s="263"/>
      <c r="AC285" s="155"/>
      <c r="AD285" s="155"/>
      <c r="AE285" s="155"/>
      <c r="AF285" s="155"/>
      <c r="AG285" s="271"/>
      <c r="AH285" s="271" t="s">
        <v>1011</v>
      </c>
      <c r="AI285" s="270">
        <v>3</v>
      </c>
      <c r="AJ285" s="155"/>
      <c r="AK285" s="271" t="s">
        <v>894</v>
      </c>
      <c r="AL285" s="271" t="s">
        <v>431</v>
      </c>
      <c r="AM285" s="155"/>
      <c r="AN285" s="155"/>
      <c r="AO285" s="155"/>
      <c r="AP285" s="49"/>
      <c r="AQ285" s="49"/>
      <c r="AR285" s="155"/>
      <c r="AS285" s="155"/>
      <c r="AT285" s="155"/>
      <c r="AU285" s="155"/>
      <c r="AV285" s="155"/>
      <c r="AW285" s="155"/>
      <c r="AX285" s="155"/>
      <c r="AY285" s="155"/>
      <c r="AZ285" s="49"/>
      <c r="BA285" s="49"/>
      <c r="BB285" s="49"/>
      <c r="BC285" s="49"/>
      <c r="BD285" s="49"/>
      <c r="BE285" s="49"/>
      <c r="BF285" s="49"/>
      <c r="BG285" s="49"/>
      <c r="BH285" s="49"/>
      <c r="BI285" s="155"/>
      <c r="BJ285" s="155"/>
      <c r="BK285" s="155"/>
      <c r="BL285" s="49"/>
      <c r="BM285" s="49"/>
      <c r="BN285" s="49"/>
      <c r="BO285" s="49"/>
      <c r="BP285" s="49"/>
      <c r="BQ285" s="49"/>
      <c r="BR285" s="49"/>
      <c r="BS285" s="49"/>
      <c r="BT285" s="271" t="s">
        <v>913</v>
      </c>
      <c r="BU285" s="280" t="s">
        <v>628</v>
      </c>
      <c r="BV285" s="155">
        <v>0</v>
      </c>
      <c r="BW285" s="49"/>
      <c r="BX285" s="49"/>
      <c r="BY285" s="49"/>
      <c r="BZ285" s="49"/>
      <c r="CA285" s="49"/>
      <c r="CB285" s="49"/>
      <c r="CC285" s="49"/>
      <c r="CD285" s="49"/>
      <c r="CE285" s="49"/>
      <c r="CF285" s="49"/>
      <c r="CG285" s="49"/>
      <c r="CH285" s="49"/>
      <c r="CI285" s="49"/>
      <c r="CJ285" s="49"/>
      <c r="CK285" s="49"/>
      <c r="CL285" s="49"/>
      <c r="CM285" s="49"/>
      <c r="CN285" s="49"/>
      <c r="CO285" s="49"/>
      <c r="CP285" s="49"/>
      <c r="CQ285" s="49"/>
      <c r="CR285" s="49"/>
      <c r="CS285" s="49"/>
      <c r="CT285" s="155"/>
      <c r="CU285" s="155"/>
      <c r="CV285" s="155"/>
      <c r="CW285" s="155"/>
      <c r="CX285" s="155"/>
      <c r="CY285" s="155"/>
      <c r="CZ285" s="155"/>
      <c r="DA285" s="155"/>
      <c r="DB285" s="155"/>
      <c r="DC285" s="155"/>
      <c r="DD285" s="155"/>
      <c r="DE285" s="155"/>
      <c r="DF285" s="155"/>
      <c r="DG285" s="155"/>
      <c r="DH285" s="155"/>
      <c r="DI285" s="155"/>
      <c r="DJ285" s="155"/>
      <c r="DK285" s="155"/>
      <c r="DL285" s="155"/>
      <c r="DM285" s="155"/>
      <c r="DN285" s="155"/>
      <c r="DO285" s="155"/>
      <c r="DP285" s="155"/>
      <c r="DQ285" s="155"/>
      <c r="DR285" s="155"/>
      <c r="DS285" s="155"/>
      <c r="DT285" s="155"/>
      <c r="DU285" s="155"/>
      <c r="DV285" s="155"/>
      <c r="DW285" s="155"/>
      <c r="DX285" s="155"/>
    </row>
    <row r="286" spans="1:128" ht="18" customHeight="1">
      <c r="A286" s="155"/>
      <c r="B286" s="155"/>
      <c r="C286" s="155"/>
      <c r="D286" s="155"/>
      <c r="E286" s="49">
        <v>2044</v>
      </c>
      <c r="F286" s="49" t="s">
        <v>1040</v>
      </c>
      <c r="G286" s="158"/>
      <c r="H286" s="155"/>
      <c r="I286" s="270"/>
      <c r="J286" s="271" t="s">
        <v>1001</v>
      </c>
      <c r="K286" s="280" t="s">
        <v>622</v>
      </c>
      <c r="L286" s="270"/>
      <c r="M286" s="270"/>
      <c r="N286" s="270"/>
      <c r="O286" s="155"/>
      <c r="P286" s="155"/>
      <c r="Q286" s="155"/>
      <c r="R286" s="155"/>
      <c r="S286" s="155"/>
      <c r="T286" s="155"/>
      <c r="U286" s="158"/>
      <c r="V286" s="155"/>
      <c r="W286" s="155"/>
      <c r="X286" s="263"/>
      <c r="Y286" s="155"/>
      <c r="Z286" s="155"/>
      <c r="AA286" s="263"/>
      <c r="AB286" s="263"/>
      <c r="AC286" s="155"/>
      <c r="AD286" s="155"/>
      <c r="AE286" s="155"/>
      <c r="AF286" s="155"/>
      <c r="AG286" s="271"/>
      <c r="AH286" s="271" t="s">
        <v>947</v>
      </c>
      <c r="AI286" s="270">
        <v>6</v>
      </c>
      <c r="AJ286" s="155"/>
      <c r="AK286" s="271" t="s">
        <v>897</v>
      </c>
      <c r="AL286" s="271" t="s">
        <v>431</v>
      </c>
      <c r="AM286" s="155"/>
      <c r="AN286" s="155"/>
      <c r="AO286" s="155"/>
      <c r="AP286" s="49"/>
      <c r="AQ286" s="49"/>
      <c r="AR286" s="155"/>
      <c r="AS286" s="155"/>
      <c r="AT286" s="155"/>
      <c r="AU286" s="155"/>
      <c r="AV286" s="155"/>
      <c r="AW286" s="155"/>
      <c r="AX286" s="155"/>
      <c r="AY286" s="155"/>
      <c r="AZ286" s="49"/>
      <c r="BA286" s="49"/>
      <c r="BB286" s="49"/>
      <c r="BC286" s="49"/>
      <c r="BD286" s="49"/>
      <c r="BE286" s="49"/>
      <c r="BF286" s="49"/>
      <c r="BG286" s="49"/>
      <c r="BH286" s="49"/>
      <c r="BI286" s="155"/>
      <c r="BJ286" s="155"/>
      <c r="BK286" s="155"/>
      <c r="BL286" s="49"/>
      <c r="BM286" s="49"/>
      <c r="BN286" s="49"/>
      <c r="BO286" s="49"/>
      <c r="BP286" s="49"/>
      <c r="BQ286" s="49"/>
      <c r="BR286" s="49"/>
      <c r="BS286" s="49"/>
      <c r="BT286" s="271" t="s">
        <v>917</v>
      </c>
      <c r="BU286" s="280" t="s">
        <v>622</v>
      </c>
      <c r="BV286" s="155">
        <v>0</v>
      </c>
      <c r="BW286" s="49"/>
      <c r="BX286" s="49"/>
      <c r="BY286" s="49"/>
      <c r="BZ286" s="49"/>
      <c r="CA286" s="49"/>
      <c r="CB286" s="49"/>
      <c r="CC286" s="49"/>
      <c r="CD286" s="49"/>
      <c r="CE286" s="49"/>
      <c r="CF286" s="49"/>
      <c r="CG286" s="49"/>
      <c r="CH286" s="49"/>
      <c r="CI286" s="49"/>
      <c r="CJ286" s="49"/>
      <c r="CK286" s="49"/>
      <c r="CL286" s="49"/>
      <c r="CM286" s="49"/>
      <c r="CN286" s="49"/>
      <c r="CO286" s="49"/>
      <c r="CP286" s="49"/>
      <c r="CQ286" s="49"/>
      <c r="CR286" s="49"/>
      <c r="CS286" s="49"/>
      <c r="CT286" s="155"/>
      <c r="CU286" s="155"/>
      <c r="CV286" s="155"/>
      <c r="CW286" s="155"/>
      <c r="CX286" s="155"/>
      <c r="CY286" s="155"/>
      <c r="CZ286" s="155"/>
      <c r="DA286" s="155"/>
      <c r="DB286" s="155"/>
      <c r="DC286" s="155"/>
      <c r="DD286" s="155"/>
      <c r="DE286" s="155"/>
      <c r="DF286" s="155"/>
      <c r="DG286" s="155"/>
      <c r="DH286" s="155"/>
      <c r="DI286" s="155"/>
      <c r="DJ286" s="155"/>
      <c r="DK286" s="155"/>
      <c r="DL286" s="155"/>
      <c r="DM286" s="155"/>
      <c r="DN286" s="155"/>
      <c r="DO286" s="155"/>
      <c r="DP286" s="155"/>
      <c r="DQ286" s="155"/>
      <c r="DR286" s="155"/>
      <c r="DS286" s="155"/>
      <c r="DT286" s="155"/>
      <c r="DU286" s="155"/>
      <c r="DV286" s="155"/>
      <c r="DW286" s="155"/>
      <c r="DX286" s="155"/>
    </row>
    <row r="287" spans="1:128" ht="18" customHeight="1">
      <c r="A287" s="155"/>
      <c r="B287" s="155"/>
      <c r="C287" s="155"/>
      <c r="D287" s="155"/>
      <c r="E287" s="49">
        <v>2045</v>
      </c>
      <c r="F287" s="49" t="s">
        <v>1031</v>
      </c>
      <c r="G287" s="158"/>
      <c r="H287" s="155"/>
      <c r="I287" s="270"/>
      <c r="J287" s="271" t="s">
        <v>1052</v>
      </c>
      <c r="K287" s="280" t="s">
        <v>622</v>
      </c>
      <c r="L287" s="270"/>
      <c r="M287" s="270"/>
      <c r="N287" s="270"/>
      <c r="O287" s="155"/>
      <c r="P287" s="155"/>
      <c r="Q287" s="155"/>
      <c r="R287" s="155"/>
      <c r="S287" s="155"/>
      <c r="T287" s="155"/>
      <c r="U287" s="158"/>
      <c r="V287" s="155"/>
      <c r="W287" s="155"/>
      <c r="X287" s="263"/>
      <c r="Y287" s="155"/>
      <c r="Z287" s="155"/>
      <c r="AA287" s="263"/>
      <c r="AB287" s="263"/>
      <c r="AC287" s="155"/>
      <c r="AD287" s="155"/>
      <c r="AE287" s="155"/>
      <c r="AF287" s="155"/>
      <c r="AG287" s="271"/>
      <c r="AH287" s="271" t="s">
        <v>1029</v>
      </c>
      <c r="AI287" s="270">
        <v>9</v>
      </c>
      <c r="AJ287" s="155"/>
      <c r="AK287" s="271" t="s">
        <v>901</v>
      </c>
      <c r="AL287" s="271" t="s">
        <v>431</v>
      </c>
      <c r="AM287" s="155"/>
      <c r="AN287" s="155"/>
      <c r="AO287" s="155"/>
      <c r="AP287" s="49"/>
      <c r="AQ287" s="49"/>
      <c r="AR287" s="155"/>
      <c r="AS287" s="155"/>
      <c r="AT287" s="155"/>
      <c r="AU287" s="155"/>
      <c r="AV287" s="155"/>
      <c r="AW287" s="155"/>
      <c r="AX287" s="155"/>
      <c r="AY287" s="155"/>
      <c r="AZ287" s="49"/>
      <c r="BA287" s="49"/>
      <c r="BB287" s="49"/>
      <c r="BC287" s="49"/>
      <c r="BD287" s="49"/>
      <c r="BE287" s="49"/>
      <c r="BF287" s="49"/>
      <c r="BG287" s="49"/>
      <c r="BH287" s="49"/>
      <c r="BI287" s="155"/>
      <c r="BJ287" s="155"/>
      <c r="BK287" s="155"/>
      <c r="BL287" s="49"/>
      <c r="BM287" s="49"/>
      <c r="BN287" s="49"/>
      <c r="BO287" s="49"/>
      <c r="BP287" s="49"/>
      <c r="BQ287" s="49"/>
      <c r="BR287" s="49"/>
      <c r="BS287" s="49"/>
      <c r="BT287" s="271" t="s">
        <v>921</v>
      </c>
      <c r="BU287" s="280" t="s">
        <v>622</v>
      </c>
      <c r="BV287" s="155">
        <v>1</v>
      </c>
      <c r="BW287" s="49"/>
      <c r="BX287" s="49"/>
      <c r="BY287" s="49"/>
      <c r="BZ287" s="49"/>
      <c r="CA287" s="49"/>
      <c r="CB287" s="49"/>
      <c r="CC287" s="49"/>
      <c r="CD287" s="49"/>
      <c r="CE287" s="49"/>
      <c r="CF287" s="49"/>
      <c r="CG287" s="49"/>
      <c r="CH287" s="49"/>
      <c r="CI287" s="49"/>
      <c r="CJ287" s="49"/>
      <c r="CK287" s="49"/>
      <c r="CL287" s="49"/>
      <c r="CM287" s="49"/>
      <c r="CN287" s="49"/>
      <c r="CO287" s="49"/>
      <c r="CP287" s="49"/>
      <c r="CQ287" s="49"/>
      <c r="CR287" s="49"/>
      <c r="CS287" s="49"/>
      <c r="CT287" s="155"/>
      <c r="CU287" s="155"/>
      <c r="CV287" s="155"/>
      <c r="CW287" s="155"/>
      <c r="CX287" s="155"/>
      <c r="CY287" s="155"/>
      <c r="CZ287" s="155"/>
      <c r="DA287" s="155"/>
      <c r="DB287" s="155"/>
      <c r="DC287" s="155"/>
      <c r="DD287" s="155"/>
      <c r="DE287" s="155"/>
      <c r="DF287" s="155"/>
      <c r="DG287" s="155"/>
      <c r="DH287" s="155"/>
      <c r="DI287" s="155"/>
      <c r="DJ287" s="155"/>
      <c r="DK287" s="155"/>
      <c r="DL287" s="155"/>
      <c r="DM287" s="155"/>
      <c r="DN287" s="155"/>
      <c r="DO287" s="155"/>
      <c r="DP287" s="155"/>
      <c r="DQ287" s="155"/>
      <c r="DR287" s="155"/>
      <c r="DS287" s="155"/>
      <c r="DT287" s="155"/>
      <c r="DU287" s="155"/>
      <c r="DV287" s="155"/>
      <c r="DW287" s="155"/>
      <c r="DX287" s="155"/>
    </row>
    <row r="288" spans="1:128" ht="18" customHeight="1">
      <c r="A288" s="155"/>
      <c r="B288" s="155"/>
      <c r="C288" s="155"/>
      <c r="D288" s="155"/>
      <c r="E288" s="49">
        <v>2046</v>
      </c>
      <c r="F288" s="49" t="s">
        <v>1027</v>
      </c>
      <c r="G288" s="158"/>
      <c r="H288" s="155"/>
      <c r="I288" s="270"/>
      <c r="J288" s="271" t="s">
        <v>960</v>
      </c>
      <c r="K288" s="280" t="s">
        <v>660</v>
      </c>
      <c r="L288" s="270"/>
      <c r="M288" s="270"/>
      <c r="N288" s="270"/>
      <c r="O288" s="155"/>
      <c r="P288" s="155"/>
      <c r="Q288" s="155"/>
      <c r="R288" s="155"/>
      <c r="S288" s="155"/>
      <c r="T288" s="155"/>
      <c r="U288" s="158"/>
      <c r="V288" s="155"/>
      <c r="W288" s="155"/>
      <c r="X288" s="263"/>
      <c r="Y288" s="155"/>
      <c r="Z288" s="155"/>
      <c r="AA288" s="263"/>
      <c r="AB288" s="263"/>
      <c r="AC288" s="155"/>
      <c r="AD288" s="155"/>
      <c r="AE288" s="155"/>
      <c r="AF288" s="155"/>
      <c r="AG288" s="271"/>
      <c r="AH288" s="271" t="s">
        <v>1028</v>
      </c>
      <c r="AI288" s="270">
        <v>7</v>
      </c>
      <c r="AJ288" s="155"/>
      <c r="AK288" s="271" t="s">
        <v>905</v>
      </c>
      <c r="AL288" s="271" t="s">
        <v>431</v>
      </c>
      <c r="AM288" s="155"/>
      <c r="AN288" s="155"/>
      <c r="AO288" s="155"/>
      <c r="AP288" s="49"/>
      <c r="AQ288" s="49"/>
      <c r="AR288" s="155"/>
      <c r="AS288" s="155"/>
      <c r="AT288" s="155"/>
      <c r="AU288" s="155"/>
      <c r="AV288" s="155"/>
      <c r="AW288" s="155"/>
      <c r="AX288" s="155"/>
      <c r="AY288" s="155"/>
      <c r="AZ288" s="49"/>
      <c r="BA288" s="49"/>
      <c r="BB288" s="49"/>
      <c r="BC288" s="49"/>
      <c r="BD288" s="49"/>
      <c r="BE288" s="49"/>
      <c r="BF288" s="49"/>
      <c r="BG288" s="49"/>
      <c r="BH288" s="49"/>
      <c r="BI288" s="155"/>
      <c r="BJ288" s="155"/>
      <c r="BK288" s="155"/>
      <c r="BL288" s="49"/>
      <c r="BM288" s="49"/>
      <c r="BN288" s="49"/>
      <c r="BO288" s="49"/>
      <c r="BP288" s="49"/>
      <c r="BQ288" s="49"/>
      <c r="BR288" s="49"/>
      <c r="BS288" s="49"/>
      <c r="BT288" s="271" t="s">
        <v>923</v>
      </c>
      <c r="BU288" s="280" t="s">
        <v>628</v>
      </c>
      <c r="BV288" s="155">
        <v>1</v>
      </c>
      <c r="BW288" s="49"/>
      <c r="BX288" s="49"/>
      <c r="BY288" s="49"/>
      <c r="BZ288" s="49"/>
      <c r="CA288" s="49"/>
      <c r="CB288" s="49"/>
      <c r="CC288" s="49"/>
      <c r="CD288" s="49"/>
      <c r="CE288" s="49"/>
      <c r="CF288" s="49"/>
      <c r="CG288" s="49"/>
      <c r="CH288" s="49"/>
      <c r="CI288" s="49"/>
      <c r="CJ288" s="49"/>
      <c r="CK288" s="49"/>
      <c r="CL288" s="49"/>
      <c r="CM288" s="49"/>
      <c r="CN288" s="49"/>
      <c r="CO288" s="49"/>
      <c r="CP288" s="49"/>
      <c r="CQ288" s="49"/>
      <c r="CR288" s="49"/>
      <c r="CS288" s="49"/>
      <c r="CT288" s="155"/>
      <c r="CU288" s="155"/>
      <c r="CV288" s="155"/>
      <c r="CW288" s="155"/>
      <c r="CX288" s="155"/>
      <c r="CY288" s="155"/>
      <c r="CZ288" s="155"/>
      <c r="DA288" s="155"/>
      <c r="DB288" s="155"/>
      <c r="DC288" s="155"/>
      <c r="DD288" s="155"/>
      <c r="DE288" s="155"/>
      <c r="DF288" s="155"/>
      <c r="DG288" s="155"/>
      <c r="DH288" s="155"/>
      <c r="DI288" s="155"/>
      <c r="DJ288" s="155"/>
      <c r="DK288" s="155"/>
      <c r="DL288" s="155"/>
      <c r="DM288" s="155"/>
      <c r="DN288" s="155"/>
      <c r="DO288" s="155"/>
      <c r="DP288" s="155"/>
      <c r="DQ288" s="155"/>
      <c r="DR288" s="155"/>
      <c r="DS288" s="155"/>
      <c r="DT288" s="155"/>
      <c r="DU288" s="155"/>
      <c r="DV288" s="155"/>
      <c r="DW288" s="155"/>
      <c r="DX288" s="155"/>
    </row>
    <row r="289" spans="1:128" ht="18" customHeight="1">
      <c r="A289" s="155"/>
      <c r="B289" s="155"/>
      <c r="C289" s="155"/>
      <c r="D289" s="155"/>
      <c r="E289" s="49">
        <v>2047</v>
      </c>
      <c r="F289" s="49" t="s">
        <v>906</v>
      </c>
      <c r="G289" s="158"/>
      <c r="H289" s="155"/>
      <c r="I289" s="270"/>
      <c r="J289" s="270"/>
      <c r="K289" s="270"/>
      <c r="L289" s="270"/>
      <c r="M289" s="270"/>
      <c r="N289" s="270"/>
      <c r="O289" s="155"/>
      <c r="P289" s="155"/>
      <c r="Q289" s="155"/>
      <c r="R289" s="155"/>
      <c r="S289" s="155"/>
      <c r="T289" s="155"/>
      <c r="U289" s="158"/>
      <c r="V289" s="155"/>
      <c r="W289" s="155"/>
      <c r="X289" s="263"/>
      <c r="Y289" s="155"/>
      <c r="Z289" s="155"/>
      <c r="AA289" s="263"/>
      <c r="AB289" s="263"/>
      <c r="AC289" s="155"/>
      <c r="AD289" s="155"/>
      <c r="AE289" s="155"/>
      <c r="AF289" s="155"/>
      <c r="AG289" s="271"/>
      <c r="AH289" s="271" t="s">
        <v>1026</v>
      </c>
      <c r="AI289" s="270">
        <v>10</v>
      </c>
      <c r="AJ289" s="155"/>
      <c r="AK289" s="271" t="s">
        <v>909</v>
      </c>
      <c r="AL289" s="271" t="s">
        <v>431</v>
      </c>
      <c r="AM289" s="155"/>
      <c r="AN289" s="155"/>
      <c r="AO289" s="155"/>
      <c r="AP289" s="49"/>
      <c r="AQ289" s="49"/>
      <c r="AR289" s="155"/>
      <c r="AS289" s="155"/>
      <c r="AT289" s="155"/>
      <c r="AU289" s="155"/>
      <c r="AV289" s="155"/>
      <c r="AW289" s="155"/>
      <c r="AX289" s="155"/>
      <c r="AY289" s="155"/>
      <c r="AZ289" s="49"/>
      <c r="BA289" s="49"/>
      <c r="BB289" s="49"/>
      <c r="BC289" s="49"/>
      <c r="BD289" s="49"/>
      <c r="BE289" s="49"/>
      <c r="BF289" s="49"/>
      <c r="BG289" s="49"/>
      <c r="BH289" s="49"/>
      <c r="BI289" s="155"/>
      <c r="BJ289" s="155"/>
      <c r="BK289" s="155"/>
      <c r="BL289" s="49"/>
      <c r="BM289" s="49"/>
      <c r="BN289" s="49"/>
      <c r="BO289" s="49"/>
      <c r="BP289" s="49"/>
      <c r="BQ289" s="49"/>
      <c r="BR289" s="49"/>
      <c r="BS289" s="49"/>
      <c r="BT289" s="271" t="s">
        <v>927</v>
      </c>
      <c r="BU289" s="280" t="s">
        <v>660</v>
      </c>
      <c r="BV289" s="155">
        <v>1</v>
      </c>
      <c r="BW289" s="49"/>
      <c r="BX289" s="49"/>
      <c r="BY289" s="49"/>
      <c r="BZ289" s="49"/>
      <c r="CA289" s="49"/>
      <c r="CB289" s="49"/>
      <c r="CC289" s="49"/>
      <c r="CD289" s="49"/>
      <c r="CE289" s="49"/>
      <c r="CF289" s="49"/>
      <c r="CG289" s="49"/>
      <c r="CH289" s="49"/>
      <c r="CI289" s="49"/>
      <c r="CJ289" s="49"/>
      <c r="CK289" s="49"/>
      <c r="CL289" s="49"/>
      <c r="CM289" s="49"/>
      <c r="CN289" s="49"/>
      <c r="CO289" s="49"/>
      <c r="CP289" s="49"/>
      <c r="CQ289" s="49"/>
      <c r="CR289" s="49"/>
      <c r="CS289" s="49"/>
      <c r="CT289" s="155"/>
      <c r="CU289" s="155"/>
      <c r="CV289" s="155"/>
      <c r="CW289" s="155"/>
      <c r="CX289" s="155"/>
      <c r="CY289" s="155"/>
      <c r="CZ289" s="155"/>
      <c r="DA289" s="155"/>
      <c r="DB289" s="155"/>
      <c r="DC289" s="155"/>
      <c r="DD289" s="155"/>
      <c r="DE289" s="155"/>
      <c r="DF289" s="155"/>
      <c r="DG289" s="155"/>
      <c r="DH289" s="155"/>
      <c r="DI289" s="155"/>
      <c r="DJ289" s="155"/>
      <c r="DK289" s="155"/>
      <c r="DL289" s="155"/>
      <c r="DM289" s="155"/>
      <c r="DN289" s="155"/>
      <c r="DO289" s="155"/>
      <c r="DP289" s="155"/>
      <c r="DQ289" s="155"/>
      <c r="DR289" s="155"/>
      <c r="DS289" s="155"/>
      <c r="DT289" s="155"/>
      <c r="DU289" s="155"/>
      <c r="DV289" s="155"/>
      <c r="DW289" s="155"/>
      <c r="DX289" s="155"/>
    </row>
    <row r="290" spans="1:128" ht="18" customHeight="1">
      <c r="A290" s="155"/>
      <c r="B290" s="155"/>
      <c r="C290" s="155"/>
      <c r="D290" s="155"/>
      <c r="E290" s="49">
        <v>2048</v>
      </c>
      <c r="F290" s="49" t="s">
        <v>1053</v>
      </c>
      <c r="G290" s="158"/>
      <c r="H290" s="155"/>
      <c r="I290" s="270"/>
      <c r="J290" s="270"/>
      <c r="K290" s="270"/>
      <c r="L290" s="270"/>
      <c r="M290" s="270"/>
      <c r="N290" s="270"/>
      <c r="O290" s="155"/>
      <c r="P290" s="155"/>
      <c r="Q290" s="155"/>
      <c r="R290" s="155"/>
      <c r="S290" s="155"/>
      <c r="T290" s="155"/>
      <c r="U290" s="158"/>
      <c r="V290" s="155"/>
      <c r="W290" s="155"/>
      <c r="X290" s="263"/>
      <c r="Y290" s="155"/>
      <c r="Z290" s="155"/>
      <c r="AA290" s="263"/>
      <c r="AB290" s="263"/>
      <c r="AC290" s="155"/>
      <c r="AD290" s="155"/>
      <c r="AE290" s="155"/>
      <c r="AF290" s="155"/>
      <c r="AG290" s="271"/>
      <c r="AH290" s="271" t="s">
        <v>1024</v>
      </c>
      <c r="AI290" s="270">
        <v>11</v>
      </c>
      <c r="AJ290" s="155"/>
      <c r="AK290" s="271" t="s">
        <v>912</v>
      </c>
      <c r="AL290" s="271" t="s">
        <v>465</v>
      </c>
      <c r="AM290" s="155"/>
      <c r="AN290" s="155"/>
      <c r="AO290" s="155"/>
      <c r="AP290" s="49"/>
      <c r="AQ290" s="49"/>
      <c r="AR290" s="155"/>
      <c r="AS290" s="155"/>
      <c r="AT290" s="155"/>
      <c r="AU290" s="155"/>
      <c r="AV290" s="155"/>
      <c r="AW290" s="155"/>
      <c r="AX290" s="155"/>
      <c r="AY290" s="155"/>
      <c r="AZ290" s="49"/>
      <c r="BA290" s="49"/>
      <c r="BB290" s="49"/>
      <c r="BC290" s="49"/>
      <c r="BD290" s="49"/>
      <c r="BE290" s="49"/>
      <c r="BF290" s="49"/>
      <c r="BG290" s="49"/>
      <c r="BH290" s="49"/>
      <c r="BI290" s="155"/>
      <c r="BJ290" s="155"/>
      <c r="BK290" s="155"/>
      <c r="BL290" s="49"/>
      <c r="BM290" s="49"/>
      <c r="BN290" s="49"/>
      <c r="BO290" s="49"/>
      <c r="BP290" s="49"/>
      <c r="BQ290" s="49"/>
      <c r="BR290" s="49"/>
      <c r="BS290" s="49"/>
      <c r="BT290" s="271" t="s">
        <v>931</v>
      </c>
      <c r="BU290" s="280" t="s">
        <v>660</v>
      </c>
      <c r="BV290" s="155">
        <v>0</v>
      </c>
      <c r="BW290" s="49"/>
      <c r="BX290" s="49"/>
      <c r="BY290" s="49"/>
      <c r="BZ290" s="49"/>
      <c r="CA290" s="49"/>
      <c r="CB290" s="49"/>
      <c r="CC290" s="49"/>
      <c r="CD290" s="49"/>
      <c r="CE290" s="49"/>
      <c r="CF290" s="49"/>
      <c r="CG290" s="49"/>
      <c r="CH290" s="49"/>
      <c r="CI290" s="49"/>
      <c r="CJ290" s="49"/>
      <c r="CK290" s="49"/>
      <c r="CL290" s="49"/>
      <c r="CM290" s="49"/>
      <c r="CN290" s="49"/>
      <c r="CO290" s="49"/>
      <c r="CP290" s="49"/>
      <c r="CQ290" s="49"/>
      <c r="CR290" s="49"/>
      <c r="CS290" s="49"/>
      <c r="CT290" s="155"/>
      <c r="CU290" s="155"/>
      <c r="CV290" s="155"/>
      <c r="CW290" s="155"/>
      <c r="CX290" s="155"/>
      <c r="CY290" s="155"/>
      <c r="CZ290" s="155"/>
      <c r="DA290" s="155"/>
      <c r="DB290" s="155"/>
      <c r="DC290" s="155"/>
      <c r="DD290" s="155"/>
      <c r="DE290" s="155"/>
      <c r="DF290" s="155"/>
      <c r="DG290" s="155"/>
      <c r="DH290" s="155"/>
      <c r="DI290" s="155"/>
      <c r="DJ290" s="155"/>
      <c r="DK290" s="155"/>
      <c r="DL290" s="155"/>
      <c r="DM290" s="155"/>
      <c r="DN290" s="155"/>
      <c r="DO290" s="155"/>
      <c r="DP290" s="155"/>
      <c r="DQ290" s="155"/>
      <c r="DR290" s="155"/>
      <c r="DS290" s="155"/>
      <c r="DT290" s="155"/>
      <c r="DU290" s="155"/>
      <c r="DV290" s="155"/>
      <c r="DW290" s="155"/>
      <c r="DX290" s="155"/>
    </row>
    <row r="291" spans="1:128" ht="18" customHeight="1">
      <c r="A291" s="155"/>
      <c r="B291" s="155"/>
      <c r="C291" s="155"/>
      <c r="D291" s="155"/>
      <c r="E291" s="49">
        <v>2049</v>
      </c>
      <c r="F291" s="49" t="s">
        <v>1031</v>
      </c>
      <c r="G291" s="158"/>
      <c r="H291" s="155"/>
      <c r="I291" s="270"/>
      <c r="J291" s="270"/>
      <c r="K291" s="270"/>
      <c r="L291" s="270"/>
      <c r="M291" s="270"/>
      <c r="N291" s="270"/>
      <c r="O291" s="155"/>
      <c r="P291" s="155"/>
      <c r="Q291" s="155"/>
      <c r="R291" s="155"/>
      <c r="S291" s="155"/>
      <c r="T291" s="155"/>
      <c r="U291" s="158"/>
      <c r="V291" s="155"/>
      <c r="W291" s="155"/>
      <c r="X291" s="263"/>
      <c r="Y291" s="155"/>
      <c r="Z291" s="155"/>
      <c r="AA291" s="263"/>
      <c r="AB291" s="263"/>
      <c r="AC291" s="155"/>
      <c r="AD291" s="155"/>
      <c r="AE291" s="155"/>
      <c r="AF291" s="155"/>
      <c r="AG291" s="271"/>
      <c r="AH291" s="271" t="s">
        <v>1022</v>
      </c>
      <c r="AI291" s="270">
        <v>12</v>
      </c>
      <c r="AJ291" s="155"/>
      <c r="AK291" s="271" t="s">
        <v>915</v>
      </c>
      <c r="AL291" s="271" t="s">
        <v>465</v>
      </c>
      <c r="AM291" s="155"/>
      <c r="AN291" s="155"/>
      <c r="AO291" s="155"/>
      <c r="AP291" s="49"/>
      <c r="AQ291" s="49"/>
      <c r="AR291" s="155"/>
      <c r="AS291" s="155"/>
      <c r="AT291" s="155"/>
      <c r="AU291" s="155"/>
      <c r="AV291" s="155"/>
      <c r="AW291" s="155"/>
      <c r="AX291" s="155"/>
      <c r="AY291" s="155"/>
      <c r="AZ291" s="49"/>
      <c r="BA291" s="49"/>
      <c r="BB291" s="49"/>
      <c r="BC291" s="49"/>
      <c r="BD291" s="49"/>
      <c r="BE291" s="49"/>
      <c r="BF291" s="49"/>
      <c r="BG291" s="49"/>
      <c r="BH291" s="49"/>
      <c r="BI291" s="155"/>
      <c r="BJ291" s="155"/>
      <c r="BK291" s="155"/>
      <c r="BL291" s="49"/>
      <c r="BM291" s="49"/>
      <c r="BN291" s="49"/>
      <c r="BO291" s="49"/>
      <c r="BP291" s="49"/>
      <c r="BQ291" s="49"/>
      <c r="BR291" s="49"/>
      <c r="BS291" s="49"/>
      <c r="BT291" s="271" t="s">
        <v>935</v>
      </c>
      <c r="BU291" s="280" t="s">
        <v>628</v>
      </c>
      <c r="BV291" s="155">
        <v>0</v>
      </c>
      <c r="BW291" s="49"/>
      <c r="BX291" s="49"/>
      <c r="BY291" s="49"/>
      <c r="BZ291" s="49"/>
      <c r="CA291" s="49"/>
      <c r="CB291" s="49"/>
      <c r="CC291" s="49"/>
      <c r="CD291" s="49"/>
      <c r="CE291" s="49"/>
      <c r="CF291" s="49"/>
      <c r="CG291" s="49"/>
      <c r="CH291" s="49"/>
      <c r="CI291" s="49"/>
      <c r="CJ291" s="49"/>
      <c r="CK291" s="49"/>
      <c r="CL291" s="49"/>
      <c r="CM291" s="49"/>
      <c r="CN291" s="49"/>
      <c r="CO291" s="49"/>
      <c r="CP291" s="49"/>
      <c r="CQ291" s="49"/>
      <c r="CR291" s="49"/>
      <c r="CS291" s="49"/>
      <c r="CT291" s="155"/>
      <c r="CU291" s="155"/>
      <c r="CV291" s="155"/>
      <c r="CW291" s="155"/>
      <c r="CX291" s="155"/>
      <c r="CY291" s="155"/>
      <c r="CZ291" s="155"/>
      <c r="DA291" s="155"/>
      <c r="DB291" s="155"/>
      <c r="DC291" s="155"/>
      <c r="DD291" s="155"/>
      <c r="DE291" s="155"/>
      <c r="DF291" s="155"/>
      <c r="DG291" s="155"/>
      <c r="DH291" s="155"/>
      <c r="DI291" s="155"/>
      <c r="DJ291" s="155"/>
      <c r="DK291" s="155"/>
      <c r="DL291" s="155"/>
      <c r="DM291" s="155"/>
      <c r="DN291" s="155"/>
      <c r="DO291" s="155"/>
      <c r="DP291" s="155"/>
      <c r="DQ291" s="155"/>
      <c r="DR291" s="155"/>
      <c r="DS291" s="155"/>
      <c r="DT291" s="155"/>
      <c r="DU291" s="155"/>
      <c r="DV291" s="155"/>
      <c r="DW291" s="155"/>
      <c r="DX291" s="155"/>
    </row>
    <row r="292" spans="1:128" ht="18" customHeight="1">
      <c r="A292" s="155"/>
      <c r="B292" s="155"/>
      <c r="C292" s="155"/>
      <c r="D292" s="155"/>
      <c r="E292" s="49">
        <v>2050</v>
      </c>
      <c r="F292" s="49" t="s">
        <v>1027</v>
      </c>
      <c r="G292" s="158"/>
      <c r="H292" s="155"/>
      <c r="I292" s="270"/>
      <c r="J292" s="270"/>
      <c r="K292" s="270"/>
      <c r="L292" s="270"/>
      <c r="M292" s="270"/>
      <c r="N292" s="270"/>
      <c r="O292" s="155"/>
      <c r="P292" s="155"/>
      <c r="Q292" s="155"/>
      <c r="R292" s="155"/>
      <c r="S292" s="155"/>
      <c r="T292" s="155"/>
      <c r="U292" s="158"/>
      <c r="V292" s="155"/>
      <c r="W292" s="155"/>
      <c r="X292" s="263"/>
      <c r="Y292" s="155"/>
      <c r="Z292" s="155"/>
      <c r="AA292" s="263"/>
      <c r="AB292" s="263"/>
      <c r="AC292" s="155"/>
      <c r="AD292" s="155"/>
      <c r="AE292" s="155"/>
      <c r="AF292" s="155"/>
      <c r="AG292" s="271"/>
      <c r="AH292" s="271" t="s">
        <v>1020</v>
      </c>
      <c r="AI292" s="270">
        <v>8</v>
      </c>
      <c r="AJ292" s="155"/>
      <c r="AK292" s="271" t="s">
        <v>920</v>
      </c>
      <c r="AL292" s="271" t="s">
        <v>465</v>
      </c>
      <c r="AM292" s="155"/>
      <c r="AN292" s="155"/>
      <c r="AO292" s="155"/>
      <c r="AP292" s="49"/>
      <c r="AQ292" s="49"/>
      <c r="AR292" s="155"/>
      <c r="AS292" s="155"/>
      <c r="AT292" s="155"/>
      <c r="AU292" s="155"/>
      <c r="AV292" s="155"/>
      <c r="AW292" s="155"/>
      <c r="AX292" s="155"/>
      <c r="AY292" s="155"/>
      <c r="AZ292" s="49"/>
      <c r="BA292" s="49"/>
      <c r="BB292" s="49"/>
      <c r="BC292" s="49"/>
      <c r="BD292" s="49"/>
      <c r="BE292" s="49"/>
      <c r="BF292" s="49"/>
      <c r="BG292" s="49"/>
      <c r="BH292" s="49"/>
      <c r="BI292" s="155"/>
      <c r="BJ292" s="155"/>
      <c r="BK292" s="155"/>
      <c r="BL292" s="49"/>
      <c r="BM292" s="49"/>
      <c r="BN292" s="49"/>
      <c r="BO292" s="49"/>
      <c r="BP292" s="49"/>
      <c r="BQ292" s="49"/>
      <c r="BR292" s="49"/>
      <c r="BS292" s="49"/>
      <c r="BT292" s="271" t="s">
        <v>938</v>
      </c>
      <c r="BU292" s="280" t="s">
        <v>612</v>
      </c>
      <c r="BV292" s="155">
        <v>0</v>
      </c>
      <c r="BW292" s="49"/>
      <c r="BX292" s="49"/>
      <c r="BY292" s="49"/>
      <c r="BZ292" s="49"/>
      <c r="CA292" s="49"/>
      <c r="CB292" s="49"/>
      <c r="CC292" s="49"/>
      <c r="CD292" s="49"/>
      <c r="CE292" s="49"/>
      <c r="CF292" s="49"/>
      <c r="CG292" s="49"/>
      <c r="CH292" s="49"/>
      <c r="CI292" s="49"/>
      <c r="CJ292" s="49"/>
      <c r="CK292" s="49"/>
      <c r="CL292" s="49"/>
      <c r="CM292" s="49"/>
      <c r="CN292" s="49"/>
      <c r="CO292" s="49"/>
      <c r="CP292" s="49"/>
      <c r="CQ292" s="49"/>
      <c r="CR292" s="49"/>
      <c r="CS292" s="49"/>
      <c r="CT292" s="155"/>
      <c r="CU292" s="155"/>
      <c r="CV292" s="155"/>
      <c r="CW292" s="155"/>
      <c r="CX292" s="155"/>
      <c r="CY292" s="155"/>
      <c r="CZ292" s="155"/>
      <c r="DA292" s="155"/>
      <c r="DB292" s="155"/>
      <c r="DC292" s="155"/>
      <c r="DD292" s="155"/>
      <c r="DE292" s="155"/>
      <c r="DF292" s="155"/>
      <c r="DG292" s="155"/>
      <c r="DH292" s="155"/>
      <c r="DI292" s="155"/>
      <c r="DJ292" s="155"/>
      <c r="DK292" s="155"/>
      <c r="DL292" s="155"/>
      <c r="DM292" s="155"/>
      <c r="DN292" s="155"/>
      <c r="DO292" s="155"/>
      <c r="DP292" s="155"/>
      <c r="DQ292" s="155"/>
      <c r="DR292" s="155"/>
      <c r="DS292" s="155"/>
      <c r="DT292" s="155"/>
      <c r="DU292" s="155"/>
      <c r="DV292" s="155"/>
      <c r="DW292" s="155"/>
      <c r="DX292" s="155"/>
    </row>
    <row r="293" spans="1:128" ht="18" customHeight="1">
      <c r="A293" s="155"/>
      <c r="B293" s="155"/>
      <c r="C293" s="155"/>
      <c r="D293" s="155"/>
      <c r="E293" s="49">
        <v>2051</v>
      </c>
      <c r="F293" s="49" t="s">
        <v>906</v>
      </c>
      <c r="G293" s="158"/>
      <c r="H293" s="155"/>
      <c r="I293" s="270"/>
      <c r="J293" s="270"/>
      <c r="K293" s="270"/>
      <c r="L293" s="270"/>
      <c r="M293" s="270"/>
      <c r="N293" s="270"/>
      <c r="O293" s="155"/>
      <c r="P293" s="155"/>
      <c r="Q293" s="155"/>
      <c r="R293" s="155"/>
      <c r="S293" s="155"/>
      <c r="T293" s="155"/>
      <c r="U293" s="158"/>
      <c r="V293" s="155"/>
      <c r="W293" s="155"/>
      <c r="X293" s="263"/>
      <c r="Y293" s="155"/>
      <c r="Z293" s="155"/>
      <c r="AA293" s="263"/>
      <c r="AB293" s="263"/>
      <c r="AC293" s="155"/>
      <c r="AD293" s="155"/>
      <c r="AE293" s="155"/>
      <c r="AF293" s="155"/>
      <c r="AG293" s="271"/>
      <c r="AH293" s="271" t="s">
        <v>1019</v>
      </c>
      <c r="AI293" s="270">
        <v>4</v>
      </c>
      <c r="AJ293" s="155"/>
      <c r="AK293" s="271" t="s">
        <v>922</v>
      </c>
      <c r="AL293" s="271" t="s">
        <v>465</v>
      </c>
      <c r="AM293" s="155"/>
      <c r="AN293" s="155"/>
      <c r="AO293" s="155"/>
      <c r="AP293" s="49"/>
      <c r="AQ293" s="49"/>
      <c r="AR293" s="155"/>
      <c r="AS293" s="155"/>
      <c r="AT293" s="155"/>
      <c r="AU293" s="155"/>
      <c r="AV293" s="155"/>
      <c r="AW293" s="155"/>
      <c r="AX293" s="155"/>
      <c r="AY293" s="155"/>
      <c r="AZ293" s="49"/>
      <c r="BA293" s="49"/>
      <c r="BB293" s="49"/>
      <c r="BC293" s="49"/>
      <c r="BD293" s="49"/>
      <c r="BE293" s="49"/>
      <c r="BF293" s="49"/>
      <c r="BG293" s="49"/>
      <c r="BH293" s="49"/>
      <c r="BI293" s="155"/>
      <c r="BJ293" s="155"/>
      <c r="BK293" s="155"/>
      <c r="BL293" s="49"/>
      <c r="BM293" s="49"/>
      <c r="BN293" s="49"/>
      <c r="BO293" s="49"/>
      <c r="BP293" s="49"/>
      <c r="BQ293" s="49"/>
      <c r="BR293" s="49"/>
      <c r="BS293" s="49"/>
      <c r="BT293" s="271" t="s">
        <v>941</v>
      </c>
      <c r="BU293" s="280" t="s">
        <v>612</v>
      </c>
      <c r="BV293" s="155">
        <v>0</v>
      </c>
      <c r="BW293" s="49"/>
      <c r="BX293" s="49"/>
      <c r="BY293" s="49"/>
      <c r="BZ293" s="49"/>
      <c r="CA293" s="49"/>
      <c r="CB293" s="49"/>
      <c r="CC293" s="49"/>
      <c r="CD293" s="49"/>
      <c r="CE293" s="49"/>
      <c r="CF293" s="49"/>
      <c r="CG293" s="49"/>
      <c r="CH293" s="49"/>
      <c r="CI293" s="49"/>
      <c r="CJ293" s="49"/>
      <c r="CK293" s="49"/>
      <c r="CL293" s="49"/>
      <c r="CM293" s="49"/>
      <c r="CN293" s="49"/>
      <c r="CO293" s="49"/>
      <c r="CP293" s="49"/>
      <c r="CQ293" s="49"/>
      <c r="CR293" s="49"/>
      <c r="CS293" s="49"/>
      <c r="CT293" s="155"/>
      <c r="CU293" s="155"/>
      <c r="CV293" s="155"/>
      <c r="CW293" s="155"/>
      <c r="CX293" s="155"/>
      <c r="CY293" s="155"/>
      <c r="CZ293" s="155"/>
      <c r="DA293" s="155"/>
      <c r="DB293" s="155"/>
      <c r="DC293" s="155"/>
      <c r="DD293" s="155"/>
      <c r="DE293" s="155"/>
      <c r="DF293" s="155"/>
      <c r="DG293" s="155"/>
      <c r="DH293" s="155"/>
      <c r="DI293" s="155"/>
      <c r="DJ293" s="155"/>
      <c r="DK293" s="155"/>
      <c r="DL293" s="155"/>
      <c r="DM293" s="155"/>
      <c r="DN293" s="155"/>
      <c r="DO293" s="155"/>
      <c r="DP293" s="155"/>
      <c r="DQ293" s="155"/>
      <c r="DR293" s="155"/>
      <c r="DS293" s="155"/>
      <c r="DT293" s="155"/>
      <c r="DU293" s="155"/>
      <c r="DV293" s="155"/>
      <c r="DW293" s="155"/>
      <c r="DX293" s="155"/>
    </row>
    <row r="294" spans="1:128" ht="18" customHeight="1">
      <c r="A294" s="155"/>
      <c r="B294" s="155"/>
      <c r="C294" s="155"/>
      <c r="D294" s="155"/>
      <c r="E294" s="49">
        <v>2052</v>
      </c>
      <c r="F294" s="49" t="s">
        <v>1053</v>
      </c>
      <c r="G294" s="158"/>
      <c r="H294" s="155"/>
      <c r="I294" s="270"/>
      <c r="J294" s="270"/>
      <c r="K294" s="270"/>
      <c r="L294" s="270"/>
      <c r="M294" s="270"/>
      <c r="N294" s="270"/>
      <c r="O294" s="155"/>
      <c r="P294" s="155"/>
      <c r="Q294" s="155"/>
      <c r="R294" s="155"/>
      <c r="S294" s="155"/>
      <c r="T294" s="155"/>
      <c r="U294" s="158"/>
      <c r="V294" s="155"/>
      <c r="W294" s="155"/>
      <c r="X294" s="263"/>
      <c r="Y294" s="155"/>
      <c r="Z294" s="155"/>
      <c r="AA294" s="263"/>
      <c r="AB294" s="263"/>
      <c r="AC294" s="155"/>
      <c r="AD294" s="155"/>
      <c r="AE294" s="155"/>
      <c r="AF294" s="155"/>
      <c r="AG294" s="271"/>
      <c r="AH294" s="271" t="s">
        <v>951</v>
      </c>
      <c r="AI294" s="270">
        <v>2</v>
      </c>
      <c r="AJ294" s="155"/>
      <c r="AK294" s="271" t="s">
        <v>926</v>
      </c>
      <c r="AL294" s="271" t="s">
        <v>465</v>
      </c>
      <c r="AM294" s="155"/>
      <c r="AN294" s="155"/>
      <c r="AO294" s="155"/>
      <c r="AP294" s="49"/>
      <c r="AQ294" s="49"/>
      <c r="AR294" s="155"/>
      <c r="AS294" s="155"/>
      <c r="AT294" s="155"/>
      <c r="AU294" s="155"/>
      <c r="AV294" s="155"/>
      <c r="AW294" s="155"/>
      <c r="AX294" s="155"/>
      <c r="AY294" s="155"/>
      <c r="AZ294" s="49"/>
      <c r="BA294" s="49"/>
      <c r="BB294" s="49"/>
      <c r="BC294" s="49"/>
      <c r="BD294" s="49"/>
      <c r="BE294" s="49"/>
      <c r="BF294" s="49"/>
      <c r="BG294" s="49"/>
      <c r="BH294" s="49"/>
      <c r="BI294" s="155"/>
      <c r="BJ294" s="155"/>
      <c r="BK294" s="155"/>
      <c r="BL294" s="49"/>
      <c r="BM294" s="49"/>
      <c r="BN294" s="49"/>
      <c r="BO294" s="49"/>
      <c r="BP294" s="49"/>
      <c r="BQ294" s="49"/>
      <c r="BR294" s="49"/>
      <c r="BS294" s="49"/>
      <c r="BT294" s="271" t="s">
        <v>945</v>
      </c>
      <c r="BU294" s="280" t="s">
        <v>628</v>
      </c>
      <c r="BV294" s="155">
        <v>0</v>
      </c>
      <c r="BW294" s="49"/>
      <c r="BX294" s="49"/>
      <c r="BY294" s="49"/>
      <c r="BZ294" s="49"/>
      <c r="CA294" s="49"/>
      <c r="CB294" s="49"/>
      <c r="CC294" s="49"/>
      <c r="CD294" s="49"/>
      <c r="CE294" s="49"/>
      <c r="CF294" s="49"/>
      <c r="CG294" s="49"/>
      <c r="CH294" s="49"/>
      <c r="CI294" s="49"/>
      <c r="CJ294" s="49"/>
      <c r="CK294" s="49"/>
      <c r="CL294" s="49"/>
      <c r="CM294" s="49"/>
      <c r="CN294" s="49"/>
      <c r="CO294" s="49"/>
      <c r="CP294" s="49"/>
      <c r="CQ294" s="49"/>
      <c r="CR294" s="49"/>
      <c r="CS294" s="49"/>
      <c r="CT294" s="155"/>
      <c r="CU294" s="155"/>
      <c r="CV294" s="155"/>
      <c r="CW294" s="155"/>
      <c r="CX294" s="155"/>
      <c r="CY294" s="155"/>
      <c r="CZ294" s="155"/>
      <c r="DA294" s="155"/>
      <c r="DB294" s="155"/>
      <c r="DC294" s="155"/>
      <c r="DD294" s="155"/>
      <c r="DE294" s="155"/>
      <c r="DF294" s="155"/>
      <c r="DG294" s="155"/>
      <c r="DH294" s="155"/>
      <c r="DI294" s="155"/>
      <c r="DJ294" s="155"/>
      <c r="DK294" s="155"/>
      <c r="DL294" s="155"/>
      <c r="DM294" s="155"/>
      <c r="DN294" s="155"/>
      <c r="DO294" s="155"/>
      <c r="DP294" s="155"/>
      <c r="DQ294" s="155"/>
      <c r="DR294" s="155"/>
      <c r="DS294" s="155"/>
      <c r="DT294" s="155"/>
      <c r="DU294" s="155"/>
      <c r="DV294" s="155"/>
      <c r="DW294" s="155"/>
      <c r="DX294" s="155"/>
    </row>
    <row r="295" spans="1:128" ht="18" customHeight="1">
      <c r="A295" s="155"/>
      <c r="B295" s="155"/>
      <c r="C295" s="155"/>
      <c r="D295" s="155"/>
      <c r="E295" s="49">
        <v>2053</v>
      </c>
      <c r="F295" s="49" t="s">
        <v>1054</v>
      </c>
      <c r="G295" s="158"/>
      <c r="H295" s="155"/>
      <c r="I295" s="270"/>
      <c r="J295" s="270"/>
      <c r="K295" s="270"/>
      <c r="L295" s="270"/>
      <c r="M295" s="270"/>
      <c r="N295" s="270"/>
      <c r="O295" s="155"/>
      <c r="P295" s="155"/>
      <c r="Q295" s="155"/>
      <c r="R295" s="155"/>
      <c r="S295" s="155"/>
      <c r="T295" s="155"/>
      <c r="U295" s="158"/>
      <c r="V295" s="155"/>
      <c r="W295" s="155"/>
      <c r="X295" s="263"/>
      <c r="Y295" s="155"/>
      <c r="Z295" s="155"/>
      <c r="AA295" s="263"/>
      <c r="AB295" s="263"/>
      <c r="AC295" s="155"/>
      <c r="AD295" s="155"/>
      <c r="AE295" s="155"/>
      <c r="AF295" s="155"/>
      <c r="AG295" s="271"/>
      <c r="AH295" s="271" t="s">
        <v>1032</v>
      </c>
      <c r="AI295" s="270">
        <v>5</v>
      </c>
      <c r="AJ295" s="155"/>
      <c r="AK295" s="271" t="s">
        <v>929</v>
      </c>
      <c r="AL295" s="271" t="s">
        <v>465</v>
      </c>
      <c r="AM295" s="155"/>
      <c r="AN295" s="155"/>
      <c r="AO295" s="155"/>
      <c r="AP295" s="49"/>
      <c r="AQ295" s="49"/>
      <c r="AR295" s="155"/>
      <c r="AS295" s="155"/>
      <c r="AT295" s="155"/>
      <c r="AU295" s="155"/>
      <c r="AV295" s="155"/>
      <c r="AW295" s="155"/>
      <c r="AX295" s="155"/>
      <c r="AY295" s="155"/>
      <c r="AZ295" s="49"/>
      <c r="BA295" s="49"/>
      <c r="BB295" s="49"/>
      <c r="BC295" s="49"/>
      <c r="BD295" s="49"/>
      <c r="BE295" s="49"/>
      <c r="BF295" s="49"/>
      <c r="BG295" s="49"/>
      <c r="BH295" s="49"/>
      <c r="BI295" s="155"/>
      <c r="BJ295" s="155"/>
      <c r="BK295" s="155"/>
      <c r="BL295" s="49"/>
      <c r="BM295" s="49"/>
      <c r="BN295" s="49"/>
      <c r="BO295" s="49"/>
      <c r="BP295" s="49"/>
      <c r="BQ295" s="49"/>
      <c r="BR295" s="49"/>
      <c r="BS295" s="49"/>
      <c r="BT295" s="271" t="s">
        <v>949</v>
      </c>
      <c r="BU295" s="280" t="s">
        <v>645</v>
      </c>
      <c r="BV295" s="155">
        <v>0</v>
      </c>
      <c r="BW295" s="49"/>
      <c r="BX295" s="49"/>
      <c r="BY295" s="49"/>
      <c r="BZ295" s="49"/>
      <c r="CA295" s="49"/>
      <c r="CB295" s="49"/>
      <c r="CC295" s="49"/>
      <c r="CD295" s="49"/>
      <c r="CE295" s="49"/>
      <c r="CF295" s="49"/>
      <c r="CG295" s="49"/>
      <c r="CH295" s="49"/>
      <c r="CI295" s="49"/>
      <c r="CJ295" s="49"/>
      <c r="CK295" s="49"/>
      <c r="CL295" s="49"/>
      <c r="CM295" s="49"/>
      <c r="CN295" s="49"/>
      <c r="CO295" s="49"/>
      <c r="CP295" s="49"/>
      <c r="CQ295" s="49"/>
      <c r="CR295" s="49"/>
      <c r="CS295" s="49"/>
      <c r="CT295" s="155"/>
      <c r="CU295" s="155"/>
      <c r="CV295" s="155"/>
      <c r="CW295" s="155"/>
      <c r="CX295" s="155"/>
      <c r="CY295" s="155"/>
      <c r="CZ295" s="155"/>
      <c r="DA295" s="155"/>
      <c r="DB295" s="155"/>
      <c r="DC295" s="155"/>
      <c r="DD295" s="155"/>
      <c r="DE295" s="155"/>
      <c r="DF295" s="155"/>
      <c r="DG295" s="155"/>
      <c r="DH295" s="155"/>
      <c r="DI295" s="155"/>
      <c r="DJ295" s="155"/>
      <c r="DK295" s="155"/>
      <c r="DL295" s="155"/>
      <c r="DM295" s="155"/>
      <c r="DN295" s="155"/>
      <c r="DO295" s="155"/>
      <c r="DP295" s="155"/>
      <c r="DQ295" s="155"/>
      <c r="DR295" s="155"/>
      <c r="DS295" s="155"/>
      <c r="DT295" s="155"/>
      <c r="DU295" s="155"/>
      <c r="DV295" s="155"/>
      <c r="DW295" s="155"/>
      <c r="DX295" s="155"/>
    </row>
    <row r="296" spans="1:128" ht="18" customHeight="1">
      <c r="A296" s="155"/>
      <c r="B296" s="155"/>
      <c r="C296" s="155"/>
      <c r="D296" s="155"/>
      <c r="E296" s="49">
        <v>2054</v>
      </c>
      <c r="F296" s="49" t="s">
        <v>1027</v>
      </c>
      <c r="G296" s="158"/>
      <c r="H296" s="155"/>
      <c r="I296" s="270"/>
      <c r="J296" s="270"/>
      <c r="K296" s="270"/>
      <c r="L296" s="270"/>
      <c r="M296" s="270"/>
      <c r="N296" s="270"/>
      <c r="O296" s="155"/>
      <c r="P296" s="155"/>
      <c r="Q296" s="155"/>
      <c r="R296" s="155"/>
      <c r="S296" s="155"/>
      <c r="T296" s="155"/>
      <c r="U296" s="158"/>
      <c r="V296" s="155"/>
      <c r="W296" s="155"/>
      <c r="X296" s="263"/>
      <c r="Y296" s="155"/>
      <c r="Z296" s="155"/>
      <c r="AA296" s="263"/>
      <c r="AB296" s="263"/>
      <c r="AC296" s="155"/>
      <c r="AD296" s="155"/>
      <c r="AE296" s="155"/>
      <c r="AF296" s="155"/>
      <c r="AG296" s="271"/>
      <c r="AH296" s="271" t="s">
        <v>992</v>
      </c>
      <c r="AI296" s="270">
        <v>1</v>
      </c>
      <c r="AJ296" s="155"/>
      <c r="AK296" s="271" t="s">
        <v>933</v>
      </c>
      <c r="AL296" s="271" t="s">
        <v>465</v>
      </c>
      <c r="AM296" s="155"/>
      <c r="AN296" s="155"/>
      <c r="AO296" s="155"/>
      <c r="AP296" s="49"/>
      <c r="AQ296" s="49"/>
      <c r="AR296" s="155"/>
      <c r="AS296" s="155"/>
      <c r="AT296" s="155"/>
      <c r="AU296" s="155"/>
      <c r="AV296" s="155"/>
      <c r="AW296" s="155"/>
      <c r="AX296" s="155"/>
      <c r="AY296" s="155"/>
      <c r="AZ296" s="49"/>
      <c r="BA296" s="49"/>
      <c r="BB296" s="49"/>
      <c r="BC296" s="49"/>
      <c r="BD296" s="49"/>
      <c r="BE296" s="49"/>
      <c r="BF296" s="49"/>
      <c r="BG296" s="49"/>
      <c r="BH296" s="49"/>
      <c r="BI296" s="155"/>
      <c r="BJ296" s="155"/>
      <c r="BK296" s="155"/>
      <c r="BL296" s="49"/>
      <c r="BM296" s="49"/>
      <c r="BN296" s="49"/>
      <c r="BO296" s="49"/>
      <c r="BP296" s="49"/>
      <c r="BQ296" s="49"/>
      <c r="BR296" s="49"/>
      <c r="BS296" s="49"/>
      <c r="BT296" s="271" t="s">
        <v>953</v>
      </c>
      <c r="BU296" s="280" t="s">
        <v>645</v>
      </c>
      <c r="BV296" s="155">
        <v>0</v>
      </c>
      <c r="BW296" s="49"/>
      <c r="BX296" s="49"/>
      <c r="BY296" s="49"/>
      <c r="BZ296" s="49"/>
      <c r="CA296" s="49"/>
      <c r="CB296" s="49"/>
      <c r="CC296" s="49"/>
      <c r="CD296" s="49"/>
      <c r="CE296" s="49"/>
      <c r="CF296" s="49"/>
      <c r="CG296" s="49"/>
      <c r="CH296" s="49"/>
      <c r="CI296" s="49"/>
      <c r="CJ296" s="49"/>
      <c r="CK296" s="49"/>
      <c r="CL296" s="49"/>
      <c r="CM296" s="49"/>
      <c r="CN296" s="49"/>
      <c r="CO296" s="49"/>
      <c r="CP296" s="49"/>
      <c r="CQ296" s="49"/>
      <c r="CR296" s="49"/>
      <c r="CS296" s="49"/>
      <c r="CT296" s="155"/>
      <c r="CU296" s="155"/>
      <c r="CV296" s="155"/>
      <c r="CW296" s="155"/>
      <c r="CX296" s="155"/>
      <c r="CY296" s="155"/>
      <c r="CZ296" s="155"/>
      <c r="DA296" s="155"/>
      <c r="DB296" s="155"/>
      <c r="DC296" s="155"/>
      <c r="DD296" s="155"/>
      <c r="DE296" s="155"/>
      <c r="DF296" s="155"/>
      <c r="DG296" s="155"/>
      <c r="DH296" s="155"/>
      <c r="DI296" s="155"/>
      <c r="DJ296" s="155"/>
      <c r="DK296" s="155"/>
      <c r="DL296" s="155"/>
      <c r="DM296" s="155"/>
      <c r="DN296" s="155"/>
      <c r="DO296" s="155"/>
      <c r="DP296" s="155"/>
      <c r="DQ296" s="155"/>
      <c r="DR296" s="155"/>
      <c r="DS296" s="155"/>
      <c r="DT296" s="155"/>
      <c r="DU296" s="155"/>
      <c r="DV296" s="155"/>
      <c r="DW296" s="155"/>
      <c r="DX296" s="155"/>
    </row>
    <row r="297" spans="1:128" ht="18" customHeight="1">
      <c r="A297" s="155"/>
      <c r="B297" s="155"/>
      <c r="C297" s="155"/>
      <c r="D297" s="155"/>
      <c r="E297" s="49">
        <v>2055</v>
      </c>
      <c r="F297" s="49" t="s">
        <v>934</v>
      </c>
      <c r="G297" s="158"/>
      <c r="H297" s="155"/>
      <c r="I297" s="270"/>
      <c r="J297" s="270"/>
      <c r="K297" s="270"/>
      <c r="L297" s="270"/>
      <c r="M297" s="270"/>
      <c r="N297" s="270"/>
      <c r="O297" s="155"/>
      <c r="P297" s="155"/>
      <c r="Q297" s="155"/>
      <c r="R297" s="155"/>
      <c r="S297" s="155"/>
      <c r="T297" s="155"/>
      <c r="U297" s="158"/>
      <c r="V297" s="155"/>
      <c r="W297" s="155"/>
      <c r="X297" s="263"/>
      <c r="Y297" s="155"/>
      <c r="Z297" s="155"/>
      <c r="AA297" s="263"/>
      <c r="AB297" s="263"/>
      <c r="AC297" s="155"/>
      <c r="AD297" s="155"/>
      <c r="AE297" s="155"/>
      <c r="AF297" s="155"/>
      <c r="AG297" s="271"/>
      <c r="AH297" s="271" t="s">
        <v>1030</v>
      </c>
      <c r="AI297" s="270">
        <v>3</v>
      </c>
      <c r="AJ297" s="155"/>
      <c r="AK297" s="271" t="s">
        <v>937</v>
      </c>
      <c r="AL297" s="271" t="s">
        <v>465</v>
      </c>
      <c r="AM297" s="155"/>
      <c r="AN297" s="155"/>
      <c r="AO297" s="155"/>
      <c r="AP297" s="49"/>
      <c r="AQ297" s="49"/>
      <c r="AR297" s="155"/>
      <c r="AS297" s="155"/>
      <c r="AT297" s="155"/>
      <c r="AU297" s="155"/>
      <c r="AV297" s="155"/>
      <c r="AW297" s="155"/>
      <c r="AX297" s="155"/>
      <c r="AY297" s="155"/>
      <c r="AZ297" s="49"/>
      <c r="BA297" s="49"/>
      <c r="BB297" s="49"/>
      <c r="BC297" s="49"/>
      <c r="BD297" s="49"/>
      <c r="BE297" s="49"/>
      <c r="BF297" s="49"/>
      <c r="BG297" s="49"/>
      <c r="BH297" s="49"/>
      <c r="BI297" s="155"/>
      <c r="BJ297" s="155"/>
      <c r="BK297" s="155"/>
      <c r="BL297" s="49"/>
      <c r="BM297" s="49"/>
      <c r="BN297" s="49"/>
      <c r="BO297" s="49"/>
      <c r="BP297" s="49"/>
      <c r="BQ297" s="49"/>
      <c r="BR297" s="49"/>
      <c r="BS297" s="49"/>
      <c r="BT297" s="271" t="s">
        <v>958</v>
      </c>
      <c r="BU297" s="280" t="s">
        <v>628</v>
      </c>
      <c r="BV297" s="155">
        <v>0</v>
      </c>
      <c r="BW297" s="49"/>
      <c r="BX297" s="49"/>
      <c r="BY297" s="49"/>
      <c r="BZ297" s="49"/>
      <c r="CA297" s="49"/>
      <c r="CB297" s="49"/>
      <c r="CC297" s="49"/>
      <c r="CD297" s="49"/>
      <c r="CE297" s="49"/>
      <c r="CF297" s="49"/>
      <c r="CG297" s="49"/>
      <c r="CH297" s="49"/>
      <c r="CI297" s="49"/>
      <c r="CJ297" s="49"/>
      <c r="CK297" s="49"/>
      <c r="CL297" s="49"/>
      <c r="CM297" s="49"/>
      <c r="CN297" s="49"/>
      <c r="CO297" s="49"/>
      <c r="CP297" s="49"/>
      <c r="CQ297" s="49"/>
      <c r="CR297" s="49"/>
      <c r="CS297" s="49"/>
      <c r="CT297" s="155"/>
      <c r="CU297" s="155"/>
      <c r="CV297" s="155"/>
      <c r="CW297" s="155"/>
      <c r="CX297" s="155"/>
      <c r="CY297" s="155"/>
      <c r="CZ297" s="155"/>
      <c r="DA297" s="155"/>
      <c r="DB297" s="155"/>
      <c r="DC297" s="155"/>
      <c r="DD297" s="155"/>
      <c r="DE297" s="155"/>
      <c r="DF297" s="155"/>
      <c r="DG297" s="155"/>
      <c r="DH297" s="155"/>
      <c r="DI297" s="155"/>
      <c r="DJ297" s="155"/>
      <c r="DK297" s="155"/>
      <c r="DL297" s="155"/>
      <c r="DM297" s="155"/>
      <c r="DN297" s="155"/>
      <c r="DO297" s="155"/>
      <c r="DP297" s="155"/>
      <c r="DQ297" s="155"/>
      <c r="DR297" s="155"/>
      <c r="DS297" s="155"/>
      <c r="DT297" s="155"/>
      <c r="DU297" s="155"/>
      <c r="DV297" s="155"/>
      <c r="DW297" s="155"/>
      <c r="DX297" s="155"/>
    </row>
    <row r="298" spans="1:128" ht="18" customHeight="1">
      <c r="A298" s="155"/>
      <c r="B298" s="155"/>
      <c r="C298" s="155"/>
      <c r="D298" s="155"/>
      <c r="E298" s="49">
        <v>2056</v>
      </c>
      <c r="F298" s="49" t="s">
        <v>1053</v>
      </c>
      <c r="G298" s="158"/>
      <c r="H298" s="155"/>
      <c r="I298" s="270"/>
      <c r="J298" s="270"/>
      <c r="K298" s="270"/>
      <c r="L298" s="270"/>
      <c r="M298" s="270"/>
      <c r="N298" s="270"/>
      <c r="O298" s="155"/>
      <c r="P298" s="155"/>
      <c r="Q298" s="155"/>
      <c r="R298" s="155"/>
      <c r="S298" s="155"/>
      <c r="T298" s="155"/>
      <c r="U298" s="158"/>
      <c r="V298" s="155"/>
      <c r="W298" s="155"/>
      <c r="X298" s="263"/>
      <c r="Y298" s="155"/>
      <c r="Z298" s="155"/>
      <c r="AA298" s="263"/>
      <c r="AB298" s="263"/>
      <c r="AC298" s="155"/>
      <c r="AD298" s="155"/>
      <c r="AE298" s="155"/>
      <c r="AF298" s="155"/>
      <c r="AG298" s="271"/>
      <c r="AH298" s="271" t="s">
        <v>1021</v>
      </c>
      <c r="AI298" s="270">
        <v>6</v>
      </c>
      <c r="AJ298" s="155"/>
      <c r="AK298" s="271" t="s">
        <v>940</v>
      </c>
      <c r="AL298" s="271" t="s">
        <v>465</v>
      </c>
      <c r="AM298" s="155"/>
      <c r="AN298" s="155"/>
      <c r="AO298" s="155"/>
      <c r="AP298" s="49"/>
      <c r="AQ298" s="49"/>
      <c r="AR298" s="155"/>
      <c r="AS298" s="155"/>
      <c r="AT298" s="155"/>
      <c r="AU298" s="155"/>
      <c r="AV298" s="155"/>
      <c r="AW298" s="155"/>
      <c r="AX298" s="155"/>
      <c r="AY298" s="155"/>
      <c r="AZ298" s="49"/>
      <c r="BA298" s="49"/>
      <c r="BB298" s="49"/>
      <c r="BC298" s="49"/>
      <c r="BD298" s="49"/>
      <c r="BE298" s="49"/>
      <c r="BF298" s="49"/>
      <c r="BG298" s="49"/>
      <c r="BH298" s="49"/>
      <c r="BI298" s="155"/>
      <c r="BJ298" s="155"/>
      <c r="BK298" s="155"/>
      <c r="BL298" s="49"/>
      <c r="BM298" s="49"/>
      <c r="BN298" s="49"/>
      <c r="BO298" s="49"/>
      <c r="BP298" s="49"/>
      <c r="BQ298" s="49"/>
      <c r="BR298" s="49"/>
      <c r="BS298" s="49"/>
      <c r="BT298" s="271" t="s">
        <v>962</v>
      </c>
      <c r="BU298" s="280" t="s">
        <v>622</v>
      </c>
      <c r="BV298" s="155">
        <v>1</v>
      </c>
      <c r="BW298" s="49"/>
      <c r="BX298" s="49"/>
      <c r="BY298" s="49"/>
      <c r="BZ298" s="49"/>
      <c r="CA298" s="49"/>
      <c r="CB298" s="49"/>
      <c r="CC298" s="49"/>
      <c r="CD298" s="49"/>
      <c r="CE298" s="49"/>
      <c r="CF298" s="49"/>
      <c r="CG298" s="49"/>
      <c r="CH298" s="49"/>
      <c r="CI298" s="49"/>
      <c r="CJ298" s="49"/>
      <c r="CK298" s="49"/>
      <c r="CL298" s="49"/>
      <c r="CM298" s="49"/>
      <c r="CN298" s="49"/>
      <c r="CO298" s="49"/>
      <c r="CP298" s="49"/>
      <c r="CQ298" s="49"/>
      <c r="CR298" s="49"/>
      <c r="CS298" s="49"/>
      <c r="CT298" s="155"/>
      <c r="CU298" s="155"/>
      <c r="CV298" s="155"/>
      <c r="CW298" s="155"/>
      <c r="CX298" s="155"/>
      <c r="CY298" s="155"/>
      <c r="CZ298" s="155"/>
      <c r="DA298" s="155"/>
      <c r="DB298" s="155"/>
      <c r="DC298" s="155"/>
      <c r="DD298" s="155"/>
      <c r="DE298" s="155"/>
      <c r="DF298" s="155"/>
      <c r="DG298" s="155"/>
      <c r="DH298" s="155"/>
      <c r="DI298" s="155"/>
      <c r="DJ298" s="155"/>
      <c r="DK298" s="155"/>
      <c r="DL298" s="155"/>
      <c r="DM298" s="155"/>
      <c r="DN298" s="155"/>
      <c r="DO298" s="155"/>
      <c r="DP298" s="155"/>
      <c r="DQ298" s="155"/>
      <c r="DR298" s="155"/>
      <c r="DS298" s="155"/>
      <c r="DT298" s="155"/>
      <c r="DU298" s="155"/>
      <c r="DV298" s="155"/>
      <c r="DW298" s="155"/>
      <c r="DX298" s="155"/>
    </row>
    <row r="299" spans="1:128" ht="18" customHeight="1">
      <c r="A299" s="155"/>
      <c r="B299" s="155"/>
      <c r="C299" s="155"/>
      <c r="D299" s="155"/>
      <c r="E299" s="49">
        <v>2057</v>
      </c>
      <c r="F299" s="49" t="s">
        <v>1054</v>
      </c>
      <c r="G299" s="158"/>
      <c r="H299" s="155"/>
      <c r="I299" s="270"/>
      <c r="J299" s="270"/>
      <c r="K299" s="270"/>
      <c r="L299" s="270"/>
      <c r="M299" s="270"/>
      <c r="N299" s="270"/>
      <c r="O299" s="155"/>
      <c r="P299" s="155"/>
      <c r="Q299" s="155"/>
      <c r="R299" s="155"/>
      <c r="S299" s="155"/>
      <c r="T299" s="155"/>
      <c r="U299" s="158"/>
      <c r="V299" s="155"/>
      <c r="W299" s="155"/>
      <c r="X299" s="263"/>
      <c r="Y299" s="155"/>
      <c r="Z299" s="155"/>
      <c r="AA299" s="263"/>
      <c r="AB299" s="263"/>
      <c r="AC299" s="155"/>
      <c r="AD299" s="155"/>
      <c r="AE299" s="155"/>
      <c r="AF299" s="155"/>
      <c r="AG299" s="271"/>
      <c r="AH299" s="271" t="s">
        <v>1033</v>
      </c>
      <c r="AI299" s="270">
        <v>9</v>
      </c>
      <c r="AJ299" s="155"/>
      <c r="AK299" s="271" t="s">
        <v>944</v>
      </c>
      <c r="AL299" s="271" t="s">
        <v>465</v>
      </c>
      <c r="AM299" s="155"/>
      <c r="AN299" s="155"/>
      <c r="AO299" s="155"/>
      <c r="AP299" s="49"/>
      <c r="AQ299" s="49"/>
      <c r="AR299" s="155"/>
      <c r="AS299" s="155"/>
      <c r="AT299" s="155"/>
      <c r="AU299" s="155"/>
      <c r="AV299" s="155"/>
      <c r="AW299" s="155"/>
      <c r="AX299" s="155"/>
      <c r="AY299" s="155"/>
      <c r="AZ299" s="49"/>
      <c r="BA299" s="49"/>
      <c r="BB299" s="49"/>
      <c r="BC299" s="49"/>
      <c r="BD299" s="49"/>
      <c r="BE299" s="49"/>
      <c r="BF299" s="49"/>
      <c r="BG299" s="49"/>
      <c r="BH299" s="49"/>
      <c r="BI299" s="155"/>
      <c r="BJ299" s="155"/>
      <c r="BK299" s="155"/>
      <c r="BL299" s="49"/>
      <c r="BM299" s="49"/>
      <c r="BN299" s="49"/>
      <c r="BO299" s="49"/>
      <c r="BP299" s="49"/>
      <c r="BQ299" s="49"/>
      <c r="BR299" s="49"/>
      <c r="BS299" s="49"/>
      <c r="BT299" s="271" t="s">
        <v>966</v>
      </c>
      <c r="BU299" s="280" t="s">
        <v>622</v>
      </c>
      <c r="BV299" s="155">
        <v>0</v>
      </c>
      <c r="BW299" s="49"/>
      <c r="BX299" s="49"/>
      <c r="BY299" s="49"/>
      <c r="BZ299" s="49"/>
      <c r="CA299" s="49"/>
      <c r="CB299" s="49"/>
      <c r="CC299" s="49"/>
      <c r="CD299" s="49"/>
      <c r="CE299" s="49"/>
      <c r="CF299" s="49"/>
      <c r="CG299" s="49"/>
      <c r="CH299" s="49"/>
      <c r="CI299" s="49"/>
      <c r="CJ299" s="49"/>
      <c r="CK299" s="49"/>
      <c r="CL299" s="49"/>
      <c r="CM299" s="49"/>
      <c r="CN299" s="49"/>
      <c r="CO299" s="49"/>
      <c r="CP299" s="49"/>
      <c r="CQ299" s="49"/>
      <c r="CR299" s="49"/>
      <c r="CS299" s="49"/>
      <c r="CT299" s="155"/>
      <c r="CU299" s="155"/>
      <c r="CV299" s="155"/>
      <c r="CW299" s="155"/>
      <c r="CX299" s="155"/>
      <c r="CY299" s="155"/>
      <c r="CZ299" s="155"/>
      <c r="DA299" s="155"/>
      <c r="DB299" s="155"/>
      <c r="DC299" s="155"/>
      <c r="DD299" s="155"/>
      <c r="DE299" s="155"/>
      <c r="DF299" s="155"/>
      <c r="DG299" s="155"/>
      <c r="DH299" s="155"/>
      <c r="DI299" s="155"/>
      <c r="DJ299" s="155"/>
      <c r="DK299" s="155"/>
      <c r="DL299" s="155"/>
      <c r="DM299" s="155"/>
      <c r="DN299" s="155"/>
      <c r="DO299" s="155"/>
      <c r="DP299" s="155"/>
      <c r="DQ299" s="155"/>
      <c r="DR299" s="155"/>
      <c r="DS299" s="155"/>
      <c r="DT299" s="155"/>
      <c r="DU299" s="155"/>
      <c r="DV299" s="155"/>
      <c r="DW299" s="155"/>
      <c r="DX299" s="155"/>
    </row>
    <row r="300" spans="1:128" ht="18" customHeight="1">
      <c r="A300" s="155"/>
      <c r="B300" s="155"/>
      <c r="C300" s="155"/>
      <c r="D300" s="155"/>
      <c r="E300" s="49">
        <v>2058</v>
      </c>
      <c r="F300" s="49" t="s">
        <v>1031</v>
      </c>
      <c r="G300" s="158"/>
      <c r="H300" s="155"/>
      <c r="I300" s="270"/>
      <c r="J300" s="270"/>
      <c r="K300" s="270"/>
      <c r="L300" s="270"/>
      <c r="M300" s="270"/>
      <c r="N300" s="270"/>
      <c r="O300" s="155"/>
      <c r="P300" s="155"/>
      <c r="Q300" s="155"/>
      <c r="R300" s="155"/>
      <c r="S300" s="155"/>
      <c r="T300" s="155"/>
      <c r="U300" s="158"/>
      <c r="V300" s="155"/>
      <c r="W300" s="155"/>
      <c r="X300" s="263"/>
      <c r="Y300" s="155"/>
      <c r="Z300" s="155"/>
      <c r="AA300" s="263"/>
      <c r="AB300" s="263"/>
      <c r="AC300" s="155"/>
      <c r="AD300" s="155"/>
      <c r="AE300" s="155"/>
      <c r="AF300" s="155"/>
      <c r="AG300" s="271"/>
      <c r="AH300" s="271" t="s">
        <v>1035</v>
      </c>
      <c r="AI300" s="270">
        <v>7</v>
      </c>
      <c r="AJ300" s="155"/>
      <c r="AK300" s="271" t="s">
        <v>948</v>
      </c>
      <c r="AL300" s="271" t="s">
        <v>432</v>
      </c>
      <c r="AM300" s="155"/>
      <c r="AN300" s="155"/>
      <c r="AO300" s="155"/>
      <c r="AP300" s="49"/>
      <c r="AQ300" s="49"/>
      <c r="AR300" s="155"/>
      <c r="AS300" s="155"/>
      <c r="AT300" s="155"/>
      <c r="AU300" s="155"/>
      <c r="AV300" s="155"/>
      <c r="AW300" s="155"/>
      <c r="AX300" s="155"/>
      <c r="AY300" s="155"/>
      <c r="AZ300" s="49"/>
      <c r="BA300" s="49"/>
      <c r="BB300" s="49"/>
      <c r="BC300" s="49"/>
      <c r="BD300" s="49"/>
      <c r="BE300" s="49"/>
      <c r="BF300" s="49"/>
      <c r="BG300" s="49"/>
      <c r="BH300" s="49"/>
      <c r="BI300" s="155"/>
      <c r="BJ300" s="155"/>
      <c r="BK300" s="155"/>
      <c r="BL300" s="49"/>
      <c r="BM300" s="49"/>
      <c r="BN300" s="49"/>
      <c r="BO300" s="49"/>
      <c r="BP300" s="49"/>
      <c r="BQ300" s="49"/>
      <c r="BR300" s="49"/>
      <c r="BS300" s="49"/>
      <c r="BT300" s="271" t="s">
        <v>970</v>
      </c>
      <c r="BU300" s="280" t="s">
        <v>628</v>
      </c>
      <c r="BV300" s="155">
        <v>0</v>
      </c>
      <c r="BW300" s="49"/>
      <c r="BX300" s="49"/>
      <c r="BY300" s="49"/>
      <c r="BZ300" s="49"/>
      <c r="CA300" s="49"/>
      <c r="CB300" s="49"/>
      <c r="CC300" s="49"/>
      <c r="CD300" s="49"/>
      <c r="CE300" s="49"/>
      <c r="CF300" s="49"/>
      <c r="CG300" s="49"/>
      <c r="CH300" s="49"/>
      <c r="CI300" s="49"/>
      <c r="CJ300" s="49"/>
      <c r="CK300" s="49"/>
      <c r="CL300" s="49"/>
      <c r="CM300" s="49"/>
      <c r="CN300" s="49"/>
      <c r="CO300" s="49"/>
      <c r="CP300" s="49"/>
      <c r="CQ300" s="49"/>
      <c r="CR300" s="49"/>
      <c r="CS300" s="49"/>
      <c r="CT300" s="155"/>
      <c r="CU300" s="155"/>
      <c r="CV300" s="155"/>
      <c r="CW300" s="155"/>
      <c r="CX300" s="155"/>
      <c r="CY300" s="155"/>
      <c r="CZ300" s="155"/>
      <c r="DA300" s="155"/>
      <c r="DB300" s="155"/>
      <c r="DC300" s="155"/>
      <c r="DD300" s="155"/>
      <c r="DE300" s="155"/>
      <c r="DF300" s="155"/>
      <c r="DG300" s="155"/>
      <c r="DH300" s="155"/>
      <c r="DI300" s="155"/>
      <c r="DJ300" s="155"/>
      <c r="DK300" s="155"/>
      <c r="DL300" s="155"/>
      <c r="DM300" s="155"/>
      <c r="DN300" s="155"/>
      <c r="DO300" s="155"/>
      <c r="DP300" s="155"/>
      <c r="DQ300" s="155"/>
      <c r="DR300" s="155"/>
      <c r="DS300" s="155"/>
      <c r="DT300" s="155"/>
      <c r="DU300" s="155"/>
      <c r="DV300" s="155"/>
      <c r="DW300" s="155"/>
      <c r="DX300" s="155"/>
    </row>
    <row r="301" spans="1:128" ht="18" customHeight="1">
      <c r="A301" s="155"/>
      <c r="B301" s="155"/>
      <c r="C301" s="155"/>
      <c r="D301" s="155"/>
      <c r="E301" s="49">
        <v>2059</v>
      </c>
      <c r="F301" s="49" t="s">
        <v>965</v>
      </c>
      <c r="G301" s="158"/>
      <c r="H301" s="155"/>
      <c r="I301" s="270"/>
      <c r="J301" s="270"/>
      <c r="K301" s="270"/>
      <c r="L301" s="270"/>
      <c r="M301" s="270"/>
      <c r="N301" s="270"/>
      <c r="O301" s="155"/>
      <c r="P301" s="155"/>
      <c r="Q301" s="155"/>
      <c r="R301" s="155"/>
      <c r="S301" s="155"/>
      <c r="T301" s="155"/>
      <c r="U301" s="158"/>
      <c r="V301" s="155"/>
      <c r="W301" s="155"/>
      <c r="X301" s="263"/>
      <c r="Y301" s="155"/>
      <c r="Z301" s="155"/>
      <c r="AA301" s="263"/>
      <c r="AB301" s="263"/>
      <c r="AC301" s="155"/>
      <c r="AD301" s="155"/>
      <c r="AE301" s="155"/>
      <c r="AF301" s="155"/>
      <c r="AG301" s="271"/>
      <c r="AH301" s="271" t="s">
        <v>1037</v>
      </c>
      <c r="AI301" s="270">
        <v>10</v>
      </c>
      <c r="AJ301" s="155"/>
      <c r="AK301" s="271" t="s">
        <v>952</v>
      </c>
      <c r="AL301" s="271" t="s">
        <v>432</v>
      </c>
      <c r="AM301" s="155"/>
      <c r="AN301" s="155"/>
      <c r="AO301" s="155"/>
      <c r="AP301" s="49"/>
      <c r="AQ301" s="49"/>
      <c r="AR301" s="155"/>
      <c r="AS301" s="155"/>
      <c r="AT301" s="155"/>
      <c r="AU301" s="155"/>
      <c r="AV301" s="155"/>
      <c r="AW301" s="155"/>
      <c r="AX301" s="155"/>
      <c r="AY301" s="155"/>
      <c r="AZ301" s="49"/>
      <c r="BA301" s="49"/>
      <c r="BB301" s="49"/>
      <c r="BC301" s="49"/>
      <c r="BD301" s="49"/>
      <c r="BE301" s="49"/>
      <c r="BF301" s="49"/>
      <c r="BG301" s="49"/>
      <c r="BH301" s="49"/>
      <c r="BI301" s="155"/>
      <c r="BJ301" s="155"/>
      <c r="BK301" s="155"/>
      <c r="BL301" s="49"/>
      <c r="BM301" s="49"/>
      <c r="BN301" s="49"/>
      <c r="BO301" s="49"/>
      <c r="BP301" s="49"/>
      <c r="BQ301" s="49"/>
      <c r="BR301" s="49"/>
      <c r="BS301" s="49"/>
      <c r="BT301" s="271" t="s">
        <v>973</v>
      </c>
      <c r="BU301" s="280" t="s">
        <v>660</v>
      </c>
      <c r="BV301" s="155">
        <v>0</v>
      </c>
      <c r="BW301" s="49"/>
      <c r="BX301" s="49"/>
      <c r="BY301" s="49"/>
      <c r="BZ301" s="49"/>
      <c r="CA301" s="49"/>
      <c r="CB301" s="49"/>
      <c r="CC301" s="49"/>
      <c r="CD301" s="49"/>
      <c r="CE301" s="49"/>
      <c r="CF301" s="49"/>
      <c r="CG301" s="49"/>
      <c r="CH301" s="49"/>
      <c r="CI301" s="49"/>
      <c r="CJ301" s="49"/>
      <c r="CK301" s="49"/>
      <c r="CL301" s="49"/>
      <c r="CM301" s="49"/>
      <c r="CN301" s="49"/>
      <c r="CO301" s="49"/>
      <c r="CP301" s="49"/>
      <c r="CQ301" s="49"/>
      <c r="CR301" s="49"/>
      <c r="CS301" s="49"/>
      <c r="CT301" s="155"/>
      <c r="CU301" s="155"/>
      <c r="CV301" s="155"/>
      <c r="CW301" s="155"/>
      <c r="CX301" s="155"/>
      <c r="CY301" s="155"/>
      <c r="CZ301" s="155"/>
      <c r="DA301" s="155"/>
      <c r="DB301" s="155"/>
      <c r="DC301" s="155"/>
      <c r="DD301" s="155"/>
      <c r="DE301" s="155"/>
      <c r="DF301" s="155"/>
      <c r="DG301" s="155"/>
      <c r="DH301" s="155"/>
      <c r="DI301" s="155"/>
      <c r="DJ301" s="155"/>
      <c r="DK301" s="155"/>
      <c r="DL301" s="155"/>
      <c r="DM301" s="155"/>
      <c r="DN301" s="155"/>
      <c r="DO301" s="155"/>
      <c r="DP301" s="155"/>
      <c r="DQ301" s="155"/>
      <c r="DR301" s="155"/>
      <c r="DS301" s="155"/>
      <c r="DT301" s="155"/>
      <c r="DU301" s="155"/>
      <c r="DV301" s="155"/>
      <c r="DW301" s="155"/>
      <c r="DX301" s="155"/>
    </row>
    <row r="302" spans="1:128" ht="18" customHeight="1">
      <c r="A302" s="155"/>
      <c r="B302" s="155"/>
      <c r="C302" s="155"/>
      <c r="D302" s="155"/>
      <c r="E302" s="49">
        <v>2060</v>
      </c>
      <c r="F302" s="49" t="s">
        <v>1055</v>
      </c>
      <c r="G302" s="158"/>
      <c r="H302" s="155"/>
      <c r="I302" s="270"/>
      <c r="J302" s="270"/>
      <c r="K302" s="270"/>
      <c r="L302" s="270"/>
      <c r="M302" s="270"/>
      <c r="N302" s="270"/>
      <c r="O302" s="155"/>
      <c r="P302" s="155"/>
      <c r="Q302" s="155"/>
      <c r="R302" s="155"/>
      <c r="S302" s="155"/>
      <c r="T302" s="155"/>
      <c r="U302" s="158"/>
      <c r="V302" s="155"/>
      <c r="W302" s="155"/>
      <c r="X302" s="263"/>
      <c r="Y302" s="155"/>
      <c r="Z302" s="155"/>
      <c r="AA302" s="263"/>
      <c r="AB302" s="263"/>
      <c r="AC302" s="155"/>
      <c r="AD302" s="155"/>
      <c r="AE302" s="155"/>
      <c r="AF302" s="155"/>
      <c r="AG302" s="271"/>
      <c r="AH302" s="271" t="s">
        <v>1039</v>
      </c>
      <c r="AI302" s="270">
        <v>11</v>
      </c>
      <c r="AJ302" s="155"/>
      <c r="AK302" s="271" t="s">
        <v>957</v>
      </c>
      <c r="AL302" s="271" t="s">
        <v>432</v>
      </c>
      <c r="AM302" s="155"/>
      <c r="AN302" s="155"/>
      <c r="AO302" s="155"/>
      <c r="AP302" s="49"/>
      <c r="AQ302" s="49"/>
      <c r="AR302" s="155"/>
      <c r="AS302" s="155"/>
      <c r="AT302" s="155"/>
      <c r="AU302" s="155"/>
      <c r="AV302" s="155"/>
      <c r="AW302" s="155"/>
      <c r="AX302" s="155"/>
      <c r="AY302" s="155"/>
      <c r="AZ302" s="49"/>
      <c r="BA302" s="49"/>
      <c r="BB302" s="49"/>
      <c r="BC302" s="49"/>
      <c r="BD302" s="49"/>
      <c r="BE302" s="49"/>
      <c r="BF302" s="49"/>
      <c r="BG302" s="49"/>
      <c r="BH302" s="49"/>
      <c r="BI302" s="155"/>
      <c r="BJ302" s="155"/>
      <c r="BK302" s="155"/>
      <c r="BL302" s="49"/>
      <c r="BM302" s="49"/>
      <c r="BN302" s="49"/>
      <c r="BO302" s="49"/>
      <c r="BP302" s="49"/>
      <c r="BQ302" s="49"/>
      <c r="BR302" s="49"/>
      <c r="BS302" s="49"/>
      <c r="BT302" s="271" t="s">
        <v>976</v>
      </c>
      <c r="BU302" s="280" t="s">
        <v>660</v>
      </c>
      <c r="BV302" s="155">
        <v>0</v>
      </c>
      <c r="BW302" s="49"/>
      <c r="BX302" s="49"/>
      <c r="BY302" s="49"/>
      <c r="BZ302" s="49"/>
      <c r="CA302" s="49"/>
      <c r="CB302" s="49"/>
      <c r="CC302" s="49"/>
      <c r="CD302" s="49"/>
      <c r="CE302" s="49"/>
      <c r="CF302" s="49"/>
      <c r="CG302" s="49"/>
      <c r="CH302" s="49"/>
      <c r="CI302" s="49"/>
      <c r="CJ302" s="49"/>
      <c r="CK302" s="49"/>
      <c r="CL302" s="49"/>
      <c r="CM302" s="49"/>
      <c r="CN302" s="49"/>
      <c r="CO302" s="49"/>
      <c r="CP302" s="49"/>
      <c r="CQ302" s="49"/>
      <c r="CR302" s="49"/>
      <c r="CS302" s="49"/>
      <c r="CT302" s="155"/>
      <c r="CU302" s="155"/>
      <c r="CV302" s="155"/>
      <c r="CW302" s="155"/>
      <c r="CX302" s="155"/>
      <c r="CY302" s="155"/>
      <c r="CZ302" s="155"/>
      <c r="DA302" s="155"/>
      <c r="DB302" s="155"/>
      <c r="DC302" s="155"/>
      <c r="DD302" s="155"/>
      <c r="DE302" s="155"/>
      <c r="DF302" s="155"/>
      <c r="DG302" s="155"/>
      <c r="DH302" s="155"/>
      <c r="DI302" s="155"/>
      <c r="DJ302" s="155"/>
      <c r="DK302" s="155"/>
      <c r="DL302" s="155"/>
      <c r="DM302" s="155"/>
      <c r="DN302" s="155"/>
      <c r="DO302" s="155"/>
      <c r="DP302" s="155"/>
      <c r="DQ302" s="155"/>
      <c r="DR302" s="155"/>
      <c r="DS302" s="155"/>
      <c r="DT302" s="155"/>
      <c r="DU302" s="155"/>
      <c r="DV302" s="155"/>
      <c r="DW302" s="155"/>
      <c r="DX302" s="155"/>
    </row>
    <row r="303" spans="1:128" ht="18" customHeight="1">
      <c r="A303" s="155"/>
      <c r="B303" s="155"/>
      <c r="C303" s="155"/>
      <c r="D303" s="155"/>
      <c r="E303" s="49">
        <v>2061</v>
      </c>
      <c r="F303" s="49" t="s">
        <v>1056</v>
      </c>
      <c r="G303" s="158"/>
      <c r="H303" s="155"/>
      <c r="I303" s="270"/>
      <c r="J303" s="270"/>
      <c r="K303" s="270"/>
      <c r="L303" s="270"/>
      <c r="M303" s="270"/>
      <c r="N303" s="270"/>
      <c r="O303" s="155"/>
      <c r="P303" s="155"/>
      <c r="Q303" s="155"/>
      <c r="R303" s="155"/>
      <c r="S303" s="155"/>
      <c r="T303" s="155"/>
      <c r="U303" s="158"/>
      <c r="V303" s="155"/>
      <c r="W303" s="155"/>
      <c r="X303" s="263"/>
      <c r="Y303" s="155"/>
      <c r="Z303" s="155"/>
      <c r="AA303" s="263"/>
      <c r="AB303" s="263"/>
      <c r="AC303" s="155"/>
      <c r="AD303" s="155"/>
      <c r="AE303" s="155"/>
      <c r="AF303" s="155"/>
      <c r="AG303" s="271"/>
      <c r="AH303" s="271" t="s">
        <v>1036</v>
      </c>
      <c r="AI303" s="270">
        <v>12</v>
      </c>
      <c r="AJ303" s="155"/>
      <c r="AK303" s="271" t="s">
        <v>961</v>
      </c>
      <c r="AL303" s="271" t="s">
        <v>432</v>
      </c>
      <c r="AM303" s="155"/>
      <c r="AN303" s="155"/>
      <c r="AO303" s="155"/>
      <c r="AP303" s="49"/>
      <c r="AQ303" s="49"/>
      <c r="AR303" s="155"/>
      <c r="AS303" s="155"/>
      <c r="AT303" s="155"/>
      <c r="AU303" s="155"/>
      <c r="AV303" s="155"/>
      <c r="AW303" s="155"/>
      <c r="AX303" s="155"/>
      <c r="AY303" s="155"/>
      <c r="AZ303" s="49"/>
      <c r="BA303" s="49"/>
      <c r="BB303" s="49"/>
      <c r="BC303" s="49"/>
      <c r="BD303" s="49"/>
      <c r="BE303" s="49"/>
      <c r="BF303" s="49"/>
      <c r="BG303" s="49"/>
      <c r="BH303" s="49"/>
      <c r="BI303" s="155"/>
      <c r="BJ303" s="155"/>
      <c r="BK303" s="155"/>
      <c r="BL303" s="49"/>
      <c r="BM303" s="49"/>
      <c r="BN303" s="49"/>
      <c r="BO303" s="49"/>
      <c r="BP303" s="49"/>
      <c r="BQ303" s="49"/>
      <c r="BR303" s="49"/>
      <c r="BS303" s="49"/>
      <c r="BT303" s="271" t="s">
        <v>982</v>
      </c>
      <c r="BU303" s="280" t="s">
        <v>612</v>
      </c>
      <c r="BV303" s="155">
        <v>1</v>
      </c>
      <c r="BW303" s="49"/>
      <c r="BX303" s="49"/>
      <c r="BY303" s="49"/>
      <c r="BZ303" s="49"/>
      <c r="CA303" s="49"/>
      <c r="CB303" s="49"/>
      <c r="CC303" s="49"/>
      <c r="CD303" s="49"/>
      <c r="CE303" s="49"/>
      <c r="CF303" s="49"/>
      <c r="CG303" s="49"/>
      <c r="CH303" s="49"/>
      <c r="CI303" s="49"/>
      <c r="CJ303" s="49"/>
      <c r="CK303" s="49"/>
      <c r="CL303" s="49"/>
      <c r="CM303" s="49"/>
      <c r="CN303" s="49"/>
      <c r="CO303" s="49"/>
      <c r="CP303" s="49"/>
      <c r="CQ303" s="49"/>
      <c r="CR303" s="49"/>
      <c r="CS303" s="49"/>
      <c r="CT303" s="155"/>
      <c r="CU303" s="155"/>
      <c r="CV303" s="155"/>
      <c r="CW303" s="155"/>
      <c r="CX303" s="155"/>
      <c r="CY303" s="155"/>
      <c r="CZ303" s="155"/>
      <c r="DA303" s="155"/>
      <c r="DB303" s="155"/>
      <c r="DC303" s="155"/>
      <c r="DD303" s="155"/>
      <c r="DE303" s="155"/>
      <c r="DF303" s="155"/>
      <c r="DG303" s="155"/>
      <c r="DH303" s="155"/>
      <c r="DI303" s="155"/>
      <c r="DJ303" s="155"/>
      <c r="DK303" s="155"/>
      <c r="DL303" s="155"/>
      <c r="DM303" s="155"/>
      <c r="DN303" s="155"/>
      <c r="DO303" s="155"/>
      <c r="DP303" s="155"/>
      <c r="DQ303" s="155"/>
      <c r="DR303" s="155"/>
      <c r="DS303" s="155"/>
      <c r="DT303" s="155"/>
      <c r="DU303" s="155"/>
      <c r="DV303" s="155"/>
      <c r="DW303" s="155"/>
      <c r="DX303" s="155"/>
    </row>
    <row r="304" spans="1:128" ht="18" customHeight="1">
      <c r="A304" s="155"/>
      <c r="B304" s="155"/>
      <c r="C304" s="155"/>
      <c r="D304" s="155"/>
      <c r="E304" s="49">
        <v>2062</v>
      </c>
      <c r="F304" s="49" t="s">
        <v>1031</v>
      </c>
      <c r="G304" s="158"/>
      <c r="H304" s="155"/>
      <c r="I304" s="270"/>
      <c r="J304" s="270"/>
      <c r="K304" s="270"/>
      <c r="L304" s="270"/>
      <c r="M304" s="270"/>
      <c r="N304" s="270"/>
      <c r="O304" s="155"/>
      <c r="P304" s="155"/>
      <c r="Q304" s="155"/>
      <c r="R304" s="155"/>
      <c r="S304" s="155"/>
      <c r="T304" s="155"/>
      <c r="U304" s="158"/>
      <c r="V304" s="155"/>
      <c r="W304" s="155"/>
      <c r="X304" s="263"/>
      <c r="Y304" s="155"/>
      <c r="Z304" s="155"/>
      <c r="AA304" s="263"/>
      <c r="AB304" s="263"/>
      <c r="AC304" s="155"/>
      <c r="AD304" s="155"/>
      <c r="AE304" s="155"/>
      <c r="AF304" s="155"/>
      <c r="AG304" s="271"/>
      <c r="AH304" s="271" t="s">
        <v>1041</v>
      </c>
      <c r="AI304" s="270">
        <v>8</v>
      </c>
      <c r="AJ304" s="155"/>
      <c r="AK304" s="271" t="s">
        <v>964</v>
      </c>
      <c r="AL304" s="271" t="s">
        <v>432</v>
      </c>
      <c r="AM304" s="155"/>
      <c r="AN304" s="155"/>
      <c r="AO304" s="155"/>
      <c r="AP304" s="49"/>
      <c r="AQ304" s="49"/>
      <c r="AR304" s="155"/>
      <c r="AS304" s="155"/>
      <c r="AT304" s="155"/>
      <c r="AU304" s="155"/>
      <c r="AV304" s="155"/>
      <c r="AW304" s="155"/>
      <c r="AX304" s="155"/>
      <c r="AY304" s="155"/>
      <c r="AZ304" s="49"/>
      <c r="BA304" s="49"/>
      <c r="BB304" s="49"/>
      <c r="BC304" s="49"/>
      <c r="BD304" s="49"/>
      <c r="BE304" s="49"/>
      <c r="BF304" s="49"/>
      <c r="BG304" s="49"/>
      <c r="BH304" s="49"/>
      <c r="BI304" s="155"/>
      <c r="BJ304" s="155"/>
      <c r="BK304" s="155"/>
      <c r="BL304" s="49"/>
      <c r="BM304" s="49"/>
      <c r="BN304" s="49"/>
      <c r="BO304" s="49"/>
      <c r="BP304" s="49"/>
      <c r="BQ304" s="49"/>
      <c r="BR304" s="49"/>
      <c r="BS304" s="49"/>
      <c r="BT304" s="271" t="s">
        <v>985</v>
      </c>
      <c r="BU304" s="280" t="s">
        <v>628</v>
      </c>
      <c r="BV304" s="155">
        <v>0</v>
      </c>
      <c r="BW304" s="49"/>
      <c r="BX304" s="49"/>
      <c r="BY304" s="49"/>
      <c r="BZ304" s="49"/>
      <c r="CA304" s="49"/>
      <c r="CB304" s="49"/>
      <c r="CC304" s="49"/>
      <c r="CD304" s="49"/>
      <c r="CE304" s="49"/>
      <c r="CF304" s="49"/>
      <c r="CG304" s="49"/>
      <c r="CH304" s="49"/>
      <c r="CI304" s="49"/>
      <c r="CJ304" s="49"/>
      <c r="CK304" s="49"/>
      <c r="CL304" s="49"/>
      <c r="CM304" s="49"/>
      <c r="CN304" s="49"/>
      <c r="CO304" s="49"/>
      <c r="CP304" s="49"/>
      <c r="CQ304" s="49"/>
      <c r="CR304" s="49"/>
      <c r="CS304" s="49"/>
      <c r="CT304" s="155"/>
      <c r="CU304" s="155"/>
      <c r="CV304" s="155"/>
      <c r="CW304" s="155"/>
      <c r="CX304" s="155"/>
      <c r="CY304" s="155"/>
      <c r="CZ304" s="155"/>
      <c r="DA304" s="155"/>
      <c r="DB304" s="155"/>
      <c r="DC304" s="155"/>
      <c r="DD304" s="155"/>
      <c r="DE304" s="155"/>
      <c r="DF304" s="155"/>
      <c r="DG304" s="155"/>
      <c r="DH304" s="155"/>
      <c r="DI304" s="155"/>
      <c r="DJ304" s="155"/>
      <c r="DK304" s="155"/>
      <c r="DL304" s="155"/>
      <c r="DM304" s="155"/>
      <c r="DN304" s="155"/>
      <c r="DO304" s="155"/>
      <c r="DP304" s="155"/>
      <c r="DQ304" s="155"/>
      <c r="DR304" s="155"/>
      <c r="DS304" s="155"/>
      <c r="DT304" s="155"/>
      <c r="DU304" s="155"/>
      <c r="DV304" s="155"/>
      <c r="DW304" s="155"/>
      <c r="DX304" s="155"/>
    </row>
    <row r="305" spans="1:128" ht="18" customHeight="1">
      <c r="A305" s="155"/>
      <c r="B305" s="155"/>
      <c r="C305" s="155"/>
      <c r="D305" s="155"/>
      <c r="E305" s="49">
        <v>2063</v>
      </c>
      <c r="F305" s="49" t="s">
        <v>981</v>
      </c>
      <c r="G305" s="158"/>
      <c r="H305" s="155"/>
      <c r="I305" s="270"/>
      <c r="J305" s="270"/>
      <c r="K305" s="270"/>
      <c r="L305" s="270"/>
      <c r="M305" s="270"/>
      <c r="N305" s="270"/>
      <c r="O305" s="155"/>
      <c r="P305" s="155"/>
      <c r="Q305" s="155"/>
      <c r="R305" s="155"/>
      <c r="S305" s="155"/>
      <c r="T305" s="155"/>
      <c r="U305" s="158"/>
      <c r="V305" s="155"/>
      <c r="W305" s="155"/>
      <c r="X305" s="263"/>
      <c r="Y305" s="155"/>
      <c r="Z305" s="155"/>
      <c r="AA305" s="263"/>
      <c r="AB305" s="263"/>
      <c r="AC305" s="155"/>
      <c r="AD305" s="155"/>
      <c r="AE305" s="155"/>
      <c r="AF305" s="155"/>
      <c r="AG305" s="271"/>
      <c r="AH305" s="271" t="s">
        <v>1023</v>
      </c>
      <c r="AI305" s="270">
        <v>4</v>
      </c>
      <c r="AJ305" s="155"/>
      <c r="AK305" s="271" t="s">
        <v>969</v>
      </c>
      <c r="AL305" s="271" t="s">
        <v>432</v>
      </c>
      <c r="AM305" s="155"/>
      <c r="AN305" s="155"/>
      <c r="AO305" s="155"/>
      <c r="AP305" s="49"/>
      <c r="AQ305" s="49"/>
      <c r="AR305" s="155"/>
      <c r="AS305" s="155"/>
      <c r="AT305" s="155"/>
      <c r="AU305" s="155"/>
      <c r="AV305" s="155"/>
      <c r="AW305" s="155"/>
      <c r="AX305" s="155"/>
      <c r="AY305" s="155"/>
      <c r="AZ305" s="49"/>
      <c r="BA305" s="49"/>
      <c r="BB305" s="49"/>
      <c r="BC305" s="49"/>
      <c r="BD305" s="49"/>
      <c r="BE305" s="49"/>
      <c r="BF305" s="49"/>
      <c r="BG305" s="49"/>
      <c r="BH305" s="49"/>
      <c r="BI305" s="155"/>
      <c r="BJ305" s="155"/>
      <c r="BK305" s="155"/>
      <c r="BL305" s="49"/>
      <c r="BM305" s="49"/>
      <c r="BN305" s="49"/>
      <c r="BO305" s="49"/>
      <c r="BP305" s="49"/>
      <c r="BQ305" s="49"/>
      <c r="BR305" s="49"/>
      <c r="BS305" s="49"/>
      <c r="BT305" s="271" t="s">
        <v>991</v>
      </c>
      <c r="BU305" s="280" t="s">
        <v>628</v>
      </c>
      <c r="BV305" s="155">
        <v>0</v>
      </c>
      <c r="BW305" s="49"/>
      <c r="BX305" s="49"/>
      <c r="BY305" s="49"/>
      <c r="BZ305" s="49"/>
      <c r="CA305" s="49"/>
      <c r="CB305" s="49"/>
      <c r="CC305" s="49"/>
      <c r="CD305" s="49"/>
      <c r="CE305" s="49"/>
      <c r="CF305" s="49"/>
      <c r="CG305" s="49"/>
      <c r="CH305" s="49"/>
      <c r="CI305" s="49"/>
      <c r="CJ305" s="49"/>
      <c r="CK305" s="49"/>
      <c r="CL305" s="49"/>
      <c r="CM305" s="49"/>
      <c r="CN305" s="49"/>
      <c r="CO305" s="49"/>
      <c r="CP305" s="49"/>
      <c r="CQ305" s="49"/>
      <c r="CR305" s="49"/>
      <c r="CS305" s="49"/>
      <c r="CT305" s="155"/>
      <c r="CU305" s="155"/>
      <c r="CV305" s="155"/>
      <c r="CW305" s="155"/>
      <c r="CX305" s="155"/>
      <c r="CY305" s="155"/>
      <c r="CZ305" s="155"/>
      <c r="DA305" s="155"/>
      <c r="DB305" s="155"/>
      <c r="DC305" s="155"/>
      <c r="DD305" s="155"/>
      <c r="DE305" s="155"/>
      <c r="DF305" s="155"/>
      <c r="DG305" s="155"/>
      <c r="DH305" s="155"/>
      <c r="DI305" s="155"/>
      <c r="DJ305" s="155"/>
      <c r="DK305" s="155"/>
      <c r="DL305" s="155"/>
      <c r="DM305" s="155"/>
      <c r="DN305" s="155"/>
      <c r="DO305" s="155"/>
      <c r="DP305" s="155"/>
      <c r="DQ305" s="155"/>
      <c r="DR305" s="155"/>
      <c r="DS305" s="155"/>
      <c r="DT305" s="155"/>
      <c r="DU305" s="155"/>
      <c r="DV305" s="155"/>
      <c r="DW305" s="155"/>
      <c r="DX305" s="155"/>
    </row>
    <row r="306" spans="1:128" ht="18" customHeight="1">
      <c r="A306" s="155"/>
      <c r="B306" s="155"/>
      <c r="C306" s="155"/>
      <c r="D306" s="155"/>
      <c r="E306" s="49">
        <v>2064</v>
      </c>
      <c r="F306" s="49" t="s">
        <v>1055</v>
      </c>
      <c r="G306" s="158"/>
      <c r="H306" s="155"/>
      <c r="I306" s="270"/>
      <c r="J306" s="270"/>
      <c r="K306" s="270"/>
      <c r="L306" s="270"/>
      <c r="M306" s="270"/>
      <c r="N306" s="270"/>
      <c r="O306" s="155"/>
      <c r="P306" s="155"/>
      <c r="Q306" s="155"/>
      <c r="R306" s="155"/>
      <c r="S306" s="155"/>
      <c r="T306" s="155"/>
      <c r="U306" s="158"/>
      <c r="V306" s="155"/>
      <c r="W306" s="155"/>
      <c r="X306" s="263"/>
      <c r="Y306" s="155"/>
      <c r="Z306" s="155"/>
      <c r="AA306" s="263"/>
      <c r="AB306" s="263"/>
      <c r="AC306" s="155"/>
      <c r="AD306" s="155"/>
      <c r="AE306" s="155"/>
      <c r="AF306" s="155"/>
      <c r="AG306" s="271"/>
      <c r="AH306" s="271" t="s">
        <v>1042</v>
      </c>
      <c r="AI306" s="270">
        <v>2</v>
      </c>
      <c r="AJ306" s="155"/>
      <c r="AK306" s="271" t="s">
        <v>972</v>
      </c>
      <c r="AL306" s="271" t="s">
        <v>432</v>
      </c>
      <c r="AM306" s="155"/>
      <c r="AN306" s="155"/>
      <c r="AO306" s="155"/>
      <c r="AP306" s="49"/>
      <c r="AQ306" s="49"/>
      <c r="AR306" s="155"/>
      <c r="AS306" s="155"/>
      <c r="AT306" s="155"/>
      <c r="AU306" s="155"/>
      <c r="AV306" s="155"/>
      <c r="AW306" s="155"/>
      <c r="AX306" s="155"/>
      <c r="AY306" s="155"/>
      <c r="AZ306" s="49"/>
      <c r="BA306" s="49"/>
      <c r="BB306" s="49"/>
      <c r="BC306" s="49"/>
      <c r="BD306" s="49"/>
      <c r="BE306" s="49"/>
      <c r="BF306" s="49"/>
      <c r="BG306" s="49"/>
      <c r="BH306" s="49"/>
      <c r="BI306" s="155"/>
      <c r="BJ306" s="155"/>
      <c r="BK306" s="155"/>
      <c r="BL306" s="49"/>
      <c r="BM306" s="49"/>
      <c r="BN306" s="49"/>
      <c r="BO306" s="49"/>
      <c r="BP306" s="49"/>
      <c r="BQ306" s="49"/>
      <c r="BR306" s="49"/>
      <c r="BS306" s="49"/>
      <c r="BT306" s="271" t="s">
        <v>994</v>
      </c>
      <c r="BU306" s="280" t="s">
        <v>612</v>
      </c>
      <c r="BV306" s="155">
        <v>0</v>
      </c>
      <c r="BW306" s="49"/>
      <c r="BX306" s="49"/>
      <c r="BY306" s="49"/>
      <c r="BZ306" s="49"/>
      <c r="CA306" s="49"/>
      <c r="CB306" s="49"/>
      <c r="CC306" s="49"/>
      <c r="CD306" s="49"/>
      <c r="CE306" s="49"/>
      <c r="CF306" s="49"/>
      <c r="CG306" s="49"/>
      <c r="CH306" s="49"/>
      <c r="CI306" s="49"/>
      <c r="CJ306" s="49"/>
      <c r="CK306" s="49"/>
      <c r="CL306" s="49"/>
      <c r="CM306" s="49"/>
      <c r="CN306" s="49"/>
      <c r="CO306" s="49"/>
      <c r="CP306" s="49"/>
      <c r="CQ306" s="49"/>
      <c r="CR306" s="49"/>
      <c r="CS306" s="49"/>
      <c r="CT306" s="155"/>
      <c r="CU306" s="155"/>
      <c r="CV306" s="155"/>
      <c r="CW306" s="155"/>
      <c r="CX306" s="155"/>
      <c r="CY306" s="155"/>
      <c r="CZ306" s="155"/>
      <c r="DA306" s="155"/>
      <c r="DB306" s="155"/>
      <c r="DC306" s="155"/>
      <c r="DD306" s="155"/>
      <c r="DE306" s="155"/>
      <c r="DF306" s="155"/>
      <c r="DG306" s="155"/>
      <c r="DH306" s="155"/>
      <c r="DI306" s="155"/>
      <c r="DJ306" s="155"/>
      <c r="DK306" s="155"/>
      <c r="DL306" s="155"/>
      <c r="DM306" s="155"/>
      <c r="DN306" s="155"/>
      <c r="DO306" s="155"/>
      <c r="DP306" s="155"/>
      <c r="DQ306" s="155"/>
      <c r="DR306" s="155"/>
      <c r="DS306" s="155"/>
      <c r="DT306" s="155"/>
      <c r="DU306" s="155"/>
      <c r="DV306" s="155"/>
      <c r="DW306" s="155"/>
      <c r="DX306" s="155"/>
    </row>
    <row r="307" spans="1:128" ht="18" customHeight="1">
      <c r="A307" s="155"/>
      <c r="B307" s="155"/>
      <c r="C307" s="155"/>
      <c r="D307" s="155"/>
      <c r="E307" s="49">
        <v>2065</v>
      </c>
      <c r="F307" s="49" t="s">
        <v>1056</v>
      </c>
      <c r="G307" s="158"/>
      <c r="H307" s="155"/>
      <c r="I307" s="270"/>
      <c r="J307" s="270"/>
      <c r="K307" s="270"/>
      <c r="L307" s="270"/>
      <c r="M307" s="270"/>
      <c r="N307" s="270"/>
      <c r="O307" s="155"/>
      <c r="P307" s="155"/>
      <c r="Q307" s="155"/>
      <c r="R307" s="155"/>
      <c r="S307" s="155"/>
      <c r="T307" s="155"/>
      <c r="U307" s="158"/>
      <c r="V307" s="155"/>
      <c r="W307" s="155"/>
      <c r="X307" s="263"/>
      <c r="Y307" s="155"/>
      <c r="Z307" s="155"/>
      <c r="AA307" s="263"/>
      <c r="AB307" s="263"/>
      <c r="AC307" s="155"/>
      <c r="AD307" s="155"/>
      <c r="AE307" s="155"/>
      <c r="AF307" s="155"/>
      <c r="AG307" s="271"/>
      <c r="AH307" s="271" t="s">
        <v>997</v>
      </c>
      <c r="AI307" s="270">
        <v>5</v>
      </c>
      <c r="AJ307" s="155"/>
      <c r="AK307" s="271" t="s">
        <v>975</v>
      </c>
      <c r="AL307" s="271" t="s">
        <v>432</v>
      </c>
      <c r="AM307" s="155"/>
      <c r="AN307" s="155"/>
      <c r="AO307" s="155"/>
      <c r="AP307" s="49"/>
      <c r="AQ307" s="49"/>
      <c r="AR307" s="155"/>
      <c r="AS307" s="155"/>
      <c r="AT307" s="155"/>
      <c r="AU307" s="155"/>
      <c r="AV307" s="155"/>
      <c r="AW307" s="155"/>
      <c r="AX307" s="155"/>
      <c r="AY307" s="155"/>
      <c r="AZ307" s="49"/>
      <c r="BA307" s="49"/>
      <c r="BB307" s="49"/>
      <c r="BC307" s="49"/>
      <c r="BD307" s="49"/>
      <c r="BE307" s="49"/>
      <c r="BF307" s="49"/>
      <c r="BG307" s="49"/>
      <c r="BH307" s="49"/>
      <c r="BI307" s="155"/>
      <c r="BJ307" s="155"/>
      <c r="BK307" s="155"/>
      <c r="BL307" s="49"/>
      <c r="BM307" s="49"/>
      <c r="BN307" s="49"/>
      <c r="BO307" s="49"/>
      <c r="BP307" s="49"/>
      <c r="BQ307" s="49"/>
      <c r="BR307" s="49"/>
      <c r="BS307" s="49"/>
      <c r="BT307" s="271" t="s">
        <v>999</v>
      </c>
      <c r="BU307" s="280" t="s">
        <v>645</v>
      </c>
      <c r="BV307" s="155">
        <v>0</v>
      </c>
      <c r="BW307" s="49"/>
      <c r="BX307" s="49"/>
      <c r="BY307" s="49"/>
      <c r="BZ307" s="49"/>
      <c r="CA307" s="49"/>
      <c r="CB307" s="49"/>
      <c r="CC307" s="49"/>
      <c r="CD307" s="49"/>
      <c r="CE307" s="49"/>
      <c r="CF307" s="49"/>
      <c r="CG307" s="49"/>
      <c r="CH307" s="49"/>
      <c r="CI307" s="49"/>
      <c r="CJ307" s="49"/>
      <c r="CK307" s="49"/>
      <c r="CL307" s="49"/>
      <c r="CM307" s="49"/>
      <c r="CN307" s="49"/>
      <c r="CO307" s="49"/>
      <c r="CP307" s="49"/>
      <c r="CQ307" s="49"/>
      <c r="CR307" s="49"/>
      <c r="CS307" s="49"/>
      <c r="CT307" s="155"/>
      <c r="CU307" s="155"/>
      <c r="CV307" s="155"/>
      <c r="CW307" s="155"/>
      <c r="CX307" s="155"/>
      <c r="CY307" s="155"/>
      <c r="CZ307" s="155"/>
      <c r="DA307" s="155"/>
      <c r="DB307" s="155"/>
      <c r="DC307" s="155"/>
      <c r="DD307" s="155"/>
      <c r="DE307" s="155"/>
      <c r="DF307" s="155"/>
      <c r="DG307" s="155"/>
      <c r="DH307" s="155"/>
      <c r="DI307" s="155"/>
      <c r="DJ307" s="155"/>
      <c r="DK307" s="155"/>
      <c r="DL307" s="155"/>
      <c r="DM307" s="155"/>
      <c r="DN307" s="155"/>
      <c r="DO307" s="155"/>
      <c r="DP307" s="155"/>
      <c r="DQ307" s="155"/>
      <c r="DR307" s="155"/>
      <c r="DS307" s="155"/>
      <c r="DT307" s="155"/>
      <c r="DU307" s="155"/>
      <c r="DV307" s="155"/>
      <c r="DW307" s="155"/>
      <c r="DX307" s="155"/>
    </row>
    <row r="308" spans="1:128" ht="18" customHeight="1">
      <c r="A308" s="155"/>
      <c r="B308" s="155"/>
      <c r="C308" s="155"/>
      <c r="D308" s="155"/>
      <c r="E308" s="49">
        <v>2066</v>
      </c>
      <c r="F308" s="49" t="s">
        <v>1031</v>
      </c>
      <c r="G308" s="158"/>
      <c r="H308" s="155"/>
      <c r="I308" s="270"/>
      <c r="J308" s="270"/>
      <c r="K308" s="270"/>
      <c r="L308" s="270"/>
      <c r="M308" s="270"/>
      <c r="N308" s="270"/>
      <c r="O308" s="155"/>
      <c r="P308" s="155"/>
      <c r="Q308" s="155"/>
      <c r="R308" s="155"/>
      <c r="S308" s="155"/>
      <c r="T308" s="155"/>
      <c r="U308" s="158"/>
      <c r="V308" s="155"/>
      <c r="W308" s="155"/>
      <c r="X308" s="263"/>
      <c r="Y308" s="155"/>
      <c r="Z308" s="155"/>
      <c r="AA308" s="263"/>
      <c r="AB308" s="263"/>
      <c r="AC308" s="155"/>
      <c r="AD308" s="155"/>
      <c r="AE308" s="155"/>
      <c r="AF308" s="155"/>
      <c r="AG308" s="271"/>
      <c r="AH308" s="271" t="s">
        <v>1043</v>
      </c>
      <c r="AI308" s="270">
        <v>1</v>
      </c>
      <c r="AJ308" s="155"/>
      <c r="AK308" s="271" t="s">
        <v>980</v>
      </c>
      <c r="AL308" s="271" t="s">
        <v>432</v>
      </c>
      <c r="AM308" s="155"/>
      <c r="AN308" s="155"/>
      <c r="AO308" s="155"/>
      <c r="AP308" s="49"/>
      <c r="AQ308" s="49"/>
      <c r="AR308" s="155"/>
      <c r="AS308" s="155"/>
      <c r="AT308" s="155"/>
      <c r="AU308" s="155"/>
      <c r="AV308" s="155"/>
      <c r="AW308" s="155"/>
      <c r="AX308" s="155"/>
      <c r="AY308" s="155"/>
      <c r="AZ308" s="49"/>
      <c r="BA308" s="49"/>
      <c r="BB308" s="49"/>
      <c r="BC308" s="49"/>
      <c r="BD308" s="49"/>
      <c r="BE308" s="49"/>
      <c r="BF308" s="49"/>
      <c r="BG308" s="49"/>
      <c r="BH308" s="49"/>
      <c r="BI308" s="155"/>
      <c r="BJ308" s="155"/>
      <c r="BK308" s="155"/>
      <c r="BL308" s="49"/>
      <c r="BM308" s="49"/>
      <c r="BN308" s="49"/>
      <c r="BO308" s="49"/>
      <c r="BP308" s="49"/>
      <c r="BQ308" s="49"/>
      <c r="BR308" s="49"/>
      <c r="BS308" s="49"/>
      <c r="BT308" s="271" t="s">
        <v>1003</v>
      </c>
      <c r="BU308" s="280" t="s">
        <v>645</v>
      </c>
      <c r="BV308" s="155">
        <v>0</v>
      </c>
      <c r="BW308" s="49"/>
      <c r="BX308" s="49"/>
      <c r="BY308" s="49"/>
      <c r="BZ308" s="49"/>
      <c r="CA308" s="49"/>
      <c r="CB308" s="49"/>
      <c r="CC308" s="49"/>
      <c r="CD308" s="49"/>
      <c r="CE308" s="49"/>
      <c r="CF308" s="49"/>
      <c r="CG308" s="49"/>
      <c r="CH308" s="49"/>
      <c r="CI308" s="49"/>
      <c r="CJ308" s="49"/>
      <c r="CK308" s="49"/>
      <c r="CL308" s="49"/>
      <c r="CM308" s="49"/>
      <c r="CN308" s="49"/>
      <c r="CO308" s="49"/>
      <c r="CP308" s="49"/>
      <c r="CQ308" s="49"/>
      <c r="CR308" s="49"/>
      <c r="CS308" s="49"/>
      <c r="CT308" s="155"/>
      <c r="CU308" s="155"/>
      <c r="CV308" s="155"/>
      <c r="CW308" s="155"/>
      <c r="CX308" s="155"/>
      <c r="CY308" s="155"/>
      <c r="CZ308" s="155"/>
      <c r="DA308" s="155"/>
      <c r="DB308" s="155"/>
      <c r="DC308" s="155"/>
      <c r="DD308" s="155"/>
      <c r="DE308" s="155"/>
      <c r="DF308" s="155"/>
      <c r="DG308" s="155"/>
      <c r="DH308" s="155"/>
      <c r="DI308" s="155"/>
      <c r="DJ308" s="155"/>
      <c r="DK308" s="155"/>
      <c r="DL308" s="155"/>
      <c r="DM308" s="155"/>
      <c r="DN308" s="155"/>
      <c r="DO308" s="155"/>
      <c r="DP308" s="155"/>
      <c r="DQ308" s="155"/>
      <c r="DR308" s="155"/>
      <c r="DS308" s="155"/>
      <c r="DT308" s="155"/>
      <c r="DU308" s="155"/>
      <c r="DV308" s="155"/>
      <c r="DW308" s="155"/>
      <c r="DX308" s="155"/>
    </row>
    <row r="309" spans="1:128" ht="18" customHeight="1">
      <c r="A309" s="155"/>
      <c r="B309" s="155"/>
      <c r="C309" s="155"/>
      <c r="D309" s="155"/>
      <c r="E309" s="49">
        <v>2067</v>
      </c>
      <c r="F309" s="49" t="s">
        <v>981</v>
      </c>
      <c r="G309" s="158"/>
      <c r="H309" s="155"/>
      <c r="I309" s="270"/>
      <c r="J309" s="270"/>
      <c r="K309" s="270"/>
      <c r="L309" s="270"/>
      <c r="M309" s="270"/>
      <c r="N309" s="270"/>
      <c r="O309" s="155"/>
      <c r="P309" s="155"/>
      <c r="Q309" s="155"/>
      <c r="R309" s="155"/>
      <c r="S309" s="155"/>
      <c r="T309" s="155"/>
      <c r="U309" s="158"/>
      <c r="V309" s="155"/>
      <c r="W309" s="155"/>
      <c r="X309" s="263"/>
      <c r="Y309" s="155"/>
      <c r="Z309" s="155"/>
      <c r="AA309" s="263"/>
      <c r="AB309" s="263"/>
      <c r="AC309" s="155"/>
      <c r="AD309" s="155"/>
      <c r="AE309" s="155"/>
      <c r="AF309" s="155"/>
      <c r="AG309" s="271"/>
      <c r="AH309" s="271" t="s">
        <v>956</v>
      </c>
      <c r="AI309" s="270">
        <v>3</v>
      </c>
      <c r="AJ309" s="155"/>
      <c r="AK309" s="271" t="s">
        <v>984</v>
      </c>
      <c r="AL309" s="271" t="s">
        <v>432</v>
      </c>
      <c r="AM309" s="155"/>
      <c r="AN309" s="155"/>
      <c r="AO309" s="155"/>
      <c r="AP309" s="49"/>
      <c r="AQ309" s="49"/>
      <c r="AR309" s="155"/>
      <c r="AS309" s="155"/>
      <c r="AT309" s="155"/>
      <c r="AU309" s="155"/>
      <c r="AV309" s="155"/>
      <c r="AW309" s="155"/>
      <c r="AX309" s="155"/>
      <c r="AY309" s="155"/>
      <c r="AZ309" s="49"/>
      <c r="BA309" s="49"/>
      <c r="BB309" s="49"/>
      <c r="BC309" s="49"/>
      <c r="BD309" s="49"/>
      <c r="BE309" s="49"/>
      <c r="BF309" s="49"/>
      <c r="BG309" s="49"/>
      <c r="BH309" s="49"/>
      <c r="BI309" s="155"/>
      <c r="BJ309" s="155"/>
      <c r="BK309" s="155"/>
      <c r="BL309" s="49"/>
      <c r="BM309" s="49"/>
      <c r="BN309" s="49"/>
      <c r="BO309" s="49"/>
      <c r="BP309" s="49"/>
      <c r="BQ309" s="49"/>
      <c r="BR309" s="49"/>
      <c r="BS309" s="49"/>
      <c r="BT309" s="271" t="s">
        <v>1007</v>
      </c>
      <c r="BU309" s="280" t="s">
        <v>612</v>
      </c>
      <c r="BV309" s="155">
        <v>0</v>
      </c>
      <c r="BW309" s="49"/>
      <c r="BX309" s="49"/>
      <c r="BY309" s="49"/>
      <c r="BZ309" s="49"/>
      <c r="CA309" s="49"/>
      <c r="CB309" s="49"/>
      <c r="CC309" s="49"/>
      <c r="CD309" s="49"/>
      <c r="CE309" s="49"/>
      <c r="CF309" s="49"/>
      <c r="CG309" s="49"/>
      <c r="CH309" s="49"/>
      <c r="CI309" s="49"/>
      <c r="CJ309" s="49"/>
      <c r="CK309" s="49"/>
      <c r="CL309" s="49"/>
      <c r="CM309" s="49"/>
      <c r="CN309" s="49"/>
      <c r="CO309" s="49"/>
      <c r="CP309" s="49"/>
      <c r="CQ309" s="49"/>
      <c r="CR309" s="49"/>
      <c r="CS309" s="49"/>
      <c r="CT309" s="155"/>
      <c r="CU309" s="155"/>
      <c r="CV309" s="155"/>
      <c r="CW309" s="155"/>
      <c r="CX309" s="155"/>
      <c r="CY309" s="155"/>
      <c r="CZ309" s="155"/>
      <c r="DA309" s="155"/>
      <c r="DB309" s="155"/>
      <c r="DC309" s="155"/>
      <c r="DD309" s="155"/>
      <c r="DE309" s="155"/>
      <c r="DF309" s="155"/>
      <c r="DG309" s="155"/>
      <c r="DH309" s="155"/>
      <c r="DI309" s="155"/>
      <c r="DJ309" s="155"/>
      <c r="DK309" s="155"/>
      <c r="DL309" s="155"/>
      <c r="DM309" s="155"/>
      <c r="DN309" s="155"/>
      <c r="DO309" s="155"/>
      <c r="DP309" s="155"/>
      <c r="DQ309" s="155"/>
      <c r="DR309" s="155"/>
      <c r="DS309" s="155"/>
      <c r="DT309" s="155"/>
      <c r="DU309" s="155"/>
      <c r="DV309" s="155"/>
      <c r="DW309" s="155"/>
      <c r="DX309" s="155"/>
    </row>
    <row r="310" spans="1:128" ht="18" customHeight="1">
      <c r="A310" s="155"/>
      <c r="B310" s="155"/>
      <c r="C310" s="155"/>
      <c r="D310" s="155"/>
      <c r="E310" s="49">
        <v>2068</v>
      </c>
      <c r="F310" s="49" t="s">
        <v>1057</v>
      </c>
      <c r="G310" s="158"/>
      <c r="H310" s="155"/>
      <c r="I310" s="270"/>
      <c r="J310" s="270"/>
      <c r="K310" s="270"/>
      <c r="L310" s="270"/>
      <c r="M310" s="270"/>
      <c r="N310" s="270"/>
      <c r="O310" s="155"/>
      <c r="P310" s="155"/>
      <c r="Q310" s="155"/>
      <c r="R310" s="155"/>
      <c r="S310" s="155"/>
      <c r="T310" s="155"/>
      <c r="U310" s="158"/>
      <c r="V310" s="155"/>
      <c r="W310" s="155"/>
      <c r="X310" s="263"/>
      <c r="Y310" s="155"/>
      <c r="Z310" s="155"/>
      <c r="AA310" s="263"/>
      <c r="AB310" s="263"/>
      <c r="AC310" s="155"/>
      <c r="AD310" s="155"/>
      <c r="AE310" s="155"/>
      <c r="AF310" s="155"/>
      <c r="AG310" s="271"/>
      <c r="AH310" s="271" t="s">
        <v>1044</v>
      </c>
      <c r="AI310" s="270">
        <v>6</v>
      </c>
      <c r="AJ310" s="155"/>
      <c r="AK310" s="271" t="s">
        <v>990</v>
      </c>
      <c r="AL310" s="271" t="s">
        <v>492</v>
      </c>
      <c r="AM310" s="155"/>
      <c r="AN310" s="155"/>
      <c r="AO310" s="155"/>
      <c r="AP310" s="49"/>
      <c r="AQ310" s="49"/>
      <c r="AR310" s="155"/>
      <c r="AS310" s="155"/>
      <c r="AT310" s="155"/>
      <c r="AU310" s="155"/>
      <c r="AV310" s="155"/>
      <c r="AW310" s="155"/>
      <c r="AX310" s="155"/>
      <c r="AY310" s="155"/>
      <c r="AZ310" s="49"/>
      <c r="BA310" s="49"/>
      <c r="BB310" s="49"/>
      <c r="BC310" s="49"/>
      <c r="BD310" s="49"/>
      <c r="BE310" s="49"/>
      <c r="BF310" s="49"/>
      <c r="BG310" s="49"/>
      <c r="BH310" s="49"/>
      <c r="BI310" s="155"/>
      <c r="BJ310" s="155"/>
      <c r="BK310" s="155"/>
      <c r="BL310" s="49"/>
      <c r="BM310" s="49"/>
      <c r="BN310" s="49"/>
      <c r="BO310" s="49"/>
      <c r="BP310" s="49"/>
      <c r="BQ310" s="49"/>
      <c r="BR310" s="49"/>
      <c r="BS310" s="49"/>
      <c r="BT310" s="271" t="s">
        <v>989</v>
      </c>
      <c r="BU310" s="280" t="s">
        <v>622</v>
      </c>
      <c r="BV310" s="155">
        <v>0</v>
      </c>
      <c r="BW310" s="49"/>
      <c r="BX310" s="49"/>
      <c r="BY310" s="49"/>
      <c r="BZ310" s="49"/>
      <c r="CA310" s="49"/>
      <c r="CB310" s="49"/>
      <c r="CC310" s="49"/>
      <c r="CD310" s="49"/>
      <c r="CE310" s="49"/>
      <c r="CF310" s="49"/>
      <c r="CG310" s="49"/>
      <c r="CH310" s="49"/>
      <c r="CI310" s="49"/>
      <c r="CJ310" s="49"/>
      <c r="CK310" s="49"/>
      <c r="CL310" s="49"/>
      <c r="CM310" s="49"/>
      <c r="CN310" s="49"/>
      <c r="CO310" s="49"/>
      <c r="CP310" s="49"/>
      <c r="CQ310" s="49"/>
      <c r="CR310" s="49"/>
      <c r="CS310" s="49"/>
      <c r="CT310" s="155"/>
      <c r="CU310" s="155"/>
      <c r="CV310" s="155"/>
      <c r="CW310" s="155"/>
      <c r="CX310" s="155"/>
      <c r="CY310" s="155"/>
      <c r="CZ310" s="155"/>
      <c r="DA310" s="155"/>
      <c r="DB310" s="155"/>
      <c r="DC310" s="155"/>
      <c r="DD310" s="155"/>
      <c r="DE310" s="155"/>
      <c r="DF310" s="155"/>
      <c r="DG310" s="155"/>
      <c r="DH310" s="155"/>
      <c r="DI310" s="155"/>
      <c r="DJ310" s="155"/>
      <c r="DK310" s="155"/>
      <c r="DL310" s="155"/>
      <c r="DM310" s="155"/>
      <c r="DN310" s="155"/>
      <c r="DO310" s="155"/>
      <c r="DP310" s="155"/>
      <c r="DQ310" s="155"/>
      <c r="DR310" s="155"/>
      <c r="DS310" s="155"/>
      <c r="DT310" s="155"/>
      <c r="DU310" s="155"/>
      <c r="DV310" s="155"/>
      <c r="DW310" s="155"/>
      <c r="DX310" s="155"/>
    </row>
    <row r="311" spans="1:128" ht="18" customHeight="1">
      <c r="A311" s="155"/>
      <c r="B311" s="155"/>
      <c r="C311" s="155"/>
      <c r="D311" s="155"/>
      <c r="E311" s="49">
        <v>2069</v>
      </c>
      <c r="F311" s="49" t="s">
        <v>1056</v>
      </c>
      <c r="G311" s="158"/>
      <c r="H311" s="155"/>
      <c r="I311" s="270"/>
      <c r="J311" s="270"/>
      <c r="K311" s="270"/>
      <c r="L311" s="270"/>
      <c r="M311" s="270"/>
      <c r="N311" s="270"/>
      <c r="O311" s="155"/>
      <c r="P311" s="155"/>
      <c r="Q311" s="155"/>
      <c r="R311" s="155"/>
      <c r="S311" s="155"/>
      <c r="T311" s="155"/>
      <c r="U311" s="158"/>
      <c r="V311" s="155"/>
      <c r="W311" s="155"/>
      <c r="X311" s="263"/>
      <c r="Y311" s="155"/>
      <c r="Z311" s="155"/>
      <c r="AA311" s="263"/>
      <c r="AB311" s="263"/>
      <c r="AC311" s="155"/>
      <c r="AD311" s="155"/>
      <c r="AE311" s="155"/>
      <c r="AF311" s="155"/>
      <c r="AG311" s="271"/>
      <c r="AH311" s="271" t="s">
        <v>1025</v>
      </c>
      <c r="AI311" s="270">
        <v>9</v>
      </c>
      <c r="AJ311" s="155"/>
      <c r="AK311" s="271" t="s">
        <v>993</v>
      </c>
      <c r="AL311" s="271" t="s">
        <v>492</v>
      </c>
      <c r="AM311" s="155"/>
      <c r="AN311" s="155"/>
      <c r="AO311" s="155"/>
      <c r="AP311" s="49"/>
      <c r="AQ311" s="49"/>
      <c r="AR311" s="155"/>
      <c r="AS311" s="155"/>
      <c r="AT311" s="155"/>
      <c r="AU311" s="155"/>
      <c r="AV311" s="155"/>
      <c r="AW311" s="155"/>
      <c r="AX311" s="155"/>
      <c r="AY311" s="155"/>
      <c r="AZ311" s="49"/>
      <c r="BA311" s="49"/>
      <c r="BB311" s="49"/>
      <c r="BC311" s="49"/>
      <c r="BD311" s="49"/>
      <c r="BE311" s="49"/>
      <c r="BF311" s="49"/>
      <c r="BG311" s="49"/>
      <c r="BH311" s="49"/>
      <c r="BI311" s="155"/>
      <c r="BJ311" s="155"/>
      <c r="BK311" s="155"/>
      <c r="BL311" s="49"/>
      <c r="BM311" s="49"/>
      <c r="BN311" s="49"/>
      <c r="BO311" s="49"/>
      <c r="BP311" s="49"/>
      <c r="BQ311" s="49"/>
      <c r="BR311" s="49"/>
      <c r="BS311" s="49"/>
      <c r="BT311" s="271" t="s">
        <v>1011</v>
      </c>
      <c r="BU311" s="280" t="s">
        <v>622</v>
      </c>
      <c r="BV311" s="155">
        <v>1</v>
      </c>
      <c r="BW311" s="49"/>
      <c r="BX311" s="49"/>
      <c r="BY311" s="49"/>
      <c r="BZ311" s="49"/>
      <c r="CA311" s="49"/>
      <c r="CB311" s="49"/>
      <c r="CC311" s="49"/>
      <c r="CD311" s="49"/>
      <c r="CE311" s="49"/>
      <c r="CF311" s="49"/>
      <c r="CG311" s="49"/>
      <c r="CH311" s="49"/>
      <c r="CI311" s="49"/>
      <c r="CJ311" s="49"/>
      <c r="CK311" s="49"/>
      <c r="CL311" s="49"/>
      <c r="CM311" s="49"/>
      <c r="CN311" s="49"/>
      <c r="CO311" s="49"/>
      <c r="CP311" s="49"/>
      <c r="CQ311" s="49"/>
      <c r="CR311" s="49"/>
      <c r="CS311" s="49"/>
      <c r="CT311" s="155"/>
      <c r="CU311" s="155"/>
      <c r="CV311" s="155"/>
      <c r="CW311" s="155"/>
      <c r="CX311" s="155"/>
      <c r="CY311" s="155"/>
      <c r="CZ311" s="155"/>
      <c r="DA311" s="155"/>
      <c r="DB311" s="155"/>
      <c r="DC311" s="155"/>
      <c r="DD311" s="155"/>
      <c r="DE311" s="155"/>
      <c r="DF311" s="155"/>
      <c r="DG311" s="155"/>
      <c r="DH311" s="155"/>
      <c r="DI311" s="155"/>
      <c r="DJ311" s="155"/>
      <c r="DK311" s="155"/>
      <c r="DL311" s="155"/>
      <c r="DM311" s="155"/>
      <c r="DN311" s="155"/>
      <c r="DO311" s="155"/>
      <c r="DP311" s="155"/>
      <c r="DQ311" s="155"/>
      <c r="DR311" s="155"/>
      <c r="DS311" s="155"/>
      <c r="DT311" s="155"/>
      <c r="DU311" s="155"/>
      <c r="DV311" s="155"/>
      <c r="DW311" s="155"/>
      <c r="DX311" s="155"/>
    </row>
    <row r="312" spans="1:128" ht="18" customHeight="1">
      <c r="A312" s="155"/>
      <c r="B312" s="155"/>
      <c r="C312" s="155"/>
      <c r="D312" s="155"/>
      <c r="E312" s="49">
        <v>2070</v>
      </c>
      <c r="F312" s="49" t="s">
        <v>1031</v>
      </c>
      <c r="G312" s="158"/>
      <c r="H312" s="155"/>
      <c r="I312" s="270"/>
      <c r="J312" s="270"/>
      <c r="K312" s="270"/>
      <c r="L312" s="270"/>
      <c r="M312" s="270"/>
      <c r="N312" s="270"/>
      <c r="O312" s="155"/>
      <c r="P312" s="155"/>
      <c r="Q312" s="155"/>
      <c r="R312" s="155"/>
      <c r="S312" s="155"/>
      <c r="T312" s="155"/>
      <c r="U312" s="158"/>
      <c r="V312" s="155"/>
      <c r="W312" s="155"/>
      <c r="X312" s="263"/>
      <c r="Y312" s="155"/>
      <c r="Z312" s="155"/>
      <c r="AA312" s="263"/>
      <c r="AB312" s="263"/>
      <c r="AC312" s="155"/>
      <c r="AD312" s="155"/>
      <c r="AE312" s="155"/>
      <c r="AF312" s="155"/>
      <c r="AG312" s="271"/>
      <c r="AH312" s="271" t="s">
        <v>1050</v>
      </c>
      <c r="AI312" s="270">
        <v>7</v>
      </c>
      <c r="AJ312" s="155"/>
      <c r="AK312" s="271" t="s">
        <v>998</v>
      </c>
      <c r="AL312" s="271" t="s">
        <v>492</v>
      </c>
      <c r="AM312" s="155"/>
      <c r="AN312" s="155"/>
      <c r="AO312" s="155"/>
      <c r="AP312" s="49"/>
      <c r="AQ312" s="49"/>
      <c r="AR312" s="155"/>
      <c r="AS312" s="155"/>
      <c r="AT312" s="155"/>
      <c r="AU312" s="155"/>
      <c r="AV312" s="155"/>
      <c r="AW312" s="155"/>
      <c r="AX312" s="155"/>
      <c r="AY312" s="155"/>
      <c r="AZ312" s="49"/>
      <c r="BA312" s="49"/>
      <c r="BB312" s="49"/>
      <c r="BC312" s="49"/>
      <c r="BD312" s="49"/>
      <c r="BE312" s="49"/>
      <c r="BF312" s="49"/>
      <c r="BG312" s="49"/>
      <c r="BH312" s="49"/>
      <c r="BI312" s="155"/>
      <c r="BJ312" s="155"/>
      <c r="BK312" s="155"/>
      <c r="BL312" s="49"/>
      <c r="BM312" s="49"/>
      <c r="BN312" s="49"/>
      <c r="BO312" s="49"/>
      <c r="BP312" s="49"/>
      <c r="BQ312" s="49"/>
      <c r="BR312" s="49"/>
      <c r="BS312" s="49"/>
      <c r="BT312" s="271" t="s">
        <v>947</v>
      </c>
      <c r="BU312" s="280" t="s">
        <v>612</v>
      </c>
      <c r="BV312" s="155">
        <v>1</v>
      </c>
      <c r="BW312" s="49"/>
      <c r="BX312" s="49"/>
      <c r="BY312" s="49"/>
      <c r="BZ312" s="49"/>
      <c r="CA312" s="49"/>
      <c r="CB312" s="49"/>
      <c r="CC312" s="49"/>
      <c r="CD312" s="49"/>
      <c r="CE312" s="49"/>
      <c r="CF312" s="49"/>
      <c r="CG312" s="49"/>
      <c r="CH312" s="49"/>
      <c r="CI312" s="49"/>
      <c r="CJ312" s="49"/>
      <c r="CK312" s="49"/>
      <c r="CL312" s="49"/>
      <c r="CM312" s="49"/>
      <c r="CN312" s="49"/>
      <c r="CO312" s="49"/>
      <c r="CP312" s="49"/>
      <c r="CQ312" s="49"/>
      <c r="CR312" s="49"/>
      <c r="CS312" s="49"/>
      <c r="CT312" s="155"/>
      <c r="CU312" s="155"/>
      <c r="CV312" s="155"/>
      <c r="CW312" s="155"/>
      <c r="CX312" s="155"/>
      <c r="CY312" s="155"/>
      <c r="CZ312" s="155"/>
      <c r="DA312" s="155"/>
      <c r="DB312" s="155"/>
      <c r="DC312" s="155"/>
      <c r="DD312" s="155"/>
      <c r="DE312" s="155"/>
      <c r="DF312" s="155"/>
      <c r="DG312" s="155"/>
      <c r="DH312" s="155"/>
      <c r="DI312" s="155"/>
      <c r="DJ312" s="155"/>
      <c r="DK312" s="155"/>
      <c r="DL312" s="155"/>
      <c r="DM312" s="155"/>
      <c r="DN312" s="155"/>
      <c r="DO312" s="155"/>
      <c r="DP312" s="155"/>
      <c r="DQ312" s="155"/>
      <c r="DR312" s="155"/>
      <c r="DS312" s="155"/>
      <c r="DT312" s="155"/>
      <c r="DU312" s="155"/>
      <c r="DV312" s="155"/>
      <c r="DW312" s="155"/>
      <c r="DX312" s="155"/>
    </row>
    <row r="313" spans="1:128" ht="18" customHeight="1">
      <c r="A313" s="155"/>
      <c r="B313" s="155"/>
      <c r="C313" s="155"/>
      <c r="D313" s="155"/>
      <c r="E313" s="49">
        <v>2071</v>
      </c>
      <c r="F313" s="49" t="s">
        <v>981</v>
      </c>
      <c r="G313" s="158"/>
      <c r="H313" s="155"/>
      <c r="I313" s="270"/>
      <c r="J313" s="270"/>
      <c r="K313" s="270"/>
      <c r="L313" s="270"/>
      <c r="M313" s="270"/>
      <c r="N313" s="270"/>
      <c r="O313" s="155"/>
      <c r="P313" s="155"/>
      <c r="Q313" s="155"/>
      <c r="R313" s="155"/>
      <c r="S313" s="155"/>
      <c r="T313" s="155"/>
      <c r="U313" s="158"/>
      <c r="V313" s="155"/>
      <c r="W313" s="155"/>
      <c r="X313" s="263"/>
      <c r="Y313" s="155"/>
      <c r="Z313" s="155"/>
      <c r="AA313" s="263"/>
      <c r="AB313" s="263"/>
      <c r="AC313" s="155"/>
      <c r="AD313" s="155"/>
      <c r="AE313" s="155"/>
      <c r="AF313" s="155"/>
      <c r="AG313" s="271"/>
      <c r="AH313" s="271" t="s">
        <v>1038</v>
      </c>
      <c r="AI313" s="270">
        <v>10</v>
      </c>
      <c r="AJ313" s="155"/>
      <c r="AK313" s="271" t="s">
        <v>1002</v>
      </c>
      <c r="AL313" s="271" t="s">
        <v>492</v>
      </c>
      <c r="AM313" s="155"/>
      <c r="AN313" s="155"/>
      <c r="AO313" s="155"/>
      <c r="AP313" s="49"/>
      <c r="AQ313" s="49"/>
      <c r="AR313" s="155"/>
      <c r="AS313" s="155"/>
      <c r="AT313" s="155"/>
      <c r="AU313" s="155"/>
      <c r="AV313" s="155"/>
      <c r="AW313" s="155"/>
      <c r="AX313" s="155"/>
      <c r="AY313" s="155"/>
      <c r="AZ313" s="49"/>
      <c r="BA313" s="49"/>
      <c r="BB313" s="49"/>
      <c r="BC313" s="49"/>
      <c r="BD313" s="49"/>
      <c r="BE313" s="49"/>
      <c r="BF313" s="49"/>
      <c r="BG313" s="49"/>
      <c r="BH313" s="49"/>
      <c r="BI313" s="155"/>
      <c r="BJ313" s="155"/>
      <c r="BK313" s="155"/>
      <c r="BL313" s="49"/>
      <c r="BM313" s="49"/>
      <c r="BN313" s="49"/>
      <c r="BO313" s="49"/>
      <c r="BP313" s="49"/>
      <c r="BQ313" s="49"/>
      <c r="BR313" s="49"/>
      <c r="BS313" s="49"/>
      <c r="BT313" s="271" t="s">
        <v>951</v>
      </c>
      <c r="BU313" s="280" t="s">
        <v>660</v>
      </c>
      <c r="BV313" s="155">
        <v>1</v>
      </c>
      <c r="BW313" s="49"/>
      <c r="BX313" s="49"/>
      <c r="BY313" s="49"/>
      <c r="BZ313" s="49"/>
      <c r="CA313" s="49"/>
      <c r="CB313" s="49"/>
      <c r="CC313" s="49"/>
      <c r="CD313" s="49"/>
      <c r="CE313" s="49"/>
      <c r="CF313" s="49"/>
      <c r="CG313" s="49"/>
      <c r="CH313" s="49"/>
      <c r="CI313" s="49"/>
      <c r="CJ313" s="49"/>
      <c r="CK313" s="49"/>
      <c r="CL313" s="49"/>
      <c r="CM313" s="49"/>
      <c r="CN313" s="49"/>
      <c r="CO313" s="49"/>
      <c r="CP313" s="49"/>
      <c r="CQ313" s="49"/>
      <c r="CR313" s="49"/>
      <c r="CS313" s="49"/>
      <c r="CT313" s="155"/>
      <c r="CU313" s="155"/>
      <c r="CV313" s="155"/>
      <c r="CW313" s="155"/>
      <c r="CX313" s="155"/>
      <c r="CY313" s="155"/>
      <c r="CZ313" s="155"/>
      <c r="DA313" s="155"/>
      <c r="DB313" s="155"/>
      <c r="DC313" s="155"/>
      <c r="DD313" s="155"/>
      <c r="DE313" s="155"/>
      <c r="DF313" s="155"/>
      <c r="DG313" s="155"/>
      <c r="DH313" s="155"/>
      <c r="DI313" s="155"/>
      <c r="DJ313" s="155"/>
      <c r="DK313" s="155"/>
      <c r="DL313" s="155"/>
      <c r="DM313" s="155"/>
      <c r="DN313" s="155"/>
      <c r="DO313" s="155"/>
      <c r="DP313" s="155"/>
      <c r="DQ313" s="155"/>
      <c r="DR313" s="155"/>
      <c r="DS313" s="155"/>
      <c r="DT313" s="155"/>
      <c r="DU313" s="155"/>
      <c r="DV313" s="155"/>
      <c r="DW313" s="155"/>
      <c r="DX313" s="155"/>
    </row>
    <row r="314" spans="1:128" ht="18" customHeight="1">
      <c r="A314" s="155"/>
      <c r="B314" s="155"/>
      <c r="C314" s="155"/>
      <c r="D314" s="155"/>
      <c r="E314" s="49">
        <v>2072</v>
      </c>
      <c r="F314" s="49" t="s">
        <v>1058</v>
      </c>
      <c r="G314" s="158"/>
      <c r="H314" s="155"/>
      <c r="I314" s="270"/>
      <c r="J314" s="270"/>
      <c r="K314" s="270"/>
      <c r="L314" s="270"/>
      <c r="M314" s="270"/>
      <c r="N314" s="270"/>
      <c r="O314" s="155"/>
      <c r="P314" s="155"/>
      <c r="Q314" s="155"/>
      <c r="R314" s="155"/>
      <c r="S314" s="155"/>
      <c r="T314" s="155"/>
      <c r="U314" s="158"/>
      <c r="V314" s="155"/>
      <c r="W314" s="155"/>
      <c r="X314" s="263"/>
      <c r="Y314" s="155"/>
      <c r="Z314" s="155"/>
      <c r="AA314" s="263"/>
      <c r="AB314" s="263"/>
      <c r="AC314" s="155"/>
      <c r="AD314" s="155"/>
      <c r="AE314" s="155"/>
      <c r="AF314" s="155"/>
      <c r="AG314" s="271"/>
      <c r="AH314" s="271" t="s">
        <v>1049</v>
      </c>
      <c r="AI314" s="270">
        <v>11</v>
      </c>
      <c r="AJ314" s="155"/>
      <c r="AK314" s="271" t="s">
        <v>1006</v>
      </c>
      <c r="AL314" s="271" t="s">
        <v>492</v>
      </c>
      <c r="AM314" s="155"/>
      <c r="AN314" s="155"/>
      <c r="AO314" s="155"/>
      <c r="AP314" s="49"/>
      <c r="AQ314" s="49"/>
      <c r="AR314" s="155"/>
      <c r="AS314" s="155"/>
      <c r="AT314" s="155"/>
      <c r="AU314" s="155"/>
      <c r="AV314" s="155"/>
      <c r="AW314" s="155"/>
      <c r="AX314" s="155"/>
      <c r="AY314" s="155"/>
      <c r="AZ314" s="49"/>
      <c r="BA314" s="49"/>
      <c r="BB314" s="49"/>
      <c r="BC314" s="49"/>
      <c r="BD314" s="49"/>
      <c r="BE314" s="49"/>
      <c r="BF314" s="49"/>
      <c r="BG314" s="49"/>
      <c r="BH314" s="49"/>
      <c r="BI314" s="155"/>
      <c r="BJ314" s="155"/>
      <c r="BK314" s="155"/>
      <c r="BL314" s="49"/>
      <c r="BM314" s="49"/>
      <c r="BN314" s="49"/>
      <c r="BO314" s="49"/>
      <c r="BP314" s="49"/>
      <c r="BQ314" s="49"/>
      <c r="BR314" s="49"/>
      <c r="BS314" s="49"/>
      <c r="BT314" s="271" t="s">
        <v>1019</v>
      </c>
      <c r="BU314" s="280" t="s">
        <v>660</v>
      </c>
      <c r="BV314" s="155">
        <v>0</v>
      </c>
      <c r="BW314" s="49"/>
      <c r="BX314" s="49"/>
      <c r="BY314" s="49"/>
      <c r="BZ314" s="49"/>
      <c r="CA314" s="49"/>
      <c r="CB314" s="49"/>
      <c r="CC314" s="49"/>
      <c r="CD314" s="49"/>
      <c r="CE314" s="49"/>
      <c r="CF314" s="49"/>
      <c r="CG314" s="49"/>
      <c r="CH314" s="49"/>
      <c r="CI314" s="49"/>
      <c r="CJ314" s="49"/>
      <c r="CK314" s="49"/>
      <c r="CL314" s="49"/>
      <c r="CM314" s="49"/>
      <c r="CN314" s="49"/>
      <c r="CO314" s="49"/>
      <c r="CP314" s="49"/>
      <c r="CQ314" s="49"/>
      <c r="CR314" s="49"/>
      <c r="CS314" s="49"/>
      <c r="CT314" s="155"/>
      <c r="CU314" s="155"/>
      <c r="CV314" s="155"/>
      <c r="CW314" s="155"/>
      <c r="CX314" s="155"/>
      <c r="CY314" s="155"/>
      <c r="CZ314" s="155"/>
      <c r="DA314" s="155"/>
      <c r="DB314" s="155"/>
      <c r="DC314" s="155"/>
      <c r="DD314" s="155"/>
      <c r="DE314" s="155"/>
      <c r="DF314" s="155"/>
      <c r="DG314" s="155"/>
      <c r="DH314" s="155"/>
      <c r="DI314" s="155"/>
      <c r="DJ314" s="155"/>
      <c r="DK314" s="155"/>
      <c r="DL314" s="155"/>
      <c r="DM314" s="155"/>
      <c r="DN314" s="155"/>
      <c r="DO314" s="155"/>
      <c r="DP314" s="155"/>
      <c r="DQ314" s="155"/>
      <c r="DR314" s="155"/>
      <c r="DS314" s="155"/>
      <c r="DT314" s="155"/>
      <c r="DU314" s="155"/>
      <c r="DV314" s="155"/>
      <c r="DW314" s="155"/>
      <c r="DX314" s="155"/>
    </row>
    <row r="315" spans="1:128" ht="18" customHeight="1">
      <c r="A315" s="155"/>
      <c r="B315" s="155"/>
      <c r="C315" s="155"/>
      <c r="D315" s="155"/>
      <c r="E315" s="49">
        <v>2073</v>
      </c>
      <c r="F315" s="49" t="s">
        <v>1056</v>
      </c>
      <c r="G315" s="158"/>
      <c r="H315" s="155"/>
      <c r="I315" s="270"/>
      <c r="J315" s="270"/>
      <c r="K315" s="270"/>
      <c r="L315" s="270"/>
      <c r="M315" s="270"/>
      <c r="N315" s="270"/>
      <c r="O315" s="155"/>
      <c r="P315" s="155"/>
      <c r="Q315" s="155"/>
      <c r="R315" s="155"/>
      <c r="S315" s="155"/>
      <c r="T315" s="155"/>
      <c r="U315" s="158"/>
      <c r="V315" s="155"/>
      <c r="W315" s="155"/>
      <c r="X315" s="263"/>
      <c r="Y315" s="155"/>
      <c r="Z315" s="155"/>
      <c r="AA315" s="263"/>
      <c r="AB315" s="263"/>
      <c r="AC315" s="155"/>
      <c r="AD315" s="155"/>
      <c r="AE315" s="155"/>
      <c r="AF315" s="155"/>
      <c r="AG315" s="271"/>
      <c r="AH315" s="271" t="s">
        <v>1046</v>
      </c>
      <c r="AI315" s="270">
        <v>12</v>
      </c>
      <c r="AJ315" s="155"/>
      <c r="AK315" s="271" t="s">
        <v>1008</v>
      </c>
      <c r="AL315" s="271" t="s">
        <v>492</v>
      </c>
      <c r="AM315" s="155"/>
      <c r="AN315" s="155"/>
      <c r="AO315" s="155"/>
      <c r="AP315" s="49"/>
      <c r="AQ315" s="49"/>
      <c r="AR315" s="155"/>
      <c r="AS315" s="155"/>
      <c r="AT315" s="155"/>
      <c r="AU315" s="155"/>
      <c r="AV315" s="155"/>
      <c r="AW315" s="155"/>
      <c r="AX315" s="155"/>
      <c r="AY315" s="155"/>
      <c r="AZ315" s="49"/>
      <c r="BA315" s="49"/>
      <c r="BB315" s="49"/>
      <c r="BC315" s="49"/>
      <c r="BD315" s="49"/>
      <c r="BE315" s="49"/>
      <c r="BF315" s="49"/>
      <c r="BG315" s="49"/>
      <c r="BH315" s="49"/>
      <c r="BI315" s="155"/>
      <c r="BJ315" s="155"/>
      <c r="BK315" s="155"/>
      <c r="BL315" s="49"/>
      <c r="BM315" s="49"/>
      <c r="BN315" s="49"/>
      <c r="BO315" s="49"/>
      <c r="BP315" s="49"/>
      <c r="BQ315" s="49"/>
      <c r="BR315" s="49"/>
      <c r="BS315" s="49"/>
      <c r="BT315" s="271" t="s">
        <v>1020</v>
      </c>
      <c r="BU315" s="280" t="s">
        <v>612</v>
      </c>
      <c r="BV315" s="155">
        <v>0</v>
      </c>
      <c r="BW315" s="49"/>
      <c r="BX315" s="49"/>
      <c r="BY315" s="49"/>
      <c r="BZ315" s="49"/>
      <c r="CA315" s="49"/>
      <c r="CB315" s="49"/>
      <c r="CC315" s="49"/>
      <c r="CD315" s="49"/>
      <c r="CE315" s="49"/>
      <c r="CF315" s="49"/>
      <c r="CG315" s="49"/>
      <c r="CH315" s="49"/>
      <c r="CI315" s="49"/>
      <c r="CJ315" s="49"/>
      <c r="CK315" s="49"/>
      <c r="CL315" s="49"/>
      <c r="CM315" s="49"/>
      <c r="CN315" s="49"/>
      <c r="CO315" s="49"/>
      <c r="CP315" s="49"/>
      <c r="CQ315" s="49"/>
      <c r="CR315" s="49"/>
      <c r="CS315" s="49"/>
      <c r="CT315" s="155"/>
      <c r="CU315" s="155"/>
      <c r="CV315" s="155"/>
      <c r="CW315" s="155"/>
      <c r="CX315" s="155"/>
      <c r="CY315" s="155"/>
      <c r="CZ315" s="155"/>
      <c r="DA315" s="155"/>
      <c r="DB315" s="155"/>
      <c r="DC315" s="155"/>
      <c r="DD315" s="155"/>
      <c r="DE315" s="155"/>
      <c r="DF315" s="155"/>
      <c r="DG315" s="155"/>
      <c r="DH315" s="155"/>
      <c r="DI315" s="155"/>
      <c r="DJ315" s="155"/>
      <c r="DK315" s="155"/>
      <c r="DL315" s="155"/>
      <c r="DM315" s="155"/>
      <c r="DN315" s="155"/>
      <c r="DO315" s="155"/>
      <c r="DP315" s="155"/>
      <c r="DQ315" s="155"/>
      <c r="DR315" s="155"/>
      <c r="DS315" s="155"/>
      <c r="DT315" s="155"/>
      <c r="DU315" s="155"/>
      <c r="DV315" s="155"/>
      <c r="DW315" s="155"/>
      <c r="DX315" s="155"/>
    </row>
    <row r="316" spans="1:128" ht="18" customHeight="1">
      <c r="A316" s="155"/>
      <c r="B316" s="155"/>
      <c r="C316" s="155"/>
      <c r="D316" s="155"/>
      <c r="E316" s="49">
        <v>2074</v>
      </c>
      <c r="F316" s="49" t="s">
        <v>1031</v>
      </c>
      <c r="G316" s="158"/>
      <c r="H316" s="155"/>
      <c r="I316" s="270"/>
      <c r="J316" s="270"/>
      <c r="K316" s="270"/>
      <c r="L316" s="270"/>
      <c r="M316" s="270"/>
      <c r="N316" s="270"/>
      <c r="O316" s="155"/>
      <c r="P316" s="155"/>
      <c r="Q316" s="155"/>
      <c r="R316" s="155"/>
      <c r="S316" s="155"/>
      <c r="T316" s="155"/>
      <c r="U316" s="158"/>
      <c r="V316" s="155"/>
      <c r="W316" s="155"/>
      <c r="X316" s="263"/>
      <c r="Y316" s="155"/>
      <c r="Z316" s="155"/>
      <c r="AA316" s="263"/>
      <c r="AB316" s="263"/>
      <c r="AC316" s="155"/>
      <c r="AD316" s="155"/>
      <c r="AE316" s="155"/>
      <c r="AF316" s="155"/>
      <c r="AG316" s="271"/>
      <c r="AH316" s="271" t="s">
        <v>1048</v>
      </c>
      <c r="AI316" s="270">
        <v>8</v>
      </c>
      <c r="AJ316" s="155"/>
      <c r="AK316" s="271" t="s">
        <v>1010</v>
      </c>
      <c r="AL316" s="271" t="s">
        <v>492</v>
      </c>
      <c r="AM316" s="155"/>
      <c r="AN316" s="155"/>
      <c r="AO316" s="155"/>
      <c r="AP316" s="49"/>
      <c r="AQ316" s="49"/>
      <c r="AR316" s="155"/>
      <c r="AS316" s="155"/>
      <c r="AT316" s="155"/>
      <c r="AU316" s="155"/>
      <c r="AV316" s="155"/>
      <c r="AW316" s="155"/>
      <c r="AX316" s="155"/>
      <c r="AY316" s="155"/>
      <c r="AZ316" s="49"/>
      <c r="BA316" s="49"/>
      <c r="BB316" s="49"/>
      <c r="BC316" s="49"/>
      <c r="BD316" s="49"/>
      <c r="BE316" s="49"/>
      <c r="BF316" s="49"/>
      <c r="BG316" s="49"/>
      <c r="BH316" s="49"/>
      <c r="BI316" s="155"/>
      <c r="BJ316" s="155"/>
      <c r="BK316" s="155"/>
      <c r="BL316" s="49"/>
      <c r="BM316" s="49"/>
      <c r="BN316" s="49"/>
      <c r="BO316" s="49"/>
      <c r="BP316" s="49"/>
      <c r="BQ316" s="49"/>
      <c r="BR316" s="49"/>
      <c r="BS316" s="49"/>
      <c r="BT316" s="271" t="s">
        <v>1022</v>
      </c>
      <c r="BU316" s="280" t="s">
        <v>628</v>
      </c>
      <c r="BV316" s="155">
        <v>0</v>
      </c>
      <c r="BW316" s="49"/>
      <c r="BX316" s="49"/>
      <c r="BY316" s="49"/>
      <c r="BZ316" s="49"/>
      <c r="CA316" s="49"/>
      <c r="CB316" s="49"/>
      <c r="CC316" s="49"/>
      <c r="CD316" s="49"/>
      <c r="CE316" s="49"/>
      <c r="CF316" s="49"/>
      <c r="CG316" s="49"/>
      <c r="CH316" s="49"/>
      <c r="CI316" s="49"/>
      <c r="CJ316" s="49"/>
      <c r="CK316" s="49"/>
      <c r="CL316" s="49"/>
      <c r="CM316" s="49"/>
      <c r="CN316" s="49"/>
      <c r="CO316" s="49"/>
      <c r="CP316" s="49"/>
      <c r="CQ316" s="49"/>
      <c r="CR316" s="49"/>
      <c r="CS316" s="49"/>
      <c r="CT316" s="155"/>
      <c r="CU316" s="155"/>
      <c r="CV316" s="155"/>
      <c r="CW316" s="155"/>
      <c r="CX316" s="155"/>
      <c r="CY316" s="155"/>
      <c r="CZ316" s="155"/>
      <c r="DA316" s="155"/>
      <c r="DB316" s="155"/>
      <c r="DC316" s="155"/>
      <c r="DD316" s="155"/>
      <c r="DE316" s="155"/>
      <c r="DF316" s="155"/>
      <c r="DG316" s="155"/>
      <c r="DH316" s="155"/>
      <c r="DI316" s="155"/>
      <c r="DJ316" s="155"/>
      <c r="DK316" s="155"/>
      <c r="DL316" s="155"/>
      <c r="DM316" s="155"/>
      <c r="DN316" s="155"/>
      <c r="DO316" s="155"/>
      <c r="DP316" s="155"/>
      <c r="DQ316" s="155"/>
      <c r="DR316" s="155"/>
      <c r="DS316" s="155"/>
      <c r="DT316" s="155"/>
      <c r="DU316" s="155"/>
      <c r="DV316" s="155"/>
      <c r="DW316" s="155"/>
      <c r="DX316" s="155"/>
    </row>
    <row r="317" spans="1:128" ht="18" customHeight="1">
      <c r="A317" s="155"/>
      <c r="B317" s="155"/>
      <c r="C317" s="155"/>
      <c r="D317" s="155"/>
      <c r="E317" s="49">
        <v>2075</v>
      </c>
      <c r="F317" s="49" t="s">
        <v>981</v>
      </c>
      <c r="G317" s="158"/>
      <c r="H317" s="155"/>
      <c r="I317" s="270"/>
      <c r="J317" s="270"/>
      <c r="K317" s="270"/>
      <c r="L317" s="270"/>
      <c r="M317" s="270"/>
      <c r="N317" s="270"/>
      <c r="O317" s="155"/>
      <c r="P317" s="155"/>
      <c r="Q317" s="155"/>
      <c r="R317" s="155"/>
      <c r="S317" s="155"/>
      <c r="T317" s="155"/>
      <c r="U317" s="158"/>
      <c r="V317" s="155"/>
      <c r="W317" s="155"/>
      <c r="X317" s="263"/>
      <c r="Y317" s="155"/>
      <c r="Z317" s="155"/>
      <c r="AA317" s="263"/>
      <c r="AB317" s="263"/>
      <c r="AC317" s="155"/>
      <c r="AD317" s="155"/>
      <c r="AE317" s="155"/>
      <c r="AF317" s="155"/>
      <c r="AG317" s="271"/>
      <c r="AH317" s="271" t="s">
        <v>1047</v>
      </c>
      <c r="AI317" s="270">
        <v>4</v>
      </c>
      <c r="AJ317" s="155"/>
      <c r="AK317" s="271" t="s">
        <v>1014</v>
      </c>
      <c r="AL317" s="271" t="s">
        <v>492</v>
      </c>
      <c r="AM317" s="155"/>
      <c r="AN317" s="155"/>
      <c r="AO317" s="155"/>
      <c r="AP317" s="49"/>
      <c r="AQ317" s="49"/>
      <c r="AR317" s="155"/>
      <c r="AS317" s="155"/>
      <c r="AT317" s="155"/>
      <c r="AU317" s="155"/>
      <c r="AV317" s="155"/>
      <c r="AW317" s="155"/>
      <c r="AX317" s="155"/>
      <c r="AY317" s="155"/>
      <c r="AZ317" s="49"/>
      <c r="BA317" s="49"/>
      <c r="BB317" s="49"/>
      <c r="BC317" s="49"/>
      <c r="BD317" s="49"/>
      <c r="BE317" s="49"/>
      <c r="BF317" s="49"/>
      <c r="BG317" s="49"/>
      <c r="BH317" s="49"/>
      <c r="BI317" s="155"/>
      <c r="BJ317" s="155"/>
      <c r="BK317" s="155"/>
      <c r="BL317" s="49"/>
      <c r="BM317" s="49"/>
      <c r="BN317" s="49"/>
      <c r="BO317" s="49"/>
      <c r="BP317" s="49"/>
      <c r="BQ317" s="49"/>
      <c r="BR317" s="49"/>
      <c r="BS317" s="49"/>
      <c r="BT317" s="271" t="s">
        <v>1024</v>
      </c>
      <c r="BU317" s="280" t="s">
        <v>628</v>
      </c>
      <c r="BV317" s="155">
        <v>0</v>
      </c>
      <c r="BW317" s="49"/>
      <c r="BX317" s="49"/>
      <c r="BY317" s="49"/>
      <c r="BZ317" s="49"/>
      <c r="CA317" s="49"/>
      <c r="CB317" s="49"/>
      <c r="CC317" s="49"/>
      <c r="CD317" s="49"/>
      <c r="CE317" s="49"/>
      <c r="CF317" s="49"/>
      <c r="CG317" s="49"/>
      <c r="CH317" s="49"/>
      <c r="CI317" s="49"/>
      <c r="CJ317" s="49"/>
      <c r="CK317" s="49"/>
      <c r="CL317" s="49"/>
      <c r="CM317" s="49"/>
      <c r="CN317" s="49"/>
      <c r="CO317" s="49"/>
      <c r="CP317" s="49"/>
      <c r="CQ317" s="49"/>
      <c r="CR317" s="49"/>
      <c r="CS317" s="49"/>
      <c r="CT317" s="155"/>
      <c r="CU317" s="155"/>
      <c r="CV317" s="155"/>
      <c r="CW317" s="155"/>
      <c r="CX317" s="155"/>
      <c r="CY317" s="155"/>
      <c r="CZ317" s="155"/>
      <c r="DA317" s="155"/>
      <c r="DB317" s="155"/>
      <c r="DC317" s="155"/>
      <c r="DD317" s="155"/>
      <c r="DE317" s="155"/>
      <c r="DF317" s="155"/>
      <c r="DG317" s="155"/>
      <c r="DH317" s="155"/>
      <c r="DI317" s="155"/>
      <c r="DJ317" s="155"/>
      <c r="DK317" s="155"/>
      <c r="DL317" s="155"/>
      <c r="DM317" s="155"/>
      <c r="DN317" s="155"/>
      <c r="DO317" s="155"/>
      <c r="DP317" s="155"/>
      <c r="DQ317" s="155"/>
      <c r="DR317" s="155"/>
      <c r="DS317" s="155"/>
      <c r="DT317" s="155"/>
      <c r="DU317" s="155"/>
      <c r="DV317" s="155"/>
      <c r="DW317" s="155"/>
      <c r="DX317" s="155"/>
    </row>
    <row r="318" spans="1:128" ht="18" customHeight="1">
      <c r="A318" s="155"/>
      <c r="B318" s="155"/>
      <c r="C318" s="155"/>
      <c r="D318" s="155"/>
      <c r="E318" s="49">
        <v>2076</v>
      </c>
      <c r="F318" s="49" t="s">
        <v>1058</v>
      </c>
      <c r="G318" s="158"/>
      <c r="H318" s="155"/>
      <c r="I318" s="270"/>
      <c r="J318" s="270"/>
      <c r="K318" s="270"/>
      <c r="L318" s="270"/>
      <c r="M318" s="270"/>
      <c r="N318" s="270"/>
      <c r="O318" s="155"/>
      <c r="P318" s="155"/>
      <c r="Q318" s="155"/>
      <c r="R318" s="155"/>
      <c r="S318" s="155"/>
      <c r="T318" s="155"/>
      <c r="U318" s="158"/>
      <c r="V318" s="155"/>
      <c r="W318" s="155"/>
      <c r="X318" s="263"/>
      <c r="Y318" s="155"/>
      <c r="Z318" s="155"/>
      <c r="AA318" s="263"/>
      <c r="AB318" s="263"/>
      <c r="AC318" s="155"/>
      <c r="AD318" s="155"/>
      <c r="AE318" s="155"/>
      <c r="AF318" s="155"/>
      <c r="AG318" s="271"/>
      <c r="AH318" s="271" t="s">
        <v>1045</v>
      </c>
      <c r="AI318" s="270">
        <v>2</v>
      </c>
      <c r="AJ318" s="155"/>
      <c r="AK318" s="271" t="s">
        <v>1015</v>
      </c>
      <c r="AL318" s="271" t="s">
        <v>492</v>
      </c>
      <c r="AM318" s="155"/>
      <c r="AN318" s="155"/>
      <c r="AO318" s="155"/>
      <c r="AP318" s="49"/>
      <c r="AQ318" s="49"/>
      <c r="AR318" s="155"/>
      <c r="AS318" s="155"/>
      <c r="AT318" s="155"/>
      <c r="AU318" s="155"/>
      <c r="AV318" s="155"/>
      <c r="AW318" s="155"/>
      <c r="AX318" s="155"/>
      <c r="AY318" s="155"/>
      <c r="AZ318" s="49"/>
      <c r="BA318" s="49"/>
      <c r="BB318" s="49"/>
      <c r="BC318" s="49"/>
      <c r="BD318" s="49"/>
      <c r="BE318" s="49"/>
      <c r="BF318" s="49"/>
      <c r="BG318" s="49"/>
      <c r="BH318" s="49"/>
      <c r="BI318" s="155"/>
      <c r="BJ318" s="155"/>
      <c r="BK318" s="155"/>
      <c r="BL318" s="49"/>
      <c r="BM318" s="49"/>
      <c r="BN318" s="49"/>
      <c r="BO318" s="49"/>
      <c r="BP318" s="49"/>
      <c r="BQ318" s="49"/>
      <c r="BR318" s="49"/>
      <c r="BS318" s="49"/>
      <c r="BT318" s="271" t="s">
        <v>1026</v>
      </c>
      <c r="BU318" s="280" t="s">
        <v>612</v>
      </c>
      <c r="BV318" s="155">
        <v>0</v>
      </c>
      <c r="BW318" s="49"/>
      <c r="BX318" s="49"/>
      <c r="BY318" s="49"/>
      <c r="BZ318" s="49"/>
      <c r="CA318" s="49"/>
      <c r="CB318" s="49"/>
      <c r="CC318" s="49"/>
      <c r="CD318" s="49"/>
      <c r="CE318" s="49"/>
      <c r="CF318" s="49"/>
      <c r="CG318" s="49"/>
      <c r="CH318" s="49"/>
      <c r="CI318" s="49"/>
      <c r="CJ318" s="49"/>
      <c r="CK318" s="49"/>
      <c r="CL318" s="49"/>
      <c r="CM318" s="49"/>
      <c r="CN318" s="49"/>
      <c r="CO318" s="49"/>
      <c r="CP318" s="49"/>
      <c r="CQ318" s="49"/>
      <c r="CR318" s="49"/>
      <c r="CS318" s="49"/>
      <c r="CT318" s="155"/>
      <c r="CU318" s="155"/>
      <c r="CV318" s="155"/>
      <c r="CW318" s="155"/>
      <c r="CX318" s="155"/>
      <c r="CY318" s="155"/>
      <c r="CZ318" s="155"/>
      <c r="DA318" s="155"/>
      <c r="DB318" s="155"/>
      <c r="DC318" s="155"/>
      <c r="DD318" s="155"/>
      <c r="DE318" s="155"/>
      <c r="DF318" s="155"/>
      <c r="DG318" s="155"/>
      <c r="DH318" s="155"/>
      <c r="DI318" s="155"/>
      <c r="DJ318" s="155"/>
      <c r="DK318" s="155"/>
      <c r="DL318" s="155"/>
      <c r="DM318" s="155"/>
      <c r="DN318" s="155"/>
      <c r="DO318" s="155"/>
      <c r="DP318" s="155"/>
      <c r="DQ318" s="155"/>
      <c r="DR318" s="155"/>
      <c r="DS318" s="155"/>
      <c r="DT318" s="155"/>
      <c r="DU318" s="155"/>
      <c r="DV318" s="155"/>
      <c r="DW318" s="155"/>
      <c r="DX318" s="155"/>
    </row>
    <row r="319" spans="1:128" ht="18" customHeight="1">
      <c r="A319" s="155"/>
      <c r="B319" s="155"/>
      <c r="C319" s="155"/>
      <c r="D319" s="155"/>
      <c r="E319" s="49">
        <v>2077</v>
      </c>
      <c r="F319" s="49" t="s">
        <v>1056</v>
      </c>
      <c r="G319" s="158"/>
      <c r="H319" s="155"/>
      <c r="I319" s="270"/>
      <c r="J319" s="270"/>
      <c r="K319" s="270"/>
      <c r="L319" s="270"/>
      <c r="M319" s="270"/>
      <c r="N319" s="270"/>
      <c r="O319" s="155"/>
      <c r="P319" s="155"/>
      <c r="Q319" s="155"/>
      <c r="R319" s="155"/>
      <c r="S319" s="155"/>
      <c r="T319" s="155"/>
      <c r="U319" s="158"/>
      <c r="V319" s="155"/>
      <c r="W319" s="155"/>
      <c r="X319" s="263"/>
      <c r="Y319" s="155"/>
      <c r="Z319" s="155"/>
      <c r="AA319" s="263"/>
      <c r="AB319" s="263"/>
      <c r="AC319" s="155"/>
      <c r="AD319" s="155"/>
      <c r="AE319" s="155"/>
      <c r="AF319" s="155"/>
      <c r="AG319" s="271"/>
      <c r="AH319" s="271" t="s">
        <v>960</v>
      </c>
      <c r="AI319" s="270">
        <v>5</v>
      </c>
      <c r="AJ319" s="155"/>
      <c r="AK319" s="271" t="s">
        <v>1018</v>
      </c>
      <c r="AL319" s="271" t="s">
        <v>492</v>
      </c>
      <c r="AM319" s="155"/>
      <c r="AN319" s="155"/>
      <c r="AO319" s="155"/>
      <c r="AP319" s="49"/>
      <c r="AQ319" s="49"/>
      <c r="AR319" s="155"/>
      <c r="AS319" s="155"/>
      <c r="AT319" s="155"/>
      <c r="AU319" s="155"/>
      <c r="AV319" s="155"/>
      <c r="AW319" s="155"/>
      <c r="AX319" s="155"/>
      <c r="AY319" s="155"/>
      <c r="AZ319" s="49"/>
      <c r="BA319" s="49"/>
      <c r="BB319" s="49"/>
      <c r="BC319" s="49"/>
      <c r="BD319" s="49"/>
      <c r="BE319" s="49"/>
      <c r="BF319" s="49"/>
      <c r="BG319" s="49"/>
      <c r="BH319" s="49"/>
      <c r="BI319" s="155"/>
      <c r="BJ319" s="155"/>
      <c r="BK319" s="155"/>
      <c r="BL319" s="49"/>
      <c r="BM319" s="49"/>
      <c r="BN319" s="49"/>
      <c r="BO319" s="49"/>
      <c r="BP319" s="49"/>
      <c r="BQ319" s="49"/>
      <c r="BR319" s="49"/>
      <c r="BS319" s="49"/>
      <c r="BT319" s="271" t="s">
        <v>1028</v>
      </c>
      <c r="BU319" s="280" t="s">
        <v>645</v>
      </c>
      <c r="BV319" s="155">
        <v>0</v>
      </c>
      <c r="BW319" s="49"/>
      <c r="BX319" s="49"/>
      <c r="BY319" s="49"/>
      <c r="BZ319" s="49"/>
      <c r="CA319" s="49"/>
      <c r="CB319" s="49"/>
      <c r="CC319" s="49"/>
      <c r="CD319" s="49"/>
      <c r="CE319" s="49"/>
      <c r="CF319" s="49"/>
      <c r="CG319" s="49"/>
      <c r="CH319" s="49"/>
      <c r="CI319" s="49"/>
      <c r="CJ319" s="49"/>
      <c r="CK319" s="49"/>
      <c r="CL319" s="49"/>
      <c r="CM319" s="49"/>
      <c r="CN319" s="49"/>
      <c r="CO319" s="49"/>
      <c r="CP319" s="49"/>
      <c r="CQ319" s="49"/>
      <c r="CR319" s="49"/>
      <c r="CS319" s="49"/>
      <c r="CT319" s="155"/>
      <c r="CU319" s="155"/>
      <c r="CV319" s="155"/>
      <c r="CW319" s="155"/>
      <c r="CX319" s="155"/>
      <c r="CY319" s="155"/>
      <c r="CZ319" s="155"/>
      <c r="DA319" s="155"/>
      <c r="DB319" s="155"/>
      <c r="DC319" s="155"/>
      <c r="DD319" s="155"/>
      <c r="DE319" s="155"/>
      <c r="DF319" s="155"/>
      <c r="DG319" s="155"/>
      <c r="DH319" s="155"/>
      <c r="DI319" s="155"/>
      <c r="DJ319" s="155"/>
      <c r="DK319" s="155"/>
      <c r="DL319" s="155"/>
      <c r="DM319" s="155"/>
      <c r="DN319" s="155"/>
      <c r="DO319" s="155"/>
      <c r="DP319" s="155"/>
      <c r="DQ319" s="155"/>
      <c r="DR319" s="155"/>
      <c r="DS319" s="155"/>
      <c r="DT319" s="155"/>
      <c r="DU319" s="155"/>
      <c r="DV319" s="155"/>
      <c r="DW319" s="155"/>
      <c r="DX319" s="155"/>
    </row>
    <row r="320" spans="1:128" ht="18" customHeight="1">
      <c r="A320" s="155"/>
      <c r="B320" s="155"/>
      <c r="C320" s="155"/>
      <c r="D320" s="155"/>
      <c r="E320" s="49">
        <v>2078</v>
      </c>
      <c r="F320" s="49" t="s">
        <v>1031</v>
      </c>
      <c r="G320" s="158"/>
      <c r="H320" s="155"/>
      <c r="I320" s="270"/>
      <c r="J320" s="270"/>
      <c r="K320" s="270"/>
      <c r="L320" s="270"/>
      <c r="M320" s="270"/>
      <c r="N320" s="270"/>
      <c r="O320" s="155"/>
      <c r="P320" s="155"/>
      <c r="Q320" s="155"/>
      <c r="R320" s="155"/>
      <c r="S320" s="155"/>
      <c r="T320" s="155"/>
      <c r="U320" s="158"/>
      <c r="V320" s="155"/>
      <c r="W320" s="155"/>
      <c r="X320" s="263"/>
      <c r="Y320" s="155"/>
      <c r="Z320" s="155"/>
      <c r="AA320" s="263"/>
      <c r="AB320" s="263"/>
      <c r="AC320" s="155"/>
      <c r="AD320" s="155"/>
      <c r="AE320" s="155"/>
      <c r="AF320" s="155"/>
      <c r="AG320" s="271"/>
      <c r="AH320" s="271" t="s">
        <v>1052</v>
      </c>
      <c r="AI320" s="270">
        <v>1</v>
      </c>
      <c r="AJ320" s="155"/>
      <c r="AK320" s="155" t="s">
        <v>1059</v>
      </c>
      <c r="AL320" s="287" t="s">
        <v>1060</v>
      </c>
      <c r="AM320" s="155"/>
      <c r="AN320" s="155"/>
      <c r="AO320" s="155"/>
      <c r="AP320" s="49"/>
      <c r="AQ320" s="49"/>
      <c r="AR320" s="155"/>
      <c r="AS320" s="155"/>
      <c r="AT320" s="155"/>
      <c r="AU320" s="155"/>
      <c r="AV320" s="155"/>
      <c r="AW320" s="155"/>
      <c r="AX320" s="155"/>
      <c r="AY320" s="155"/>
      <c r="AZ320" s="49"/>
      <c r="BA320" s="49"/>
      <c r="BB320" s="49"/>
      <c r="BC320" s="49"/>
      <c r="BD320" s="49"/>
      <c r="BE320" s="49"/>
      <c r="BF320" s="49"/>
      <c r="BG320" s="49"/>
      <c r="BH320" s="49"/>
      <c r="BI320" s="155"/>
      <c r="BJ320" s="155"/>
      <c r="BK320" s="155"/>
      <c r="BL320" s="49"/>
      <c r="BM320" s="49"/>
      <c r="BN320" s="49"/>
      <c r="BO320" s="49"/>
      <c r="BP320" s="49"/>
      <c r="BQ320" s="49"/>
      <c r="BR320" s="49"/>
      <c r="BS320" s="49"/>
      <c r="BT320" s="271" t="s">
        <v>1029</v>
      </c>
      <c r="BU320" s="280" t="s">
        <v>645</v>
      </c>
      <c r="BV320" s="155">
        <v>0</v>
      </c>
      <c r="BW320" s="49"/>
      <c r="BX320" s="49"/>
      <c r="BY320" s="49"/>
      <c r="BZ320" s="49"/>
      <c r="CA320" s="49"/>
      <c r="CB320" s="49"/>
      <c r="CC320" s="49"/>
      <c r="CD320" s="49"/>
      <c r="CE320" s="49"/>
      <c r="CF320" s="49"/>
      <c r="CG320" s="49"/>
      <c r="CH320" s="49"/>
      <c r="CI320" s="49"/>
      <c r="CJ320" s="49"/>
      <c r="CK320" s="49"/>
      <c r="CL320" s="49"/>
      <c r="CM320" s="49"/>
      <c r="CN320" s="49"/>
      <c r="CO320" s="49"/>
      <c r="CP320" s="49"/>
      <c r="CQ320" s="49"/>
      <c r="CR320" s="49"/>
      <c r="CS320" s="49"/>
      <c r="CT320" s="155"/>
      <c r="CU320" s="155"/>
      <c r="CV320" s="155"/>
      <c r="CW320" s="155"/>
      <c r="CX320" s="155"/>
      <c r="CY320" s="155"/>
      <c r="CZ320" s="155"/>
      <c r="DA320" s="155"/>
      <c r="DB320" s="155"/>
      <c r="DC320" s="155"/>
      <c r="DD320" s="155"/>
      <c r="DE320" s="155"/>
      <c r="DF320" s="155"/>
      <c r="DG320" s="155"/>
      <c r="DH320" s="155"/>
      <c r="DI320" s="155"/>
      <c r="DJ320" s="155"/>
      <c r="DK320" s="155"/>
      <c r="DL320" s="155"/>
      <c r="DM320" s="155"/>
      <c r="DN320" s="155"/>
      <c r="DO320" s="155"/>
      <c r="DP320" s="155"/>
      <c r="DQ320" s="155"/>
      <c r="DR320" s="155"/>
      <c r="DS320" s="155"/>
      <c r="DT320" s="155"/>
      <c r="DU320" s="155"/>
      <c r="DV320" s="155"/>
      <c r="DW320" s="155"/>
      <c r="DX320" s="155"/>
    </row>
    <row r="321" spans="1:128" ht="18" customHeight="1">
      <c r="A321" s="155"/>
      <c r="B321" s="155"/>
      <c r="C321" s="155"/>
      <c r="D321" s="155"/>
      <c r="E321" s="49">
        <v>2079</v>
      </c>
      <c r="F321" s="49" t="s">
        <v>1027</v>
      </c>
      <c r="G321" s="158"/>
      <c r="H321" s="155"/>
      <c r="I321" s="270"/>
      <c r="J321" s="270"/>
      <c r="K321" s="270"/>
      <c r="L321" s="270"/>
      <c r="M321" s="270"/>
      <c r="N321" s="270"/>
      <c r="O321" s="155"/>
      <c r="P321" s="155"/>
      <c r="Q321" s="155"/>
      <c r="R321" s="155"/>
      <c r="S321" s="155"/>
      <c r="T321" s="155"/>
      <c r="U321" s="158"/>
      <c r="V321" s="155"/>
      <c r="W321" s="155"/>
      <c r="X321" s="263"/>
      <c r="Y321" s="155"/>
      <c r="Z321" s="155"/>
      <c r="AA321" s="263"/>
      <c r="AB321" s="263"/>
      <c r="AC321" s="155"/>
      <c r="AD321" s="155"/>
      <c r="AE321" s="155"/>
      <c r="AF321" s="155"/>
      <c r="AG321" s="271"/>
      <c r="AH321" s="271" t="s">
        <v>1001</v>
      </c>
      <c r="AI321" s="270">
        <v>3</v>
      </c>
      <c r="AJ321" s="155"/>
      <c r="AK321" s="155" t="s">
        <v>1061</v>
      </c>
      <c r="AL321" s="287" t="s">
        <v>1060</v>
      </c>
      <c r="AM321" s="155"/>
      <c r="AN321" s="155"/>
      <c r="AO321" s="155"/>
      <c r="AP321" s="49"/>
      <c r="AQ321" s="49"/>
      <c r="AR321" s="155"/>
      <c r="AS321" s="155"/>
      <c r="AT321" s="155"/>
      <c r="AU321" s="155"/>
      <c r="AV321" s="155"/>
      <c r="AW321" s="155"/>
      <c r="AX321" s="155"/>
      <c r="AY321" s="155"/>
      <c r="AZ321" s="49"/>
      <c r="BA321" s="49"/>
      <c r="BB321" s="49"/>
      <c r="BC321" s="49"/>
      <c r="BD321" s="49"/>
      <c r="BE321" s="49"/>
      <c r="BF321" s="49"/>
      <c r="BG321" s="49"/>
      <c r="BH321" s="49"/>
      <c r="BI321" s="155"/>
      <c r="BJ321" s="155"/>
      <c r="BK321" s="155"/>
      <c r="BL321" s="49"/>
      <c r="BM321" s="49"/>
      <c r="BN321" s="49"/>
      <c r="BO321" s="49"/>
      <c r="BP321" s="49"/>
      <c r="BQ321" s="49"/>
      <c r="BR321" s="49"/>
      <c r="BS321" s="49"/>
      <c r="BT321" s="271" t="s">
        <v>1021</v>
      </c>
      <c r="BU321" s="280" t="s">
        <v>612</v>
      </c>
      <c r="BV321" s="155">
        <v>0</v>
      </c>
      <c r="BW321" s="49"/>
      <c r="BX321" s="49"/>
      <c r="BY321" s="49"/>
      <c r="BZ321" s="49"/>
      <c r="CA321" s="49"/>
      <c r="CB321" s="49"/>
      <c r="CC321" s="49"/>
      <c r="CD321" s="49"/>
      <c r="CE321" s="49"/>
      <c r="CF321" s="49"/>
      <c r="CG321" s="49"/>
      <c r="CH321" s="49"/>
      <c r="CI321" s="49"/>
      <c r="CJ321" s="49"/>
      <c r="CK321" s="49"/>
      <c r="CL321" s="49"/>
      <c r="CM321" s="49"/>
      <c r="CN321" s="49"/>
      <c r="CO321" s="49"/>
      <c r="CP321" s="49"/>
      <c r="CQ321" s="49"/>
      <c r="CR321" s="49"/>
      <c r="CS321" s="49"/>
      <c r="CT321" s="155"/>
      <c r="CU321" s="155"/>
      <c r="CV321" s="155"/>
      <c r="CW321" s="155"/>
      <c r="CX321" s="155"/>
      <c r="CY321" s="155"/>
      <c r="CZ321" s="155"/>
      <c r="DA321" s="155"/>
      <c r="DB321" s="155"/>
      <c r="DC321" s="155"/>
      <c r="DD321" s="155"/>
      <c r="DE321" s="155"/>
      <c r="DF321" s="155"/>
      <c r="DG321" s="155"/>
      <c r="DH321" s="155"/>
      <c r="DI321" s="155"/>
      <c r="DJ321" s="155"/>
      <c r="DK321" s="155"/>
      <c r="DL321" s="155"/>
      <c r="DM321" s="155"/>
      <c r="DN321" s="155"/>
      <c r="DO321" s="155"/>
      <c r="DP321" s="155"/>
      <c r="DQ321" s="155"/>
      <c r="DR321" s="155"/>
      <c r="DS321" s="155"/>
      <c r="DT321" s="155"/>
      <c r="DU321" s="155"/>
      <c r="DV321" s="155"/>
      <c r="DW321" s="155"/>
      <c r="DX321" s="155"/>
    </row>
    <row r="322" spans="1:128" ht="18" customHeight="1">
      <c r="A322" s="155"/>
      <c r="B322" s="155"/>
      <c r="C322" s="155"/>
      <c r="D322" s="155"/>
      <c r="E322" s="49">
        <v>2080</v>
      </c>
      <c r="F322" s="49" t="s">
        <v>1058</v>
      </c>
      <c r="G322" s="158"/>
      <c r="H322" s="155"/>
      <c r="I322" s="270"/>
      <c r="J322" s="270"/>
      <c r="K322" s="270"/>
      <c r="L322" s="270"/>
      <c r="M322" s="270"/>
      <c r="N322" s="270"/>
      <c r="O322" s="155"/>
      <c r="P322" s="155"/>
      <c r="Q322" s="155"/>
      <c r="R322" s="155"/>
      <c r="S322" s="155"/>
      <c r="T322" s="155"/>
      <c r="U322" s="158"/>
      <c r="V322" s="155"/>
      <c r="W322" s="155"/>
      <c r="X322" s="263"/>
      <c r="Y322" s="155"/>
      <c r="Z322" s="155"/>
      <c r="AA322" s="263"/>
      <c r="AB322" s="263"/>
      <c r="AC322" s="155"/>
      <c r="AD322" s="155"/>
      <c r="AE322" s="155"/>
      <c r="AF322" s="155"/>
      <c r="AG322" s="271"/>
      <c r="AH322" s="271" t="s">
        <v>1051</v>
      </c>
      <c r="AI322" s="270">
        <v>6</v>
      </c>
      <c r="AJ322" s="155"/>
      <c r="AK322" s="155" t="s">
        <v>1062</v>
      </c>
      <c r="AL322" s="287" t="s">
        <v>1060</v>
      </c>
      <c r="AM322" s="155"/>
      <c r="AN322" s="155"/>
      <c r="AO322" s="155"/>
      <c r="AP322" s="49"/>
      <c r="AQ322" s="49"/>
      <c r="AR322" s="155"/>
      <c r="AS322" s="155"/>
      <c r="AT322" s="155"/>
      <c r="AU322" s="155"/>
      <c r="AV322" s="155"/>
      <c r="AW322" s="155"/>
      <c r="AX322" s="155"/>
      <c r="AY322" s="155"/>
      <c r="AZ322" s="49"/>
      <c r="BA322" s="49"/>
      <c r="BB322" s="49"/>
      <c r="BC322" s="49"/>
      <c r="BD322" s="49"/>
      <c r="BE322" s="49"/>
      <c r="BF322" s="49"/>
      <c r="BG322" s="49"/>
      <c r="BH322" s="49"/>
      <c r="BI322" s="155"/>
      <c r="BJ322" s="155"/>
      <c r="BK322" s="155"/>
      <c r="BL322" s="49"/>
      <c r="BM322" s="49"/>
      <c r="BN322" s="49"/>
      <c r="BO322" s="49"/>
      <c r="BP322" s="49"/>
      <c r="BQ322" s="49"/>
      <c r="BR322" s="49"/>
      <c r="BS322" s="49"/>
      <c r="BT322" s="271" t="s">
        <v>1030</v>
      </c>
      <c r="BU322" s="280" t="s">
        <v>622</v>
      </c>
      <c r="BV322" s="155">
        <v>1</v>
      </c>
      <c r="BW322" s="49"/>
      <c r="BX322" s="49"/>
      <c r="BY322" s="49"/>
      <c r="BZ322" s="49"/>
      <c r="CA322" s="49"/>
      <c r="CB322" s="49"/>
      <c r="CC322" s="49"/>
      <c r="CD322" s="49"/>
      <c r="CE322" s="49"/>
      <c r="CF322" s="49"/>
      <c r="CG322" s="49"/>
      <c r="CH322" s="49"/>
      <c r="CI322" s="49"/>
      <c r="CJ322" s="49"/>
      <c r="CK322" s="49"/>
      <c r="CL322" s="49"/>
      <c r="CM322" s="49"/>
      <c r="CN322" s="49"/>
      <c r="CO322" s="49"/>
      <c r="CP322" s="49"/>
      <c r="CQ322" s="49"/>
      <c r="CR322" s="49"/>
      <c r="CS322" s="49"/>
      <c r="CT322" s="155"/>
      <c r="CU322" s="155"/>
      <c r="CV322" s="155"/>
      <c r="CW322" s="155"/>
      <c r="CX322" s="155"/>
      <c r="CY322" s="155"/>
      <c r="CZ322" s="155"/>
      <c r="DA322" s="155"/>
      <c r="DB322" s="155"/>
      <c r="DC322" s="155"/>
      <c r="DD322" s="155"/>
      <c r="DE322" s="155"/>
      <c r="DF322" s="155"/>
      <c r="DG322" s="155"/>
      <c r="DH322" s="155"/>
      <c r="DI322" s="155"/>
      <c r="DJ322" s="155"/>
      <c r="DK322" s="155"/>
      <c r="DL322" s="155"/>
      <c r="DM322" s="155"/>
      <c r="DN322" s="155"/>
      <c r="DO322" s="155"/>
      <c r="DP322" s="155"/>
      <c r="DQ322" s="155"/>
      <c r="DR322" s="155"/>
      <c r="DS322" s="155"/>
      <c r="DT322" s="155"/>
      <c r="DU322" s="155"/>
      <c r="DV322" s="155"/>
      <c r="DW322" s="155"/>
      <c r="DX322" s="155"/>
    </row>
    <row r="323" spans="1:128" ht="18" customHeight="1">
      <c r="A323" s="155"/>
      <c r="B323" s="155"/>
      <c r="C323" s="155"/>
      <c r="D323" s="155"/>
      <c r="E323" s="49">
        <v>2081</v>
      </c>
      <c r="F323" s="49" t="s">
        <v>1063</v>
      </c>
      <c r="G323" s="158"/>
      <c r="H323" s="155"/>
      <c r="I323" s="270"/>
      <c r="J323" s="270"/>
      <c r="K323" s="270"/>
      <c r="L323" s="270"/>
      <c r="M323" s="270"/>
      <c r="N323" s="270"/>
      <c r="O323" s="155"/>
      <c r="P323" s="155"/>
      <c r="Q323" s="155"/>
      <c r="R323" s="155"/>
      <c r="S323" s="155"/>
      <c r="T323" s="155"/>
      <c r="U323" s="158"/>
      <c r="V323" s="155"/>
      <c r="W323" s="155"/>
      <c r="X323" s="263"/>
      <c r="Y323" s="155"/>
      <c r="Z323" s="155"/>
      <c r="AA323" s="263"/>
      <c r="AB323" s="263"/>
      <c r="AC323" s="155"/>
      <c r="AD323" s="155"/>
      <c r="AE323" s="155"/>
      <c r="AF323" s="155"/>
      <c r="AG323" s="271"/>
      <c r="AH323" s="155"/>
      <c r="AI323" s="155"/>
      <c r="AJ323" s="155"/>
      <c r="AK323" s="155" t="s">
        <v>1064</v>
      </c>
      <c r="AL323" s="287" t="s">
        <v>1060</v>
      </c>
      <c r="AM323" s="155"/>
      <c r="AN323" s="155"/>
      <c r="AO323" s="155"/>
      <c r="AP323" s="49"/>
      <c r="AQ323" s="49"/>
      <c r="AR323" s="155"/>
      <c r="AS323" s="155"/>
      <c r="AT323" s="155"/>
      <c r="AU323" s="155"/>
      <c r="AV323" s="155"/>
      <c r="AW323" s="155"/>
      <c r="AX323" s="155"/>
      <c r="AY323" s="155"/>
      <c r="AZ323" s="49"/>
      <c r="BA323" s="49"/>
      <c r="BB323" s="49"/>
      <c r="BC323" s="49"/>
      <c r="BD323" s="49"/>
      <c r="BE323" s="49"/>
      <c r="BF323" s="49"/>
      <c r="BG323" s="49"/>
      <c r="BH323" s="49"/>
      <c r="BI323" s="155"/>
      <c r="BJ323" s="155"/>
      <c r="BK323" s="155"/>
      <c r="BL323" s="49"/>
      <c r="BM323" s="49"/>
      <c r="BN323" s="49"/>
      <c r="BO323" s="49"/>
      <c r="BP323" s="49"/>
      <c r="BQ323" s="49"/>
      <c r="BR323" s="49"/>
      <c r="BS323" s="49"/>
      <c r="BT323" s="271" t="s">
        <v>992</v>
      </c>
      <c r="BU323" s="280" t="s">
        <v>622</v>
      </c>
      <c r="BV323" s="155">
        <v>0</v>
      </c>
      <c r="BW323" s="49"/>
      <c r="BX323" s="49"/>
      <c r="BY323" s="49"/>
      <c r="BZ323" s="49"/>
      <c r="CA323" s="49"/>
      <c r="CB323" s="49"/>
      <c r="CC323" s="49"/>
      <c r="CD323" s="49"/>
      <c r="CE323" s="49"/>
      <c r="CF323" s="49"/>
      <c r="CG323" s="49"/>
      <c r="CH323" s="49"/>
      <c r="CI323" s="49"/>
      <c r="CJ323" s="49"/>
      <c r="CK323" s="49"/>
      <c r="CL323" s="49"/>
      <c r="CM323" s="49"/>
      <c r="CN323" s="49"/>
      <c r="CO323" s="49"/>
      <c r="CP323" s="49"/>
      <c r="CQ323" s="49"/>
      <c r="CR323" s="49"/>
      <c r="CS323" s="49"/>
      <c r="CT323" s="155"/>
      <c r="CU323" s="155"/>
      <c r="CV323" s="155"/>
      <c r="CW323" s="155"/>
      <c r="CX323" s="155"/>
      <c r="CY323" s="155"/>
      <c r="CZ323" s="155"/>
      <c r="DA323" s="155"/>
      <c r="DB323" s="155"/>
      <c r="DC323" s="155"/>
      <c r="DD323" s="155"/>
      <c r="DE323" s="155"/>
      <c r="DF323" s="155"/>
      <c r="DG323" s="155"/>
      <c r="DH323" s="155"/>
      <c r="DI323" s="155"/>
      <c r="DJ323" s="155"/>
      <c r="DK323" s="155"/>
      <c r="DL323" s="155"/>
      <c r="DM323" s="155"/>
      <c r="DN323" s="155"/>
      <c r="DO323" s="155"/>
      <c r="DP323" s="155"/>
      <c r="DQ323" s="155"/>
      <c r="DR323" s="155"/>
      <c r="DS323" s="155"/>
      <c r="DT323" s="155"/>
      <c r="DU323" s="155"/>
      <c r="DV323" s="155"/>
      <c r="DW323" s="155"/>
      <c r="DX323" s="155"/>
    </row>
    <row r="324" spans="1:128" ht="18" customHeight="1">
      <c r="A324" s="155"/>
      <c r="B324" s="155"/>
      <c r="C324" s="155"/>
      <c r="D324" s="155"/>
      <c r="E324" s="49">
        <v>2082</v>
      </c>
      <c r="F324" s="49" t="s">
        <v>1054</v>
      </c>
      <c r="G324" s="158"/>
      <c r="H324" s="155"/>
      <c r="I324" s="270"/>
      <c r="J324" s="270"/>
      <c r="K324" s="270"/>
      <c r="L324" s="270"/>
      <c r="M324" s="270"/>
      <c r="N324" s="270"/>
      <c r="O324" s="155"/>
      <c r="P324" s="155"/>
      <c r="Q324" s="155"/>
      <c r="R324" s="155"/>
      <c r="S324" s="155"/>
      <c r="T324" s="155"/>
      <c r="U324" s="158"/>
      <c r="V324" s="155"/>
      <c r="W324" s="155"/>
      <c r="X324" s="263"/>
      <c r="Y324" s="155"/>
      <c r="Z324" s="155"/>
      <c r="AA324" s="263"/>
      <c r="AB324" s="263"/>
      <c r="AC324" s="155"/>
      <c r="AD324" s="155"/>
      <c r="AE324" s="155"/>
      <c r="AF324" s="155"/>
      <c r="AG324" s="271"/>
      <c r="AH324" s="155"/>
      <c r="AI324" s="155"/>
      <c r="AJ324" s="155"/>
      <c r="AK324" s="155" t="s">
        <v>1065</v>
      </c>
      <c r="AL324" s="287" t="s">
        <v>1060</v>
      </c>
      <c r="AM324" s="155"/>
      <c r="AN324" s="155"/>
      <c r="AO324" s="155"/>
      <c r="AP324" s="49"/>
      <c r="AQ324" s="49"/>
      <c r="AR324" s="155"/>
      <c r="AS324" s="155"/>
      <c r="AT324" s="155"/>
      <c r="AU324" s="155"/>
      <c r="AV324" s="155"/>
      <c r="AW324" s="155"/>
      <c r="AX324" s="155"/>
      <c r="AY324" s="155"/>
      <c r="AZ324" s="49"/>
      <c r="BA324" s="49"/>
      <c r="BB324" s="49"/>
      <c r="BC324" s="49"/>
      <c r="BD324" s="49"/>
      <c r="BE324" s="49"/>
      <c r="BF324" s="49"/>
      <c r="BG324" s="49"/>
      <c r="BH324" s="49"/>
      <c r="BI324" s="155"/>
      <c r="BJ324" s="155"/>
      <c r="BK324" s="155"/>
      <c r="BL324" s="49"/>
      <c r="BM324" s="49"/>
      <c r="BN324" s="49"/>
      <c r="BO324" s="49"/>
      <c r="BP324" s="49"/>
      <c r="BQ324" s="49"/>
      <c r="BR324" s="49"/>
      <c r="BS324" s="49"/>
      <c r="BT324" s="271" t="s">
        <v>1032</v>
      </c>
      <c r="BU324" s="280" t="s">
        <v>612</v>
      </c>
      <c r="BV324" s="155">
        <v>0</v>
      </c>
      <c r="BW324" s="49"/>
      <c r="BX324" s="49"/>
      <c r="BY324" s="49"/>
      <c r="BZ324" s="49"/>
      <c r="CA324" s="49"/>
      <c r="CB324" s="49"/>
      <c r="CC324" s="49"/>
      <c r="CD324" s="49"/>
      <c r="CE324" s="49"/>
      <c r="CF324" s="49"/>
      <c r="CG324" s="49"/>
      <c r="CH324" s="49"/>
      <c r="CI324" s="49"/>
      <c r="CJ324" s="49"/>
      <c r="CK324" s="49"/>
      <c r="CL324" s="49"/>
      <c r="CM324" s="49"/>
      <c r="CN324" s="49"/>
      <c r="CO324" s="49"/>
      <c r="CP324" s="49"/>
      <c r="CQ324" s="49"/>
      <c r="CR324" s="49"/>
      <c r="CS324" s="49"/>
      <c r="CT324" s="155"/>
      <c r="CU324" s="155"/>
      <c r="CV324" s="155"/>
      <c r="CW324" s="155"/>
      <c r="CX324" s="155"/>
      <c r="CY324" s="155"/>
      <c r="CZ324" s="155"/>
      <c r="DA324" s="155"/>
      <c r="DB324" s="155"/>
      <c r="DC324" s="155"/>
      <c r="DD324" s="155"/>
      <c r="DE324" s="155"/>
      <c r="DF324" s="155"/>
      <c r="DG324" s="155"/>
      <c r="DH324" s="155"/>
      <c r="DI324" s="155"/>
      <c r="DJ324" s="155"/>
      <c r="DK324" s="155"/>
      <c r="DL324" s="155"/>
      <c r="DM324" s="155"/>
      <c r="DN324" s="155"/>
      <c r="DO324" s="155"/>
      <c r="DP324" s="155"/>
      <c r="DQ324" s="155"/>
      <c r="DR324" s="155"/>
      <c r="DS324" s="155"/>
      <c r="DT324" s="155"/>
      <c r="DU324" s="155"/>
      <c r="DV324" s="155"/>
      <c r="DW324" s="155"/>
      <c r="DX324" s="155"/>
    </row>
    <row r="325" spans="1:128" ht="18" customHeight="1">
      <c r="A325" s="155"/>
      <c r="B325" s="155"/>
      <c r="C325" s="155"/>
      <c r="D325" s="155"/>
      <c r="E325" s="49">
        <v>2083</v>
      </c>
      <c r="F325" s="49" t="s">
        <v>1027</v>
      </c>
      <c r="G325" s="158"/>
      <c r="H325" s="155"/>
      <c r="I325" s="270"/>
      <c r="J325" s="270"/>
      <c r="K325" s="270"/>
      <c r="L325" s="270"/>
      <c r="M325" s="270"/>
      <c r="N325" s="270"/>
      <c r="O325" s="155"/>
      <c r="P325" s="155"/>
      <c r="Q325" s="155"/>
      <c r="R325" s="155"/>
      <c r="S325" s="155"/>
      <c r="T325" s="155"/>
      <c r="U325" s="158"/>
      <c r="V325" s="155"/>
      <c r="W325" s="155"/>
      <c r="X325" s="263"/>
      <c r="Y325" s="155"/>
      <c r="Z325" s="155"/>
      <c r="AA325" s="263"/>
      <c r="AB325" s="263"/>
      <c r="AC325" s="155"/>
      <c r="AD325" s="155"/>
      <c r="AE325" s="155"/>
      <c r="AF325" s="155"/>
      <c r="AG325" s="271"/>
      <c r="AH325" s="155"/>
      <c r="AI325" s="155"/>
      <c r="AJ325" s="155"/>
      <c r="AK325" s="155" t="s">
        <v>1066</v>
      </c>
      <c r="AL325" s="287" t="s">
        <v>1060</v>
      </c>
      <c r="AM325" s="155"/>
      <c r="AN325" s="155"/>
      <c r="AO325" s="155"/>
      <c r="AP325" s="49"/>
      <c r="AQ325" s="49"/>
      <c r="AR325" s="155"/>
      <c r="AS325" s="155"/>
      <c r="AT325" s="155"/>
      <c r="AU325" s="155"/>
      <c r="AV325" s="155"/>
      <c r="AW325" s="155"/>
      <c r="AX325" s="155"/>
      <c r="AY325" s="155"/>
      <c r="AZ325" s="49"/>
      <c r="BA325" s="49"/>
      <c r="BB325" s="49"/>
      <c r="BC325" s="49"/>
      <c r="BD325" s="49"/>
      <c r="BE325" s="49"/>
      <c r="BF325" s="49"/>
      <c r="BG325" s="49"/>
      <c r="BH325" s="49"/>
      <c r="BI325" s="155"/>
      <c r="BJ325" s="155"/>
      <c r="BK325" s="155"/>
      <c r="BL325" s="49"/>
      <c r="BM325" s="49"/>
      <c r="BN325" s="49"/>
      <c r="BO325" s="49"/>
      <c r="BP325" s="49"/>
      <c r="BQ325" s="49"/>
      <c r="BR325" s="49"/>
      <c r="BS325" s="49"/>
      <c r="BT325" s="271" t="s">
        <v>1033</v>
      </c>
      <c r="BU325" s="280" t="s">
        <v>612</v>
      </c>
      <c r="BV325" s="155">
        <v>0</v>
      </c>
      <c r="BW325" s="49"/>
      <c r="BX325" s="49"/>
      <c r="BY325" s="49"/>
      <c r="BZ325" s="49"/>
      <c r="CA325" s="49"/>
      <c r="CB325" s="49"/>
      <c r="CC325" s="49"/>
      <c r="CD325" s="49"/>
      <c r="CE325" s="49"/>
      <c r="CF325" s="49"/>
      <c r="CG325" s="49"/>
      <c r="CH325" s="49"/>
      <c r="CI325" s="49"/>
      <c r="CJ325" s="49"/>
      <c r="CK325" s="49"/>
      <c r="CL325" s="49"/>
      <c r="CM325" s="49"/>
      <c r="CN325" s="49"/>
      <c r="CO325" s="49"/>
      <c r="CP325" s="49"/>
      <c r="CQ325" s="49"/>
      <c r="CR325" s="49"/>
      <c r="CS325" s="49"/>
      <c r="CT325" s="155"/>
      <c r="CU325" s="155"/>
      <c r="CV325" s="155"/>
      <c r="CW325" s="155"/>
      <c r="CX325" s="155"/>
      <c r="CY325" s="155"/>
      <c r="CZ325" s="155"/>
      <c r="DA325" s="155"/>
      <c r="DB325" s="155"/>
      <c r="DC325" s="155"/>
      <c r="DD325" s="155"/>
      <c r="DE325" s="155"/>
      <c r="DF325" s="155"/>
      <c r="DG325" s="155"/>
      <c r="DH325" s="155"/>
      <c r="DI325" s="155"/>
      <c r="DJ325" s="155"/>
      <c r="DK325" s="155"/>
      <c r="DL325" s="155"/>
      <c r="DM325" s="155"/>
      <c r="DN325" s="155"/>
      <c r="DO325" s="155"/>
      <c r="DP325" s="155"/>
      <c r="DQ325" s="155"/>
      <c r="DR325" s="155"/>
      <c r="DS325" s="155"/>
      <c r="DT325" s="155"/>
      <c r="DU325" s="155"/>
      <c r="DV325" s="155"/>
      <c r="DW325" s="155"/>
      <c r="DX325" s="155"/>
    </row>
    <row r="326" spans="1:128" ht="18" customHeight="1">
      <c r="A326" s="155"/>
      <c r="B326" s="155"/>
      <c r="C326" s="155"/>
      <c r="D326" s="155"/>
      <c r="E326" s="49">
        <v>2084</v>
      </c>
      <c r="F326" s="49" t="s">
        <v>1058</v>
      </c>
      <c r="G326" s="158"/>
      <c r="H326" s="155"/>
      <c r="I326" s="270"/>
      <c r="J326" s="270"/>
      <c r="K326" s="270"/>
      <c r="L326" s="270"/>
      <c r="M326" s="270"/>
      <c r="N326" s="270"/>
      <c r="O326" s="155"/>
      <c r="P326" s="155"/>
      <c r="Q326" s="155"/>
      <c r="R326" s="155"/>
      <c r="S326" s="155"/>
      <c r="T326" s="155"/>
      <c r="U326" s="158"/>
      <c r="V326" s="155"/>
      <c r="W326" s="155"/>
      <c r="X326" s="263"/>
      <c r="Y326" s="155"/>
      <c r="Z326" s="155"/>
      <c r="AA326" s="263"/>
      <c r="AB326" s="263"/>
      <c r="AC326" s="155"/>
      <c r="AD326" s="155"/>
      <c r="AE326" s="155"/>
      <c r="AF326" s="155"/>
      <c r="AG326" s="271"/>
      <c r="AH326" s="155"/>
      <c r="AI326" s="155"/>
      <c r="AJ326" s="155"/>
      <c r="AK326" s="155" t="s">
        <v>1067</v>
      </c>
      <c r="AL326" s="287" t="s">
        <v>1060</v>
      </c>
      <c r="AM326" s="155"/>
      <c r="AN326" s="155"/>
      <c r="AO326" s="155"/>
      <c r="AP326" s="49"/>
      <c r="AQ326" s="49"/>
      <c r="AR326" s="155"/>
      <c r="AS326" s="155"/>
      <c r="AT326" s="155"/>
      <c r="AU326" s="155"/>
      <c r="AV326" s="155"/>
      <c r="AW326" s="155"/>
      <c r="AX326" s="155"/>
      <c r="AY326" s="155"/>
      <c r="AZ326" s="49"/>
      <c r="BA326" s="49"/>
      <c r="BB326" s="49"/>
      <c r="BC326" s="49"/>
      <c r="BD326" s="49"/>
      <c r="BE326" s="49"/>
      <c r="BF326" s="49"/>
      <c r="BG326" s="49"/>
      <c r="BH326" s="49"/>
      <c r="BI326" s="155"/>
      <c r="BJ326" s="155"/>
      <c r="BK326" s="155"/>
      <c r="BL326" s="49"/>
      <c r="BM326" s="49"/>
      <c r="BN326" s="49"/>
      <c r="BO326" s="49"/>
      <c r="BP326" s="49"/>
      <c r="BQ326" s="49"/>
      <c r="BR326" s="49"/>
      <c r="BS326" s="49"/>
      <c r="BT326" s="271" t="s">
        <v>1035</v>
      </c>
      <c r="BU326" s="280" t="s">
        <v>612</v>
      </c>
      <c r="BV326" s="155">
        <v>0</v>
      </c>
      <c r="BW326" s="49"/>
      <c r="BX326" s="49"/>
      <c r="BY326" s="49"/>
      <c r="BZ326" s="49"/>
      <c r="CA326" s="49"/>
      <c r="CB326" s="49"/>
      <c r="CC326" s="49"/>
      <c r="CD326" s="49"/>
      <c r="CE326" s="49"/>
      <c r="CF326" s="49"/>
      <c r="CG326" s="49"/>
      <c r="CH326" s="49"/>
      <c r="CI326" s="49"/>
      <c r="CJ326" s="49"/>
      <c r="CK326" s="49"/>
      <c r="CL326" s="49"/>
      <c r="CM326" s="49"/>
      <c r="CN326" s="49"/>
      <c r="CO326" s="49"/>
      <c r="CP326" s="49"/>
      <c r="CQ326" s="49"/>
      <c r="CR326" s="49"/>
      <c r="CS326" s="49"/>
      <c r="CT326" s="155"/>
      <c r="CU326" s="155"/>
      <c r="CV326" s="155"/>
      <c r="CW326" s="155"/>
      <c r="CX326" s="155"/>
      <c r="CY326" s="155"/>
      <c r="CZ326" s="155"/>
      <c r="DA326" s="155"/>
      <c r="DB326" s="155"/>
      <c r="DC326" s="155"/>
      <c r="DD326" s="155"/>
      <c r="DE326" s="155"/>
      <c r="DF326" s="155"/>
      <c r="DG326" s="155"/>
      <c r="DH326" s="155"/>
      <c r="DI326" s="155"/>
      <c r="DJ326" s="155"/>
      <c r="DK326" s="155"/>
      <c r="DL326" s="155"/>
      <c r="DM326" s="155"/>
      <c r="DN326" s="155"/>
      <c r="DO326" s="155"/>
      <c r="DP326" s="155"/>
      <c r="DQ326" s="155"/>
      <c r="DR326" s="155"/>
      <c r="DS326" s="155"/>
      <c r="DT326" s="155"/>
      <c r="DU326" s="155"/>
      <c r="DV326" s="155"/>
      <c r="DW326" s="155"/>
      <c r="DX326" s="155"/>
    </row>
    <row r="327" spans="1:128" ht="18" customHeight="1">
      <c r="A327" s="155"/>
      <c r="B327" s="155"/>
      <c r="C327" s="155"/>
      <c r="D327" s="155"/>
      <c r="E327" s="49">
        <v>2085</v>
      </c>
      <c r="F327" s="49" t="s">
        <v>1063</v>
      </c>
      <c r="G327" s="158"/>
      <c r="H327" s="155"/>
      <c r="I327" s="270"/>
      <c r="J327" s="270"/>
      <c r="K327" s="270"/>
      <c r="L327" s="270"/>
      <c r="M327" s="270"/>
      <c r="N327" s="270"/>
      <c r="O327" s="155"/>
      <c r="P327" s="155"/>
      <c r="Q327" s="155"/>
      <c r="R327" s="155"/>
      <c r="S327" s="155"/>
      <c r="T327" s="155"/>
      <c r="U327" s="158"/>
      <c r="V327" s="155"/>
      <c r="W327" s="155"/>
      <c r="X327" s="263"/>
      <c r="Y327" s="155"/>
      <c r="Z327" s="155"/>
      <c r="AA327" s="263"/>
      <c r="AB327" s="263"/>
      <c r="AC327" s="155"/>
      <c r="AD327" s="155"/>
      <c r="AE327" s="155"/>
      <c r="AF327" s="155"/>
      <c r="AG327" s="271"/>
      <c r="AH327" s="155"/>
      <c r="AI327" s="155"/>
      <c r="AJ327" s="155"/>
      <c r="AK327" s="155" t="s">
        <v>1068</v>
      </c>
      <c r="AL327" s="287" t="s">
        <v>1060</v>
      </c>
      <c r="AM327" s="155"/>
      <c r="AN327" s="155"/>
      <c r="AO327" s="155"/>
      <c r="AP327" s="49"/>
      <c r="AQ327" s="49"/>
      <c r="AR327" s="155"/>
      <c r="AS327" s="155"/>
      <c r="AT327" s="155"/>
      <c r="AU327" s="155"/>
      <c r="AV327" s="155"/>
      <c r="AW327" s="155"/>
      <c r="AX327" s="155"/>
      <c r="AY327" s="155"/>
      <c r="AZ327" s="49"/>
      <c r="BA327" s="49"/>
      <c r="BB327" s="49"/>
      <c r="BC327" s="49"/>
      <c r="BD327" s="49"/>
      <c r="BE327" s="49"/>
      <c r="BF327" s="49"/>
      <c r="BG327" s="49"/>
      <c r="BH327" s="49"/>
      <c r="BI327" s="155"/>
      <c r="BJ327" s="155"/>
      <c r="BK327" s="155"/>
      <c r="BL327" s="49"/>
      <c r="BM327" s="49"/>
      <c r="BN327" s="49"/>
      <c r="BO327" s="49"/>
      <c r="BP327" s="49"/>
      <c r="BQ327" s="49"/>
      <c r="BR327" s="49"/>
      <c r="BS327" s="49"/>
      <c r="BT327" s="271" t="s">
        <v>1037</v>
      </c>
      <c r="BU327" s="280" t="s">
        <v>660</v>
      </c>
      <c r="BV327" s="155">
        <v>1</v>
      </c>
      <c r="BW327" s="49"/>
      <c r="BX327" s="49"/>
      <c r="BY327" s="49"/>
      <c r="BZ327" s="49"/>
      <c r="CA327" s="49"/>
      <c r="CB327" s="49"/>
      <c r="CC327" s="49"/>
      <c r="CD327" s="49"/>
      <c r="CE327" s="49"/>
      <c r="CF327" s="49"/>
      <c r="CG327" s="49"/>
      <c r="CH327" s="49"/>
      <c r="CI327" s="49"/>
      <c r="CJ327" s="49"/>
      <c r="CK327" s="49"/>
      <c r="CL327" s="49"/>
      <c r="CM327" s="49"/>
      <c r="CN327" s="49"/>
      <c r="CO327" s="49"/>
      <c r="CP327" s="49"/>
      <c r="CQ327" s="49"/>
      <c r="CR327" s="49"/>
      <c r="CS327" s="49"/>
      <c r="CT327" s="155"/>
      <c r="CU327" s="155"/>
      <c r="CV327" s="155"/>
      <c r="CW327" s="155"/>
      <c r="CX327" s="155"/>
      <c r="CY327" s="155"/>
      <c r="CZ327" s="155"/>
      <c r="DA327" s="155"/>
      <c r="DB327" s="155"/>
      <c r="DC327" s="155"/>
      <c r="DD327" s="155"/>
      <c r="DE327" s="155"/>
      <c r="DF327" s="155"/>
      <c r="DG327" s="155"/>
      <c r="DH327" s="155"/>
      <c r="DI327" s="155"/>
      <c r="DJ327" s="155"/>
      <c r="DK327" s="155"/>
      <c r="DL327" s="155"/>
      <c r="DM327" s="155"/>
      <c r="DN327" s="155"/>
      <c r="DO327" s="155"/>
      <c r="DP327" s="155"/>
      <c r="DQ327" s="155"/>
      <c r="DR327" s="155"/>
      <c r="DS327" s="155"/>
      <c r="DT327" s="155"/>
      <c r="DU327" s="155"/>
      <c r="DV327" s="155"/>
      <c r="DW327" s="155"/>
      <c r="DX327" s="155"/>
    </row>
    <row r="328" spans="1:128" ht="18" customHeight="1">
      <c r="A328" s="155"/>
      <c r="B328" s="155"/>
      <c r="C328" s="155"/>
      <c r="D328" s="155"/>
      <c r="E328" s="49">
        <v>2086</v>
      </c>
      <c r="F328" s="49" t="s">
        <v>1054</v>
      </c>
      <c r="G328" s="158"/>
      <c r="H328" s="155"/>
      <c r="I328" s="270"/>
      <c r="J328" s="270"/>
      <c r="K328" s="270"/>
      <c r="L328" s="270"/>
      <c r="M328" s="270"/>
      <c r="N328" s="270"/>
      <c r="O328" s="155"/>
      <c r="P328" s="155"/>
      <c r="Q328" s="155"/>
      <c r="R328" s="155"/>
      <c r="S328" s="155"/>
      <c r="T328" s="155"/>
      <c r="U328" s="158"/>
      <c r="V328" s="155"/>
      <c r="W328" s="155"/>
      <c r="X328" s="263"/>
      <c r="Y328" s="155"/>
      <c r="Z328" s="155"/>
      <c r="AA328" s="263"/>
      <c r="AB328" s="263"/>
      <c r="AC328" s="155"/>
      <c r="AD328" s="155"/>
      <c r="AE328" s="155"/>
      <c r="AF328" s="155"/>
      <c r="AG328" s="271"/>
      <c r="AH328" s="155"/>
      <c r="AI328" s="155"/>
      <c r="AJ328" s="155"/>
      <c r="AK328" s="155" t="s">
        <v>1069</v>
      </c>
      <c r="AL328" s="287" t="s">
        <v>1060</v>
      </c>
      <c r="AM328" s="155"/>
      <c r="AN328" s="155"/>
      <c r="AO328" s="155"/>
      <c r="AP328" s="49"/>
      <c r="AQ328" s="49"/>
      <c r="AR328" s="155"/>
      <c r="AS328" s="155"/>
      <c r="AT328" s="155"/>
      <c r="AU328" s="155"/>
      <c r="AV328" s="155"/>
      <c r="AW328" s="155"/>
      <c r="AX328" s="155"/>
      <c r="AY328" s="155"/>
      <c r="AZ328" s="49"/>
      <c r="BA328" s="49"/>
      <c r="BB328" s="49"/>
      <c r="BC328" s="49"/>
      <c r="BD328" s="49"/>
      <c r="BE328" s="49"/>
      <c r="BF328" s="49"/>
      <c r="BG328" s="49"/>
      <c r="BH328" s="49"/>
      <c r="BI328" s="155"/>
      <c r="BJ328" s="155"/>
      <c r="BK328" s="155"/>
      <c r="BL328" s="49"/>
      <c r="BM328" s="49"/>
      <c r="BN328" s="49"/>
      <c r="BO328" s="49"/>
      <c r="BP328" s="49"/>
      <c r="BQ328" s="49"/>
      <c r="BR328" s="49"/>
      <c r="BS328" s="49"/>
      <c r="BT328" s="271" t="s">
        <v>1039</v>
      </c>
      <c r="BU328" s="280" t="s">
        <v>628</v>
      </c>
      <c r="BV328" s="155">
        <v>0</v>
      </c>
      <c r="BW328" s="49"/>
      <c r="BX328" s="49"/>
      <c r="BY328" s="49"/>
      <c r="BZ328" s="49"/>
      <c r="CA328" s="49"/>
      <c r="CB328" s="49"/>
      <c r="CC328" s="49"/>
      <c r="CD328" s="49"/>
      <c r="CE328" s="49"/>
      <c r="CF328" s="49"/>
      <c r="CG328" s="49"/>
      <c r="CH328" s="49"/>
      <c r="CI328" s="49"/>
      <c r="CJ328" s="49"/>
      <c r="CK328" s="49"/>
      <c r="CL328" s="49"/>
      <c r="CM328" s="49"/>
      <c r="CN328" s="49"/>
      <c r="CO328" s="49"/>
      <c r="CP328" s="49"/>
      <c r="CQ328" s="49"/>
      <c r="CR328" s="49"/>
      <c r="CS328" s="49"/>
      <c r="CT328" s="155"/>
      <c r="CU328" s="155"/>
      <c r="CV328" s="155"/>
      <c r="CW328" s="155"/>
      <c r="CX328" s="155"/>
      <c r="CY328" s="155"/>
      <c r="CZ328" s="155"/>
      <c r="DA328" s="155"/>
      <c r="DB328" s="155"/>
      <c r="DC328" s="155"/>
      <c r="DD328" s="155"/>
      <c r="DE328" s="155"/>
      <c r="DF328" s="155"/>
      <c r="DG328" s="155"/>
      <c r="DH328" s="155"/>
      <c r="DI328" s="155"/>
      <c r="DJ328" s="155"/>
      <c r="DK328" s="155"/>
      <c r="DL328" s="155"/>
      <c r="DM328" s="155"/>
      <c r="DN328" s="155"/>
      <c r="DO328" s="155"/>
      <c r="DP328" s="155"/>
      <c r="DQ328" s="155"/>
      <c r="DR328" s="155"/>
      <c r="DS328" s="155"/>
      <c r="DT328" s="155"/>
      <c r="DU328" s="155"/>
      <c r="DV328" s="155"/>
      <c r="DW328" s="155"/>
      <c r="DX328" s="155"/>
    </row>
    <row r="329" spans="1:128" ht="18" customHeight="1">
      <c r="A329" s="155"/>
      <c r="B329" s="155"/>
      <c r="C329" s="155"/>
      <c r="D329" s="155"/>
      <c r="E329" s="49">
        <v>2087</v>
      </c>
      <c r="F329" s="49" t="s">
        <v>1027</v>
      </c>
      <c r="G329" s="158"/>
      <c r="H329" s="155"/>
      <c r="I329" s="270"/>
      <c r="J329" s="270"/>
      <c r="K329" s="270"/>
      <c r="L329" s="270"/>
      <c r="M329" s="270"/>
      <c r="N329" s="270"/>
      <c r="O329" s="155"/>
      <c r="P329" s="155"/>
      <c r="Q329" s="155"/>
      <c r="R329" s="155"/>
      <c r="S329" s="155"/>
      <c r="T329" s="155"/>
      <c r="U329" s="158"/>
      <c r="V329" s="155"/>
      <c r="W329" s="155"/>
      <c r="X329" s="263"/>
      <c r="Y329" s="155"/>
      <c r="Z329" s="155"/>
      <c r="AA329" s="263"/>
      <c r="AB329" s="263"/>
      <c r="AC329" s="155"/>
      <c r="AD329" s="155"/>
      <c r="AE329" s="155"/>
      <c r="AF329" s="155"/>
      <c r="AG329" s="271"/>
      <c r="AH329" s="155"/>
      <c r="AI329" s="155"/>
      <c r="AJ329" s="155"/>
      <c r="AK329" s="155" t="s">
        <v>1070</v>
      </c>
      <c r="AL329" s="287" t="s">
        <v>1060</v>
      </c>
      <c r="AM329" s="155"/>
      <c r="AN329" s="155"/>
      <c r="AO329" s="155"/>
      <c r="AP329" s="49"/>
      <c r="AQ329" s="49"/>
      <c r="AR329" s="155"/>
      <c r="AS329" s="155"/>
      <c r="AT329" s="155"/>
      <c r="AU329" s="155"/>
      <c r="AV329" s="155"/>
      <c r="AW329" s="155"/>
      <c r="AX329" s="155"/>
      <c r="AY329" s="155"/>
      <c r="AZ329" s="49"/>
      <c r="BA329" s="49"/>
      <c r="BB329" s="49"/>
      <c r="BC329" s="49"/>
      <c r="BD329" s="49"/>
      <c r="BE329" s="49"/>
      <c r="BF329" s="49"/>
      <c r="BG329" s="49"/>
      <c r="BH329" s="49"/>
      <c r="BI329" s="155"/>
      <c r="BJ329" s="155"/>
      <c r="BK329" s="155"/>
      <c r="BL329" s="49"/>
      <c r="BM329" s="49"/>
      <c r="BN329" s="49"/>
      <c r="BO329" s="49"/>
      <c r="BP329" s="49"/>
      <c r="BQ329" s="49"/>
      <c r="BR329" s="49"/>
      <c r="BS329" s="49"/>
      <c r="BT329" s="271" t="s">
        <v>1036</v>
      </c>
      <c r="BU329" s="280" t="s">
        <v>628</v>
      </c>
      <c r="BV329" s="155">
        <v>0</v>
      </c>
      <c r="BW329" s="49"/>
      <c r="BX329" s="49"/>
      <c r="BY329" s="49"/>
      <c r="BZ329" s="49"/>
      <c r="CA329" s="49"/>
      <c r="CB329" s="49"/>
      <c r="CC329" s="49"/>
      <c r="CD329" s="49"/>
      <c r="CE329" s="49"/>
      <c r="CF329" s="49"/>
      <c r="CG329" s="49"/>
      <c r="CH329" s="49"/>
      <c r="CI329" s="49"/>
      <c r="CJ329" s="49"/>
      <c r="CK329" s="49"/>
      <c r="CL329" s="49"/>
      <c r="CM329" s="49"/>
      <c r="CN329" s="49"/>
      <c r="CO329" s="49"/>
      <c r="CP329" s="49"/>
      <c r="CQ329" s="49"/>
      <c r="CR329" s="49"/>
      <c r="CS329" s="49"/>
      <c r="CT329" s="155"/>
      <c r="CU329" s="155"/>
      <c r="CV329" s="155"/>
      <c r="CW329" s="155"/>
      <c r="CX329" s="155"/>
      <c r="CY329" s="155"/>
      <c r="CZ329" s="155"/>
      <c r="DA329" s="155"/>
      <c r="DB329" s="155"/>
      <c r="DC329" s="155"/>
      <c r="DD329" s="155"/>
      <c r="DE329" s="155"/>
      <c r="DF329" s="155"/>
      <c r="DG329" s="155"/>
      <c r="DH329" s="155"/>
      <c r="DI329" s="155"/>
      <c r="DJ329" s="155"/>
      <c r="DK329" s="155"/>
      <c r="DL329" s="155"/>
      <c r="DM329" s="155"/>
      <c r="DN329" s="155"/>
      <c r="DO329" s="155"/>
      <c r="DP329" s="155"/>
      <c r="DQ329" s="155"/>
      <c r="DR329" s="155"/>
      <c r="DS329" s="155"/>
      <c r="DT329" s="155"/>
      <c r="DU329" s="155"/>
      <c r="DV329" s="155"/>
      <c r="DW329" s="155"/>
      <c r="DX329" s="155"/>
    </row>
    <row r="330" spans="1:128" ht="18" customHeight="1">
      <c r="A330" s="155"/>
      <c r="B330" s="155"/>
      <c r="C330" s="155"/>
      <c r="D330" s="155"/>
      <c r="E330" s="49">
        <v>2088</v>
      </c>
      <c r="F330" s="49" t="s">
        <v>1071</v>
      </c>
      <c r="G330" s="158"/>
      <c r="H330" s="155"/>
      <c r="I330" s="270"/>
      <c r="J330" s="270"/>
      <c r="K330" s="270"/>
      <c r="L330" s="270"/>
      <c r="M330" s="270"/>
      <c r="N330" s="270"/>
      <c r="O330" s="155"/>
      <c r="P330" s="155"/>
      <c r="Q330" s="155"/>
      <c r="R330" s="155"/>
      <c r="S330" s="155"/>
      <c r="T330" s="155"/>
      <c r="U330" s="158"/>
      <c r="V330" s="155"/>
      <c r="W330" s="155"/>
      <c r="X330" s="263"/>
      <c r="Y330" s="155"/>
      <c r="Z330" s="155"/>
      <c r="AA330" s="263"/>
      <c r="AB330" s="263"/>
      <c r="AC330" s="155"/>
      <c r="AD330" s="155"/>
      <c r="AE330" s="155"/>
      <c r="AF330" s="155"/>
      <c r="AG330" s="271"/>
      <c r="AH330" s="155"/>
      <c r="AI330" s="155"/>
      <c r="AJ330" s="155"/>
      <c r="AK330" s="155"/>
      <c r="AL330" s="155"/>
      <c r="AM330" s="155"/>
      <c r="AN330" s="155"/>
      <c r="AO330" s="155"/>
      <c r="AP330" s="49"/>
      <c r="AQ330" s="49"/>
      <c r="AR330" s="155"/>
      <c r="AS330" s="155"/>
      <c r="AT330" s="155"/>
      <c r="AU330" s="155"/>
      <c r="AV330" s="155"/>
      <c r="AW330" s="155"/>
      <c r="AX330" s="155"/>
      <c r="AY330" s="155"/>
      <c r="AZ330" s="49"/>
      <c r="BA330" s="49"/>
      <c r="BB330" s="49"/>
      <c r="BC330" s="49"/>
      <c r="BD330" s="49"/>
      <c r="BE330" s="49"/>
      <c r="BF330" s="49"/>
      <c r="BG330" s="49"/>
      <c r="BH330" s="49"/>
      <c r="BI330" s="155"/>
      <c r="BJ330" s="155"/>
      <c r="BK330" s="155"/>
      <c r="BL330" s="49"/>
      <c r="BM330" s="49"/>
      <c r="BN330" s="49"/>
      <c r="BO330" s="49"/>
      <c r="BP330" s="49"/>
      <c r="BQ330" s="49"/>
      <c r="BR330" s="49"/>
      <c r="BS330" s="49"/>
      <c r="BT330" s="271" t="s">
        <v>1041</v>
      </c>
      <c r="BU330" s="280" t="s">
        <v>660</v>
      </c>
      <c r="BV330" s="155">
        <v>0</v>
      </c>
      <c r="BW330" s="49"/>
      <c r="BX330" s="49"/>
      <c r="BY330" s="49"/>
      <c r="BZ330" s="49"/>
      <c r="CA330" s="49"/>
      <c r="CB330" s="49"/>
      <c r="CC330" s="49"/>
      <c r="CD330" s="49"/>
      <c r="CE330" s="49"/>
      <c r="CF330" s="49"/>
      <c r="CG330" s="49"/>
      <c r="CH330" s="49"/>
      <c r="CI330" s="49"/>
      <c r="CJ330" s="49"/>
      <c r="CK330" s="49"/>
      <c r="CL330" s="49"/>
      <c r="CM330" s="49"/>
      <c r="CN330" s="49"/>
      <c r="CO330" s="49"/>
      <c r="CP330" s="49"/>
      <c r="CQ330" s="49"/>
      <c r="CR330" s="49"/>
      <c r="CS330" s="49"/>
      <c r="CT330" s="155"/>
      <c r="CU330" s="155"/>
      <c r="CV330" s="155"/>
      <c r="CW330" s="155"/>
      <c r="CX330" s="155"/>
      <c r="CY330" s="155"/>
      <c r="CZ330" s="155"/>
      <c r="DA330" s="155"/>
      <c r="DB330" s="155"/>
      <c r="DC330" s="155"/>
      <c r="DD330" s="155"/>
      <c r="DE330" s="155"/>
      <c r="DF330" s="155"/>
      <c r="DG330" s="155"/>
      <c r="DH330" s="155"/>
      <c r="DI330" s="155"/>
      <c r="DJ330" s="155"/>
      <c r="DK330" s="155"/>
      <c r="DL330" s="155"/>
      <c r="DM330" s="155"/>
      <c r="DN330" s="155"/>
      <c r="DO330" s="155"/>
      <c r="DP330" s="155"/>
      <c r="DQ330" s="155"/>
      <c r="DR330" s="155"/>
      <c r="DS330" s="155"/>
      <c r="DT330" s="155"/>
      <c r="DU330" s="155"/>
      <c r="DV330" s="155"/>
      <c r="DW330" s="155"/>
      <c r="DX330" s="155"/>
    </row>
    <row r="331" spans="1:128" ht="18" customHeight="1">
      <c r="A331" s="155"/>
      <c r="B331" s="155"/>
      <c r="C331" s="155"/>
      <c r="D331" s="155"/>
      <c r="E331" s="49">
        <v>2089</v>
      </c>
      <c r="F331" s="49" t="s">
        <v>1063</v>
      </c>
      <c r="G331" s="158"/>
      <c r="H331" s="155"/>
      <c r="I331" s="270"/>
      <c r="J331" s="270"/>
      <c r="K331" s="270"/>
      <c r="L331" s="270"/>
      <c r="M331" s="270"/>
      <c r="N331" s="270"/>
      <c r="O331" s="155"/>
      <c r="P331" s="155"/>
      <c r="Q331" s="155"/>
      <c r="R331" s="155"/>
      <c r="S331" s="155"/>
      <c r="T331" s="155"/>
      <c r="U331" s="158"/>
      <c r="V331" s="155"/>
      <c r="W331" s="155"/>
      <c r="X331" s="263"/>
      <c r="Y331" s="155"/>
      <c r="Z331" s="155"/>
      <c r="AA331" s="263"/>
      <c r="AB331" s="263"/>
      <c r="AC331" s="155"/>
      <c r="AD331" s="155"/>
      <c r="AE331" s="155"/>
      <c r="AF331" s="155"/>
      <c r="AG331" s="271"/>
      <c r="AH331" s="155"/>
      <c r="AI331" s="155"/>
      <c r="AJ331" s="155"/>
      <c r="AK331" s="155"/>
      <c r="AL331" s="155"/>
      <c r="AM331" s="155"/>
      <c r="AN331" s="155"/>
      <c r="AO331" s="155"/>
      <c r="AP331" s="49"/>
      <c r="AQ331" s="49"/>
      <c r="AR331" s="155"/>
      <c r="AS331" s="155"/>
      <c r="AT331" s="155"/>
      <c r="AU331" s="155"/>
      <c r="AV331" s="155"/>
      <c r="AW331" s="155"/>
      <c r="AX331" s="155"/>
      <c r="AY331" s="155"/>
      <c r="AZ331" s="49"/>
      <c r="BA331" s="49"/>
      <c r="BB331" s="49"/>
      <c r="BC331" s="49"/>
      <c r="BD331" s="49"/>
      <c r="BE331" s="49"/>
      <c r="BF331" s="49"/>
      <c r="BG331" s="49"/>
      <c r="BH331" s="49"/>
      <c r="BI331" s="155"/>
      <c r="BJ331" s="155"/>
      <c r="BK331" s="155"/>
      <c r="BL331" s="49"/>
      <c r="BM331" s="49"/>
      <c r="BN331" s="49"/>
      <c r="BO331" s="49"/>
      <c r="BP331" s="49"/>
      <c r="BQ331" s="49"/>
      <c r="BR331" s="49"/>
      <c r="BS331" s="49"/>
      <c r="BT331" s="271" t="s">
        <v>1023</v>
      </c>
      <c r="BU331" s="280" t="s">
        <v>645</v>
      </c>
      <c r="BV331" s="155">
        <v>0</v>
      </c>
      <c r="BW331" s="49"/>
      <c r="BX331" s="49"/>
      <c r="BY331" s="49"/>
      <c r="BZ331" s="49"/>
      <c r="CA331" s="49"/>
      <c r="CB331" s="49"/>
      <c r="CC331" s="49"/>
      <c r="CD331" s="49"/>
      <c r="CE331" s="49"/>
      <c r="CF331" s="49"/>
      <c r="CG331" s="49"/>
      <c r="CH331" s="49"/>
      <c r="CI331" s="49"/>
      <c r="CJ331" s="49"/>
      <c r="CK331" s="49"/>
      <c r="CL331" s="49"/>
      <c r="CM331" s="49"/>
      <c r="CN331" s="49"/>
      <c r="CO331" s="49"/>
      <c r="CP331" s="49"/>
      <c r="CQ331" s="49"/>
      <c r="CR331" s="49"/>
      <c r="CS331" s="49"/>
      <c r="CT331" s="155"/>
      <c r="CU331" s="155"/>
      <c r="CV331" s="155"/>
      <c r="CW331" s="155"/>
      <c r="CX331" s="155"/>
      <c r="CY331" s="155"/>
      <c r="CZ331" s="155"/>
      <c r="DA331" s="155"/>
      <c r="DB331" s="155"/>
      <c r="DC331" s="155"/>
      <c r="DD331" s="155"/>
      <c r="DE331" s="155"/>
      <c r="DF331" s="155"/>
      <c r="DG331" s="155"/>
      <c r="DH331" s="155"/>
      <c r="DI331" s="155"/>
      <c r="DJ331" s="155"/>
      <c r="DK331" s="155"/>
      <c r="DL331" s="155"/>
      <c r="DM331" s="155"/>
      <c r="DN331" s="155"/>
      <c r="DO331" s="155"/>
      <c r="DP331" s="155"/>
      <c r="DQ331" s="155"/>
      <c r="DR331" s="155"/>
      <c r="DS331" s="155"/>
      <c r="DT331" s="155"/>
      <c r="DU331" s="155"/>
      <c r="DV331" s="155"/>
      <c r="DW331" s="155"/>
      <c r="DX331" s="155"/>
    </row>
    <row r="332" spans="1:128" ht="18" customHeight="1">
      <c r="A332" s="155"/>
      <c r="B332" s="155"/>
      <c r="C332" s="155"/>
      <c r="D332" s="155"/>
      <c r="E332" s="49">
        <v>2090</v>
      </c>
      <c r="F332" s="49" t="s">
        <v>1054</v>
      </c>
      <c r="G332" s="158"/>
      <c r="H332" s="155"/>
      <c r="I332" s="270"/>
      <c r="J332" s="270"/>
      <c r="K332" s="270"/>
      <c r="L332" s="270"/>
      <c r="M332" s="270"/>
      <c r="N332" s="270"/>
      <c r="O332" s="155"/>
      <c r="P332" s="155"/>
      <c r="Q332" s="155"/>
      <c r="R332" s="155"/>
      <c r="S332" s="155"/>
      <c r="T332" s="155"/>
      <c r="U332" s="158"/>
      <c r="V332" s="155"/>
      <c r="W332" s="155"/>
      <c r="X332" s="263"/>
      <c r="Y332" s="155"/>
      <c r="Z332" s="155"/>
      <c r="AA332" s="263"/>
      <c r="AB332" s="263"/>
      <c r="AC332" s="155"/>
      <c r="AD332" s="155"/>
      <c r="AE332" s="155"/>
      <c r="AF332" s="155"/>
      <c r="AG332" s="271"/>
      <c r="AH332" s="155"/>
      <c r="AI332" s="155"/>
      <c r="AJ332" s="155"/>
      <c r="AK332" s="155"/>
      <c r="AL332" s="155"/>
      <c r="AM332" s="155"/>
      <c r="AN332" s="155"/>
      <c r="AO332" s="155"/>
      <c r="AP332" s="49"/>
      <c r="AQ332" s="49"/>
      <c r="AR332" s="155"/>
      <c r="AS332" s="155"/>
      <c r="AT332" s="155"/>
      <c r="AU332" s="155"/>
      <c r="AV332" s="155"/>
      <c r="AW332" s="155"/>
      <c r="AX332" s="155"/>
      <c r="AY332" s="155"/>
      <c r="AZ332" s="49"/>
      <c r="BA332" s="49"/>
      <c r="BB332" s="49"/>
      <c r="BC332" s="49"/>
      <c r="BD332" s="49"/>
      <c r="BE332" s="49"/>
      <c r="BF332" s="49"/>
      <c r="BG332" s="49"/>
      <c r="BH332" s="49"/>
      <c r="BI332" s="155"/>
      <c r="BJ332" s="155"/>
      <c r="BK332" s="155"/>
      <c r="BL332" s="49"/>
      <c r="BM332" s="49"/>
      <c r="BN332" s="49"/>
      <c r="BO332" s="49"/>
      <c r="BP332" s="49"/>
      <c r="BQ332" s="49"/>
      <c r="BR332" s="49"/>
      <c r="BS332" s="49"/>
      <c r="BT332" s="271" t="s">
        <v>1042</v>
      </c>
      <c r="BU332" s="280" t="s">
        <v>645</v>
      </c>
      <c r="BV332" s="155">
        <v>0</v>
      </c>
      <c r="BW332" s="49"/>
      <c r="BX332" s="49"/>
      <c r="BY332" s="49"/>
      <c r="BZ332" s="49"/>
      <c r="CA332" s="49"/>
      <c r="CB332" s="49"/>
      <c r="CC332" s="49"/>
      <c r="CD332" s="49"/>
      <c r="CE332" s="49"/>
      <c r="CF332" s="49"/>
      <c r="CG332" s="49"/>
      <c r="CH332" s="49"/>
      <c r="CI332" s="49"/>
      <c r="CJ332" s="49"/>
      <c r="CK332" s="49"/>
      <c r="CL332" s="49"/>
      <c r="CM332" s="49"/>
      <c r="CN332" s="49"/>
      <c r="CO332" s="49"/>
      <c r="CP332" s="49"/>
      <c r="CQ332" s="49"/>
      <c r="CR332" s="49"/>
      <c r="CS332" s="49"/>
      <c r="CT332" s="155"/>
      <c r="CU332" s="155"/>
      <c r="CV332" s="155"/>
      <c r="CW332" s="155"/>
      <c r="CX332" s="155"/>
      <c r="CY332" s="155"/>
      <c r="CZ332" s="155"/>
      <c r="DA332" s="155"/>
      <c r="DB332" s="155"/>
      <c r="DC332" s="155"/>
      <c r="DD332" s="155"/>
      <c r="DE332" s="155"/>
      <c r="DF332" s="155"/>
      <c r="DG332" s="155"/>
      <c r="DH332" s="155"/>
      <c r="DI332" s="155"/>
      <c r="DJ332" s="155"/>
      <c r="DK332" s="155"/>
      <c r="DL332" s="155"/>
      <c r="DM332" s="155"/>
      <c r="DN332" s="155"/>
      <c r="DO332" s="155"/>
      <c r="DP332" s="155"/>
      <c r="DQ332" s="155"/>
      <c r="DR332" s="155"/>
      <c r="DS332" s="155"/>
      <c r="DT332" s="155"/>
      <c r="DU332" s="155"/>
      <c r="DV332" s="155"/>
      <c r="DW332" s="155"/>
      <c r="DX332" s="155"/>
    </row>
    <row r="333" spans="1:128" ht="18" customHeight="1">
      <c r="A333" s="155"/>
      <c r="B333" s="155"/>
      <c r="C333" s="155"/>
      <c r="D333" s="155"/>
      <c r="E333" s="49">
        <v>2091</v>
      </c>
      <c r="F333" s="49" t="s">
        <v>1031</v>
      </c>
      <c r="G333" s="158"/>
      <c r="H333" s="155"/>
      <c r="I333" s="270"/>
      <c r="J333" s="270"/>
      <c r="K333" s="270"/>
      <c r="L333" s="270"/>
      <c r="M333" s="270"/>
      <c r="N333" s="270"/>
      <c r="O333" s="155"/>
      <c r="P333" s="155"/>
      <c r="Q333" s="155"/>
      <c r="R333" s="155"/>
      <c r="S333" s="155"/>
      <c r="T333" s="155"/>
      <c r="U333" s="158"/>
      <c r="V333" s="155"/>
      <c r="W333" s="155"/>
      <c r="X333" s="263"/>
      <c r="Y333" s="155"/>
      <c r="Z333" s="155"/>
      <c r="AA333" s="263"/>
      <c r="AB333" s="263"/>
      <c r="AC333" s="155"/>
      <c r="AD333" s="155"/>
      <c r="AE333" s="155"/>
      <c r="AF333" s="155"/>
      <c r="AG333" s="155"/>
      <c r="AH333" s="155"/>
      <c r="AI333" s="155"/>
      <c r="AJ333" s="155"/>
      <c r="AK333" s="155"/>
      <c r="AL333" s="155"/>
      <c r="AM333" s="155"/>
      <c r="AN333" s="155"/>
      <c r="AO333" s="155"/>
      <c r="AP333" s="49"/>
      <c r="AQ333" s="49"/>
      <c r="AR333" s="155"/>
      <c r="AS333" s="155"/>
      <c r="AT333" s="155"/>
      <c r="AU333" s="155"/>
      <c r="AV333" s="155"/>
      <c r="AW333" s="155"/>
      <c r="AX333" s="155"/>
      <c r="AY333" s="155"/>
      <c r="AZ333" s="49"/>
      <c r="BA333" s="49"/>
      <c r="BB333" s="49"/>
      <c r="BC333" s="49"/>
      <c r="BD333" s="49"/>
      <c r="BE333" s="49"/>
      <c r="BF333" s="49"/>
      <c r="BG333" s="49"/>
      <c r="BH333" s="49"/>
      <c r="BI333" s="155"/>
      <c r="BJ333" s="155"/>
      <c r="BK333" s="155"/>
      <c r="BL333" s="49"/>
      <c r="BM333" s="49"/>
      <c r="BN333" s="49"/>
      <c r="BO333" s="49"/>
      <c r="BP333" s="49"/>
      <c r="BQ333" s="49"/>
      <c r="BR333" s="49"/>
      <c r="BS333" s="49"/>
      <c r="BT333" s="271" t="s">
        <v>997</v>
      </c>
      <c r="BU333" s="280" t="s">
        <v>660</v>
      </c>
      <c r="BV333" s="155">
        <v>0</v>
      </c>
      <c r="BW333" s="49"/>
      <c r="BX333" s="49"/>
      <c r="BY333" s="49"/>
      <c r="BZ333" s="49"/>
      <c r="CA333" s="49"/>
      <c r="CB333" s="49"/>
      <c r="CC333" s="49"/>
      <c r="CD333" s="49"/>
      <c r="CE333" s="49"/>
      <c r="CF333" s="49"/>
      <c r="CG333" s="49"/>
      <c r="CH333" s="49"/>
      <c r="CI333" s="49"/>
      <c r="CJ333" s="49"/>
      <c r="CK333" s="49"/>
      <c r="CL333" s="49"/>
      <c r="CM333" s="49"/>
      <c r="CN333" s="49"/>
      <c r="CO333" s="49"/>
      <c r="CP333" s="49"/>
      <c r="CQ333" s="49"/>
      <c r="CR333" s="49"/>
      <c r="CS333" s="49"/>
      <c r="CT333" s="155"/>
      <c r="CU333" s="155"/>
      <c r="CV333" s="155"/>
      <c r="CW333" s="155"/>
      <c r="CX333" s="155"/>
      <c r="CY333" s="155"/>
      <c r="CZ333" s="155"/>
      <c r="DA333" s="155"/>
      <c r="DB333" s="155"/>
      <c r="DC333" s="155"/>
      <c r="DD333" s="155"/>
      <c r="DE333" s="155"/>
      <c r="DF333" s="155"/>
      <c r="DG333" s="155"/>
      <c r="DH333" s="155"/>
      <c r="DI333" s="155"/>
      <c r="DJ333" s="155"/>
      <c r="DK333" s="155"/>
      <c r="DL333" s="155"/>
      <c r="DM333" s="155"/>
      <c r="DN333" s="155"/>
      <c r="DO333" s="155"/>
      <c r="DP333" s="155"/>
      <c r="DQ333" s="155"/>
      <c r="DR333" s="155"/>
      <c r="DS333" s="155"/>
      <c r="DT333" s="155"/>
      <c r="DU333" s="155"/>
      <c r="DV333" s="155"/>
      <c r="DW333" s="155"/>
      <c r="DX333" s="155"/>
    </row>
    <row r="334" spans="1:128" ht="18" customHeight="1">
      <c r="A334" s="155"/>
      <c r="B334" s="155"/>
      <c r="C334" s="155"/>
      <c r="D334" s="155"/>
      <c r="E334" s="49">
        <v>2092</v>
      </c>
      <c r="F334" s="49" t="s">
        <v>1072</v>
      </c>
      <c r="G334" s="158"/>
      <c r="H334" s="155"/>
      <c r="I334" s="270"/>
      <c r="J334" s="270"/>
      <c r="K334" s="270"/>
      <c r="L334" s="270"/>
      <c r="M334" s="270"/>
      <c r="N334" s="270"/>
      <c r="O334" s="155"/>
      <c r="P334" s="155"/>
      <c r="Q334" s="155"/>
      <c r="R334" s="155"/>
      <c r="S334" s="155"/>
      <c r="T334" s="155"/>
      <c r="U334" s="158"/>
      <c r="V334" s="155"/>
      <c r="W334" s="155"/>
      <c r="X334" s="263"/>
      <c r="Y334" s="155"/>
      <c r="Z334" s="155"/>
      <c r="AA334" s="263"/>
      <c r="AB334" s="263"/>
      <c r="AC334" s="155"/>
      <c r="AD334" s="155"/>
      <c r="AE334" s="155"/>
      <c r="AF334" s="155"/>
      <c r="AG334" s="155"/>
      <c r="AH334" s="155"/>
      <c r="AI334" s="155"/>
      <c r="AJ334" s="155"/>
      <c r="AK334" s="155"/>
      <c r="AL334" s="155"/>
      <c r="AM334" s="155"/>
      <c r="AN334" s="155"/>
      <c r="AO334" s="155"/>
      <c r="AP334" s="49"/>
      <c r="AQ334" s="49"/>
      <c r="AR334" s="155"/>
      <c r="AS334" s="155"/>
      <c r="AT334" s="155"/>
      <c r="AU334" s="155"/>
      <c r="AV334" s="155"/>
      <c r="AW334" s="155"/>
      <c r="AX334" s="155"/>
      <c r="AY334" s="155"/>
      <c r="AZ334" s="49"/>
      <c r="BA334" s="49"/>
      <c r="BB334" s="49"/>
      <c r="BC334" s="49"/>
      <c r="BD334" s="49"/>
      <c r="BE334" s="49"/>
      <c r="BF334" s="49"/>
      <c r="BG334" s="49"/>
      <c r="BH334" s="49"/>
      <c r="BI334" s="155"/>
      <c r="BJ334" s="155"/>
      <c r="BK334" s="155"/>
      <c r="BL334" s="49"/>
      <c r="BM334" s="49"/>
      <c r="BN334" s="49"/>
      <c r="BO334" s="49"/>
      <c r="BP334" s="49"/>
      <c r="BQ334" s="49"/>
      <c r="BR334" s="49"/>
      <c r="BS334" s="49"/>
      <c r="BT334" s="271" t="s">
        <v>1043</v>
      </c>
      <c r="BU334" s="280" t="s">
        <v>622</v>
      </c>
      <c r="BV334" s="155">
        <v>0</v>
      </c>
      <c r="BW334" s="49"/>
      <c r="BX334" s="49"/>
      <c r="BY334" s="49"/>
      <c r="BZ334" s="49"/>
      <c r="CA334" s="49"/>
      <c r="CB334" s="49"/>
      <c r="CC334" s="49"/>
      <c r="CD334" s="49"/>
      <c r="CE334" s="49"/>
      <c r="CF334" s="49"/>
      <c r="CG334" s="49"/>
      <c r="CH334" s="49"/>
      <c r="CI334" s="49"/>
      <c r="CJ334" s="49"/>
      <c r="CK334" s="49"/>
      <c r="CL334" s="49"/>
      <c r="CM334" s="49"/>
      <c r="CN334" s="49"/>
      <c r="CO334" s="49"/>
      <c r="CP334" s="49"/>
      <c r="CQ334" s="49"/>
      <c r="CR334" s="49"/>
      <c r="CS334" s="49"/>
      <c r="CT334" s="155"/>
      <c r="CU334" s="155"/>
      <c r="CV334" s="155"/>
      <c r="CW334" s="155"/>
      <c r="CX334" s="155"/>
      <c r="CY334" s="155"/>
      <c r="CZ334" s="155"/>
      <c r="DA334" s="155"/>
      <c r="DB334" s="155"/>
      <c r="DC334" s="155"/>
      <c r="DD334" s="155"/>
      <c r="DE334" s="155"/>
      <c r="DF334" s="155"/>
      <c r="DG334" s="155"/>
      <c r="DH334" s="155"/>
      <c r="DI334" s="155"/>
      <c r="DJ334" s="155"/>
      <c r="DK334" s="155"/>
      <c r="DL334" s="155"/>
      <c r="DM334" s="155"/>
      <c r="DN334" s="155"/>
      <c r="DO334" s="155"/>
      <c r="DP334" s="155"/>
      <c r="DQ334" s="155"/>
      <c r="DR334" s="155"/>
      <c r="DS334" s="155"/>
      <c r="DT334" s="155"/>
      <c r="DU334" s="155"/>
      <c r="DV334" s="155"/>
      <c r="DW334" s="155"/>
      <c r="DX334" s="155"/>
    </row>
    <row r="335" spans="1:128" ht="18" customHeight="1">
      <c r="A335" s="155"/>
      <c r="B335" s="155"/>
      <c r="C335" s="155"/>
      <c r="D335" s="155"/>
      <c r="E335" s="49">
        <v>2093</v>
      </c>
      <c r="F335" s="49" t="s">
        <v>1073</v>
      </c>
      <c r="G335" s="158"/>
      <c r="H335" s="155"/>
      <c r="I335" s="270"/>
      <c r="J335" s="270"/>
      <c r="K335" s="270"/>
      <c r="L335" s="270"/>
      <c r="M335" s="270"/>
      <c r="N335" s="270"/>
      <c r="O335" s="155"/>
      <c r="P335" s="155"/>
      <c r="Q335" s="155"/>
      <c r="R335" s="155"/>
      <c r="S335" s="155"/>
      <c r="T335" s="155"/>
      <c r="U335" s="158"/>
      <c r="V335" s="155"/>
      <c r="W335" s="155"/>
      <c r="X335" s="263"/>
      <c r="Y335" s="155"/>
      <c r="Z335" s="155"/>
      <c r="AA335" s="263"/>
      <c r="AB335" s="263"/>
      <c r="AC335" s="155"/>
      <c r="AD335" s="155"/>
      <c r="AE335" s="155"/>
      <c r="AF335" s="155"/>
      <c r="AG335" s="155"/>
      <c r="AH335" s="155"/>
      <c r="AI335" s="155"/>
      <c r="AJ335" s="155"/>
      <c r="AK335" s="155"/>
      <c r="AL335" s="155"/>
      <c r="AM335" s="155"/>
      <c r="AN335" s="155"/>
      <c r="AO335" s="155"/>
      <c r="AP335" s="49"/>
      <c r="AQ335" s="49"/>
      <c r="AR335" s="155"/>
      <c r="AS335" s="155"/>
      <c r="AT335" s="155"/>
      <c r="AU335" s="155"/>
      <c r="AV335" s="155"/>
      <c r="AW335" s="155"/>
      <c r="AX335" s="155"/>
      <c r="AY335" s="155"/>
      <c r="AZ335" s="49"/>
      <c r="BA335" s="49"/>
      <c r="BB335" s="49"/>
      <c r="BC335" s="49"/>
      <c r="BD335" s="49"/>
      <c r="BE335" s="49"/>
      <c r="BF335" s="49"/>
      <c r="BG335" s="49"/>
      <c r="BH335" s="49"/>
      <c r="BI335" s="155"/>
      <c r="BJ335" s="155"/>
      <c r="BK335" s="155"/>
      <c r="BL335" s="49"/>
      <c r="BM335" s="49"/>
      <c r="BN335" s="49"/>
      <c r="BO335" s="49"/>
      <c r="BP335" s="49"/>
      <c r="BQ335" s="49"/>
      <c r="BR335" s="49"/>
      <c r="BS335" s="49"/>
      <c r="BT335" s="271" t="s">
        <v>956</v>
      </c>
      <c r="BU335" s="280" t="s">
        <v>622</v>
      </c>
      <c r="BV335" s="155">
        <v>1</v>
      </c>
      <c r="BW335" s="49"/>
      <c r="BX335" s="49"/>
      <c r="BY335" s="49"/>
      <c r="BZ335" s="49"/>
      <c r="CA335" s="49"/>
      <c r="CB335" s="49"/>
      <c r="CC335" s="49"/>
      <c r="CD335" s="49"/>
      <c r="CE335" s="49"/>
      <c r="CF335" s="49"/>
      <c r="CG335" s="49"/>
      <c r="CH335" s="49"/>
      <c r="CI335" s="49"/>
      <c r="CJ335" s="49"/>
      <c r="CK335" s="49"/>
      <c r="CL335" s="49"/>
      <c r="CM335" s="49"/>
      <c r="CN335" s="49"/>
      <c r="CO335" s="49"/>
      <c r="CP335" s="49"/>
      <c r="CQ335" s="49"/>
      <c r="CR335" s="49"/>
      <c r="CS335" s="49"/>
      <c r="CT335" s="155"/>
      <c r="CU335" s="155"/>
      <c r="CV335" s="155"/>
      <c r="CW335" s="155"/>
      <c r="CX335" s="155"/>
      <c r="CY335" s="155"/>
      <c r="CZ335" s="155"/>
      <c r="DA335" s="155"/>
      <c r="DB335" s="155"/>
      <c r="DC335" s="155"/>
      <c r="DD335" s="155"/>
      <c r="DE335" s="155"/>
      <c r="DF335" s="155"/>
      <c r="DG335" s="155"/>
      <c r="DH335" s="155"/>
      <c r="DI335" s="155"/>
      <c r="DJ335" s="155"/>
      <c r="DK335" s="155"/>
      <c r="DL335" s="155"/>
      <c r="DM335" s="155"/>
      <c r="DN335" s="155"/>
      <c r="DO335" s="155"/>
      <c r="DP335" s="155"/>
      <c r="DQ335" s="155"/>
      <c r="DR335" s="155"/>
      <c r="DS335" s="155"/>
      <c r="DT335" s="155"/>
      <c r="DU335" s="155"/>
      <c r="DV335" s="155"/>
      <c r="DW335" s="155"/>
      <c r="DX335" s="155"/>
    </row>
    <row r="336" spans="1:128" ht="18" customHeight="1">
      <c r="A336" s="155"/>
      <c r="B336" s="155"/>
      <c r="C336" s="155"/>
      <c r="D336" s="155"/>
      <c r="E336" s="49">
        <v>2094</v>
      </c>
      <c r="F336" s="49" t="s">
        <v>1054</v>
      </c>
      <c r="G336" s="158"/>
      <c r="H336" s="155"/>
      <c r="I336" s="270"/>
      <c r="J336" s="270"/>
      <c r="K336" s="270"/>
      <c r="L336" s="270"/>
      <c r="M336" s="270"/>
      <c r="N336" s="270"/>
      <c r="O336" s="155"/>
      <c r="P336" s="155"/>
      <c r="Q336" s="155"/>
      <c r="R336" s="155"/>
      <c r="S336" s="155"/>
      <c r="T336" s="155"/>
      <c r="U336" s="158"/>
      <c r="V336" s="155"/>
      <c r="W336" s="155"/>
      <c r="X336" s="263"/>
      <c r="Y336" s="155"/>
      <c r="Z336" s="155"/>
      <c r="AA336" s="263"/>
      <c r="AB336" s="263"/>
      <c r="AC336" s="155"/>
      <c r="AD336" s="155"/>
      <c r="AE336" s="155"/>
      <c r="AF336" s="155"/>
      <c r="AG336" s="155"/>
      <c r="AH336" s="155"/>
      <c r="AI336" s="155"/>
      <c r="AJ336" s="155"/>
      <c r="AK336" s="155"/>
      <c r="AL336" s="155"/>
      <c r="AM336" s="155"/>
      <c r="AN336" s="155"/>
      <c r="AO336" s="155"/>
      <c r="AP336" s="49"/>
      <c r="AQ336" s="49"/>
      <c r="AR336" s="155"/>
      <c r="AS336" s="155"/>
      <c r="AT336" s="155"/>
      <c r="AU336" s="155"/>
      <c r="AV336" s="155"/>
      <c r="AW336" s="155"/>
      <c r="AX336" s="155"/>
      <c r="AY336" s="155"/>
      <c r="AZ336" s="49"/>
      <c r="BA336" s="49"/>
      <c r="BB336" s="49"/>
      <c r="BC336" s="49"/>
      <c r="BD336" s="49"/>
      <c r="BE336" s="49"/>
      <c r="BF336" s="49"/>
      <c r="BG336" s="49"/>
      <c r="BH336" s="49"/>
      <c r="BI336" s="155"/>
      <c r="BJ336" s="155"/>
      <c r="BK336" s="155"/>
      <c r="BL336" s="49"/>
      <c r="BM336" s="49"/>
      <c r="BN336" s="49"/>
      <c r="BO336" s="49"/>
      <c r="BP336" s="49"/>
      <c r="BQ336" s="49"/>
      <c r="BR336" s="49"/>
      <c r="BS336" s="49"/>
      <c r="BT336" s="271" t="s">
        <v>1044</v>
      </c>
      <c r="BU336" s="280" t="s">
        <v>660</v>
      </c>
      <c r="BV336" s="155">
        <v>1</v>
      </c>
      <c r="BW336" s="49"/>
      <c r="BX336" s="49"/>
      <c r="BY336" s="49"/>
      <c r="BZ336" s="49"/>
      <c r="CA336" s="49"/>
      <c r="CB336" s="49"/>
      <c r="CC336" s="49"/>
      <c r="CD336" s="49"/>
      <c r="CE336" s="49"/>
      <c r="CF336" s="49"/>
      <c r="CG336" s="49"/>
      <c r="CH336" s="49"/>
      <c r="CI336" s="49"/>
      <c r="CJ336" s="49"/>
      <c r="CK336" s="49"/>
      <c r="CL336" s="49"/>
      <c r="CM336" s="49"/>
      <c r="CN336" s="49"/>
      <c r="CO336" s="49"/>
      <c r="CP336" s="49"/>
      <c r="CQ336" s="49"/>
      <c r="CR336" s="49"/>
      <c r="CS336" s="49"/>
      <c r="CT336" s="155"/>
      <c r="CU336" s="155"/>
      <c r="CV336" s="155"/>
      <c r="CW336" s="155"/>
      <c r="CX336" s="155"/>
      <c r="CY336" s="155"/>
      <c r="CZ336" s="155"/>
      <c r="DA336" s="155"/>
      <c r="DB336" s="155"/>
      <c r="DC336" s="155"/>
      <c r="DD336" s="155"/>
      <c r="DE336" s="155"/>
      <c r="DF336" s="155"/>
      <c r="DG336" s="155"/>
      <c r="DH336" s="155"/>
      <c r="DI336" s="155"/>
      <c r="DJ336" s="155"/>
      <c r="DK336" s="155"/>
      <c r="DL336" s="155"/>
      <c r="DM336" s="155"/>
      <c r="DN336" s="155"/>
      <c r="DO336" s="155"/>
      <c r="DP336" s="155"/>
      <c r="DQ336" s="155"/>
      <c r="DR336" s="155"/>
      <c r="DS336" s="155"/>
      <c r="DT336" s="155"/>
      <c r="DU336" s="155"/>
      <c r="DV336" s="155"/>
      <c r="DW336" s="155"/>
      <c r="DX336" s="155"/>
    </row>
    <row r="337" spans="1:128" ht="18" customHeight="1">
      <c r="A337" s="155"/>
      <c r="B337" s="155"/>
      <c r="C337" s="155"/>
      <c r="D337" s="155"/>
      <c r="E337" s="49">
        <v>2095</v>
      </c>
      <c r="F337" s="49" t="s">
        <v>1031</v>
      </c>
      <c r="G337" s="158"/>
      <c r="H337" s="155"/>
      <c r="I337" s="270"/>
      <c r="J337" s="270"/>
      <c r="K337" s="270"/>
      <c r="L337" s="270"/>
      <c r="M337" s="270"/>
      <c r="N337" s="270"/>
      <c r="O337" s="155"/>
      <c r="P337" s="155"/>
      <c r="Q337" s="155"/>
      <c r="R337" s="155"/>
      <c r="S337" s="155"/>
      <c r="T337" s="155"/>
      <c r="U337" s="158"/>
      <c r="V337" s="155"/>
      <c r="W337" s="155"/>
      <c r="X337" s="263"/>
      <c r="Y337" s="155"/>
      <c r="Z337" s="155"/>
      <c r="AA337" s="263"/>
      <c r="AB337" s="263"/>
      <c r="AC337" s="155"/>
      <c r="AD337" s="155"/>
      <c r="AE337" s="155"/>
      <c r="AF337" s="155"/>
      <c r="AG337" s="155"/>
      <c r="AH337" s="155"/>
      <c r="AI337" s="155"/>
      <c r="AJ337" s="155"/>
      <c r="AK337" s="155"/>
      <c r="AL337" s="155"/>
      <c r="AM337" s="155"/>
      <c r="AN337" s="155"/>
      <c r="AO337" s="155"/>
      <c r="AP337" s="49"/>
      <c r="AQ337" s="49"/>
      <c r="AR337" s="155"/>
      <c r="AS337" s="155"/>
      <c r="AT337" s="155"/>
      <c r="AU337" s="155"/>
      <c r="AV337" s="155"/>
      <c r="AW337" s="155"/>
      <c r="AX337" s="155"/>
      <c r="AY337" s="155"/>
      <c r="AZ337" s="49"/>
      <c r="BA337" s="49"/>
      <c r="BB337" s="49"/>
      <c r="BC337" s="49"/>
      <c r="BD337" s="49"/>
      <c r="BE337" s="49"/>
      <c r="BF337" s="49"/>
      <c r="BG337" s="49"/>
      <c r="BH337" s="49"/>
      <c r="BI337" s="155"/>
      <c r="BJ337" s="155"/>
      <c r="BK337" s="155"/>
      <c r="BL337" s="49"/>
      <c r="BM337" s="49"/>
      <c r="BN337" s="49"/>
      <c r="BO337" s="49"/>
      <c r="BP337" s="49"/>
      <c r="BQ337" s="49"/>
      <c r="BR337" s="49"/>
      <c r="BS337" s="49"/>
      <c r="BT337" s="271" t="s">
        <v>1045</v>
      </c>
      <c r="BU337" s="280" t="s">
        <v>612</v>
      </c>
      <c r="BV337" s="155">
        <v>1</v>
      </c>
      <c r="BW337" s="49"/>
      <c r="BX337" s="49"/>
      <c r="BY337" s="49"/>
      <c r="BZ337" s="49"/>
      <c r="CA337" s="49"/>
      <c r="CB337" s="49"/>
      <c r="CC337" s="49"/>
      <c r="CD337" s="49"/>
      <c r="CE337" s="49"/>
      <c r="CF337" s="49"/>
      <c r="CG337" s="49"/>
      <c r="CH337" s="49"/>
      <c r="CI337" s="49"/>
      <c r="CJ337" s="49"/>
      <c r="CK337" s="49"/>
      <c r="CL337" s="49"/>
      <c r="CM337" s="49"/>
      <c r="CN337" s="49"/>
      <c r="CO337" s="49"/>
      <c r="CP337" s="49"/>
      <c r="CQ337" s="49"/>
      <c r="CR337" s="49"/>
      <c r="CS337" s="49"/>
      <c r="CT337" s="155"/>
      <c r="CU337" s="155"/>
      <c r="CV337" s="155"/>
      <c r="CW337" s="155"/>
      <c r="CX337" s="155"/>
      <c r="CY337" s="155"/>
      <c r="CZ337" s="155"/>
      <c r="DA337" s="155"/>
      <c r="DB337" s="155"/>
      <c r="DC337" s="155"/>
      <c r="DD337" s="155"/>
      <c r="DE337" s="155"/>
      <c r="DF337" s="155"/>
      <c r="DG337" s="155"/>
      <c r="DH337" s="155"/>
      <c r="DI337" s="155"/>
      <c r="DJ337" s="155"/>
      <c r="DK337" s="155"/>
      <c r="DL337" s="155"/>
      <c r="DM337" s="155"/>
      <c r="DN337" s="155"/>
      <c r="DO337" s="155"/>
      <c r="DP337" s="155"/>
      <c r="DQ337" s="155"/>
      <c r="DR337" s="155"/>
      <c r="DS337" s="155"/>
      <c r="DT337" s="155"/>
      <c r="DU337" s="155"/>
      <c r="DV337" s="155"/>
      <c r="DW337" s="155"/>
      <c r="DX337" s="155"/>
    </row>
    <row r="338" spans="1:128" ht="18" customHeight="1">
      <c r="A338" s="155"/>
      <c r="B338" s="155"/>
      <c r="C338" s="155"/>
      <c r="D338" s="155"/>
      <c r="E338" s="49">
        <v>2096</v>
      </c>
      <c r="F338" s="49" t="s">
        <v>1072</v>
      </c>
      <c r="G338" s="158"/>
      <c r="H338" s="155"/>
      <c r="I338" s="270"/>
      <c r="J338" s="270"/>
      <c r="K338" s="270"/>
      <c r="L338" s="270"/>
      <c r="M338" s="270"/>
      <c r="N338" s="270"/>
      <c r="O338" s="155"/>
      <c r="P338" s="155"/>
      <c r="Q338" s="155"/>
      <c r="R338" s="155"/>
      <c r="S338" s="155"/>
      <c r="T338" s="155"/>
      <c r="U338" s="158"/>
      <c r="V338" s="155"/>
      <c r="W338" s="155"/>
      <c r="X338" s="263"/>
      <c r="Y338" s="155"/>
      <c r="Z338" s="155"/>
      <c r="AA338" s="263"/>
      <c r="AB338" s="263"/>
      <c r="AC338" s="155"/>
      <c r="AD338" s="155"/>
      <c r="AE338" s="155"/>
      <c r="AF338" s="155"/>
      <c r="AG338" s="155"/>
      <c r="AH338" s="155"/>
      <c r="AI338" s="155"/>
      <c r="AJ338" s="155"/>
      <c r="AK338" s="155"/>
      <c r="AL338" s="155"/>
      <c r="AM338" s="155"/>
      <c r="AN338" s="155"/>
      <c r="AO338" s="155"/>
      <c r="AP338" s="49"/>
      <c r="AQ338" s="49"/>
      <c r="AR338" s="155"/>
      <c r="AS338" s="155"/>
      <c r="AT338" s="155"/>
      <c r="AU338" s="155"/>
      <c r="AV338" s="155"/>
      <c r="AW338" s="155"/>
      <c r="AX338" s="155"/>
      <c r="AY338" s="155"/>
      <c r="AZ338" s="49"/>
      <c r="BA338" s="49"/>
      <c r="BB338" s="49"/>
      <c r="BC338" s="49"/>
      <c r="BD338" s="49"/>
      <c r="BE338" s="49"/>
      <c r="BF338" s="49"/>
      <c r="BG338" s="49"/>
      <c r="BH338" s="49"/>
      <c r="BI338" s="155"/>
      <c r="BJ338" s="155"/>
      <c r="BK338" s="155"/>
      <c r="BL338" s="49"/>
      <c r="BM338" s="49"/>
      <c r="BN338" s="49"/>
      <c r="BO338" s="49"/>
      <c r="BP338" s="49"/>
      <c r="BQ338" s="49"/>
      <c r="BR338" s="49"/>
      <c r="BS338" s="49"/>
      <c r="BT338" s="271" t="s">
        <v>1047</v>
      </c>
      <c r="BU338" s="280" t="s">
        <v>612</v>
      </c>
      <c r="BV338" s="155">
        <v>0</v>
      </c>
      <c r="BW338" s="49"/>
      <c r="BX338" s="49"/>
      <c r="BY338" s="49"/>
      <c r="BZ338" s="49"/>
      <c r="CA338" s="49"/>
      <c r="CB338" s="49"/>
      <c r="CC338" s="49"/>
      <c r="CD338" s="49"/>
      <c r="CE338" s="49"/>
      <c r="CF338" s="49"/>
      <c r="CG338" s="49"/>
      <c r="CH338" s="49"/>
      <c r="CI338" s="49"/>
      <c r="CJ338" s="49"/>
      <c r="CK338" s="49"/>
      <c r="CL338" s="49"/>
      <c r="CM338" s="49"/>
      <c r="CN338" s="49"/>
      <c r="CO338" s="49"/>
      <c r="CP338" s="49"/>
      <c r="CQ338" s="49"/>
      <c r="CR338" s="49"/>
      <c r="CS338" s="49"/>
      <c r="CT338" s="155"/>
      <c r="CU338" s="155"/>
      <c r="CV338" s="155"/>
      <c r="CW338" s="155"/>
      <c r="CX338" s="155"/>
      <c r="CY338" s="155"/>
      <c r="CZ338" s="155"/>
      <c r="DA338" s="155"/>
      <c r="DB338" s="155"/>
      <c r="DC338" s="155"/>
      <c r="DD338" s="155"/>
      <c r="DE338" s="155"/>
      <c r="DF338" s="155"/>
      <c r="DG338" s="155"/>
      <c r="DH338" s="155"/>
      <c r="DI338" s="155"/>
      <c r="DJ338" s="155"/>
      <c r="DK338" s="155"/>
      <c r="DL338" s="155"/>
      <c r="DM338" s="155"/>
      <c r="DN338" s="155"/>
      <c r="DO338" s="155"/>
      <c r="DP338" s="155"/>
      <c r="DQ338" s="155"/>
      <c r="DR338" s="155"/>
      <c r="DS338" s="155"/>
      <c r="DT338" s="155"/>
      <c r="DU338" s="155"/>
      <c r="DV338" s="155"/>
      <c r="DW338" s="155"/>
      <c r="DX338" s="155"/>
    </row>
    <row r="339" spans="1:128" ht="18" customHeight="1">
      <c r="A339" s="155"/>
      <c r="B339" s="155"/>
      <c r="C339" s="155"/>
      <c r="D339" s="155"/>
      <c r="E339" s="49">
        <v>2097</v>
      </c>
      <c r="F339" s="49" t="s">
        <v>1073</v>
      </c>
      <c r="G339" s="158"/>
      <c r="H339" s="155"/>
      <c r="I339" s="270"/>
      <c r="J339" s="270"/>
      <c r="K339" s="270"/>
      <c r="L339" s="270"/>
      <c r="M339" s="270"/>
      <c r="N339" s="270"/>
      <c r="O339" s="155"/>
      <c r="P339" s="155"/>
      <c r="Q339" s="155"/>
      <c r="R339" s="155"/>
      <c r="S339" s="155"/>
      <c r="T339" s="155"/>
      <c r="U339" s="158"/>
      <c r="V339" s="155"/>
      <c r="W339" s="155"/>
      <c r="X339" s="263"/>
      <c r="Y339" s="155"/>
      <c r="Z339" s="155"/>
      <c r="AA339" s="263"/>
      <c r="AB339" s="263"/>
      <c r="AC339" s="155"/>
      <c r="AD339" s="155"/>
      <c r="AE339" s="155"/>
      <c r="AF339" s="155"/>
      <c r="AG339" s="155"/>
      <c r="AH339" s="155"/>
      <c r="AI339" s="155"/>
      <c r="AJ339" s="155"/>
      <c r="AK339" s="155"/>
      <c r="AL339" s="155"/>
      <c r="AM339" s="155"/>
      <c r="AN339" s="155"/>
      <c r="AO339" s="155"/>
      <c r="AP339" s="49"/>
      <c r="AQ339" s="49"/>
      <c r="AR339" s="155"/>
      <c r="AS339" s="155"/>
      <c r="AT339" s="155"/>
      <c r="AU339" s="155"/>
      <c r="AV339" s="155"/>
      <c r="AW339" s="155"/>
      <c r="AX339" s="155"/>
      <c r="AY339" s="155"/>
      <c r="AZ339" s="49"/>
      <c r="BA339" s="49"/>
      <c r="BB339" s="49"/>
      <c r="BC339" s="49"/>
      <c r="BD339" s="49"/>
      <c r="BE339" s="49"/>
      <c r="BF339" s="49"/>
      <c r="BG339" s="49"/>
      <c r="BH339" s="49"/>
      <c r="BI339" s="155"/>
      <c r="BJ339" s="155"/>
      <c r="BK339" s="155"/>
      <c r="BL339" s="49"/>
      <c r="BM339" s="49"/>
      <c r="BN339" s="49"/>
      <c r="BO339" s="49"/>
      <c r="BP339" s="49"/>
      <c r="BQ339" s="49"/>
      <c r="BR339" s="49"/>
      <c r="BS339" s="49"/>
      <c r="BT339" s="271" t="s">
        <v>1048</v>
      </c>
      <c r="BU339" s="280" t="s">
        <v>660</v>
      </c>
      <c r="BV339" s="155">
        <v>1</v>
      </c>
      <c r="BW339" s="49"/>
      <c r="BX339" s="49"/>
      <c r="BY339" s="49"/>
      <c r="BZ339" s="49"/>
      <c r="CA339" s="49"/>
      <c r="CB339" s="49"/>
      <c r="CC339" s="49"/>
      <c r="CD339" s="49"/>
      <c r="CE339" s="49"/>
      <c r="CF339" s="49"/>
      <c r="CG339" s="49"/>
      <c r="CH339" s="49"/>
      <c r="CI339" s="49"/>
      <c r="CJ339" s="49"/>
      <c r="CK339" s="49"/>
      <c r="CL339" s="49"/>
      <c r="CM339" s="49"/>
      <c r="CN339" s="49"/>
      <c r="CO339" s="49"/>
      <c r="CP339" s="49"/>
      <c r="CQ339" s="49"/>
      <c r="CR339" s="49"/>
      <c r="CS339" s="49"/>
      <c r="CT339" s="155"/>
      <c r="CU339" s="155"/>
      <c r="CV339" s="155"/>
      <c r="CW339" s="155"/>
      <c r="CX339" s="155"/>
      <c r="CY339" s="155"/>
      <c r="CZ339" s="155"/>
      <c r="DA339" s="155"/>
      <c r="DB339" s="155"/>
      <c r="DC339" s="155"/>
      <c r="DD339" s="155"/>
      <c r="DE339" s="155"/>
      <c r="DF339" s="155"/>
      <c r="DG339" s="155"/>
      <c r="DH339" s="155"/>
      <c r="DI339" s="155"/>
      <c r="DJ339" s="155"/>
      <c r="DK339" s="155"/>
      <c r="DL339" s="155"/>
      <c r="DM339" s="155"/>
      <c r="DN339" s="155"/>
      <c r="DO339" s="155"/>
      <c r="DP339" s="155"/>
      <c r="DQ339" s="155"/>
      <c r="DR339" s="155"/>
      <c r="DS339" s="155"/>
      <c r="DT339" s="155"/>
      <c r="DU339" s="155"/>
      <c r="DV339" s="155"/>
      <c r="DW339" s="155"/>
      <c r="DX339" s="155"/>
    </row>
    <row r="340" spans="1:128" ht="18" customHeight="1">
      <c r="A340" s="155"/>
      <c r="B340" s="155"/>
      <c r="C340" s="155"/>
      <c r="D340" s="155"/>
      <c r="E340" s="49">
        <v>2098</v>
      </c>
      <c r="F340" s="49" t="s">
        <v>1056</v>
      </c>
      <c r="G340" s="158"/>
      <c r="H340" s="155"/>
      <c r="I340" s="270"/>
      <c r="J340" s="270"/>
      <c r="K340" s="270"/>
      <c r="L340" s="270"/>
      <c r="M340" s="270"/>
      <c r="N340" s="270"/>
      <c r="O340" s="155"/>
      <c r="P340" s="155"/>
      <c r="Q340" s="155"/>
      <c r="R340" s="155"/>
      <c r="S340" s="155"/>
      <c r="T340" s="155"/>
      <c r="U340" s="158"/>
      <c r="V340" s="155"/>
      <c r="W340" s="155"/>
      <c r="X340" s="263"/>
      <c r="Y340" s="155"/>
      <c r="Z340" s="155"/>
      <c r="AA340" s="263"/>
      <c r="AB340" s="263"/>
      <c r="AC340" s="155"/>
      <c r="AD340" s="155"/>
      <c r="AE340" s="155"/>
      <c r="AF340" s="155"/>
      <c r="AG340" s="155"/>
      <c r="AH340" s="155"/>
      <c r="AI340" s="155"/>
      <c r="AJ340" s="155"/>
      <c r="AK340" s="155"/>
      <c r="AL340" s="155"/>
      <c r="AM340" s="155"/>
      <c r="AN340" s="155"/>
      <c r="AO340" s="155"/>
      <c r="AP340" s="49"/>
      <c r="AQ340" s="49"/>
      <c r="AR340" s="155"/>
      <c r="AS340" s="155"/>
      <c r="AT340" s="155"/>
      <c r="AU340" s="155"/>
      <c r="AV340" s="155"/>
      <c r="AW340" s="155"/>
      <c r="AX340" s="155"/>
      <c r="AY340" s="155"/>
      <c r="AZ340" s="49"/>
      <c r="BA340" s="49"/>
      <c r="BB340" s="49"/>
      <c r="BC340" s="49"/>
      <c r="BD340" s="49"/>
      <c r="BE340" s="49"/>
      <c r="BF340" s="49"/>
      <c r="BG340" s="49"/>
      <c r="BH340" s="49"/>
      <c r="BI340" s="155"/>
      <c r="BJ340" s="155"/>
      <c r="BK340" s="155"/>
      <c r="BL340" s="49"/>
      <c r="BM340" s="49"/>
      <c r="BN340" s="49"/>
      <c r="BO340" s="49"/>
      <c r="BP340" s="49"/>
      <c r="BQ340" s="49"/>
      <c r="BR340" s="49"/>
      <c r="BS340" s="49"/>
      <c r="BT340" s="271" t="s">
        <v>1046</v>
      </c>
      <c r="BU340" s="280" t="s">
        <v>628</v>
      </c>
      <c r="BV340" s="155">
        <v>0</v>
      </c>
      <c r="BW340" s="49"/>
      <c r="BX340" s="49"/>
      <c r="BY340" s="49"/>
      <c r="BZ340" s="49"/>
      <c r="CA340" s="49"/>
      <c r="CB340" s="49"/>
      <c r="CC340" s="49"/>
      <c r="CD340" s="49"/>
      <c r="CE340" s="49"/>
      <c r="CF340" s="49"/>
      <c r="CG340" s="49"/>
      <c r="CH340" s="49"/>
      <c r="CI340" s="49"/>
      <c r="CJ340" s="49"/>
      <c r="CK340" s="49"/>
      <c r="CL340" s="49"/>
      <c r="CM340" s="49"/>
      <c r="CN340" s="49"/>
      <c r="CO340" s="49"/>
      <c r="CP340" s="49"/>
      <c r="CQ340" s="49"/>
      <c r="CR340" s="49"/>
      <c r="CS340" s="49"/>
      <c r="CT340" s="155"/>
      <c r="CU340" s="155"/>
      <c r="CV340" s="155"/>
      <c r="CW340" s="155"/>
      <c r="CX340" s="155"/>
      <c r="CY340" s="155"/>
      <c r="CZ340" s="155"/>
      <c r="DA340" s="155"/>
      <c r="DB340" s="155"/>
      <c r="DC340" s="155"/>
      <c r="DD340" s="155"/>
      <c r="DE340" s="155"/>
      <c r="DF340" s="155"/>
      <c r="DG340" s="155"/>
      <c r="DH340" s="155"/>
      <c r="DI340" s="155"/>
      <c r="DJ340" s="155"/>
      <c r="DK340" s="155"/>
      <c r="DL340" s="155"/>
      <c r="DM340" s="155"/>
      <c r="DN340" s="155"/>
      <c r="DO340" s="155"/>
      <c r="DP340" s="155"/>
      <c r="DQ340" s="155"/>
      <c r="DR340" s="155"/>
      <c r="DS340" s="155"/>
      <c r="DT340" s="155"/>
      <c r="DU340" s="155"/>
      <c r="DV340" s="155"/>
      <c r="DW340" s="155"/>
      <c r="DX340" s="155"/>
    </row>
    <row r="341" spans="1:128" ht="18" customHeight="1">
      <c r="A341" s="155"/>
      <c r="B341" s="155"/>
      <c r="C341" s="155"/>
      <c r="D341" s="155"/>
      <c r="E341" s="49">
        <v>2099</v>
      </c>
      <c r="F341" s="49" t="s">
        <v>1031</v>
      </c>
      <c r="G341" s="158"/>
      <c r="H341" s="155"/>
      <c r="I341" s="270"/>
      <c r="J341" s="270"/>
      <c r="K341" s="270"/>
      <c r="L341" s="270"/>
      <c r="M341" s="270"/>
      <c r="N341" s="270"/>
      <c r="O341" s="155"/>
      <c r="P341" s="155"/>
      <c r="Q341" s="155"/>
      <c r="R341" s="155"/>
      <c r="S341" s="155"/>
      <c r="T341" s="155"/>
      <c r="U341" s="158"/>
      <c r="V341" s="155"/>
      <c r="W341" s="155"/>
      <c r="X341" s="263"/>
      <c r="Y341" s="155"/>
      <c r="Z341" s="155"/>
      <c r="AA341" s="263"/>
      <c r="AB341" s="263"/>
      <c r="AC341" s="155"/>
      <c r="AD341" s="155"/>
      <c r="AE341" s="155"/>
      <c r="AF341" s="155"/>
      <c r="AG341" s="155"/>
      <c r="AH341" s="155"/>
      <c r="AI341" s="155"/>
      <c r="AJ341" s="155"/>
      <c r="AK341" s="155"/>
      <c r="AL341" s="155"/>
      <c r="AM341" s="155"/>
      <c r="AN341" s="155"/>
      <c r="AO341" s="155"/>
      <c r="AP341" s="49"/>
      <c r="AQ341" s="49"/>
      <c r="AR341" s="155"/>
      <c r="AS341" s="155"/>
      <c r="AT341" s="155"/>
      <c r="AU341" s="155"/>
      <c r="AV341" s="155"/>
      <c r="AW341" s="155"/>
      <c r="AX341" s="155"/>
      <c r="AY341" s="155"/>
      <c r="AZ341" s="49"/>
      <c r="BA341" s="49"/>
      <c r="BB341" s="49"/>
      <c r="BC341" s="49"/>
      <c r="BD341" s="49"/>
      <c r="BE341" s="49"/>
      <c r="BF341" s="49"/>
      <c r="BG341" s="49"/>
      <c r="BH341" s="49"/>
      <c r="BI341" s="155"/>
      <c r="BJ341" s="155"/>
      <c r="BK341" s="155"/>
      <c r="BL341" s="49"/>
      <c r="BM341" s="49"/>
      <c r="BN341" s="49"/>
      <c r="BO341" s="49"/>
      <c r="BP341" s="49"/>
      <c r="BQ341" s="49"/>
      <c r="BR341" s="49"/>
      <c r="BS341" s="49"/>
      <c r="BT341" s="271" t="s">
        <v>1049</v>
      </c>
      <c r="BU341" s="280" t="s">
        <v>628</v>
      </c>
      <c r="BV341" s="155">
        <v>0</v>
      </c>
      <c r="BW341" s="49"/>
      <c r="BX341" s="49"/>
      <c r="BY341" s="49"/>
      <c r="BZ341" s="49"/>
      <c r="CA341" s="49"/>
      <c r="CB341" s="49"/>
      <c r="CC341" s="49"/>
      <c r="CD341" s="49"/>
      <c r="CE341" s="49"/>
      <c r="CF341" s="49"/>
      <c r="CG341" s="49"/>
      <c r="CH341" s="49"/>
      <c r="CI341" s="49"/>
      <c r="CJ341" s="49"/>
      <c r="CK341" s="49"/>
      <c r="CL341" s="49"/>
      <c r="CM341" s="49"/>
      <c r="CN341" s="49"/>
      <c r="CO341" s="49"/>
      <c r="CP341" s="49"/>
      <c r="CQ341" s="49"/>
      <c r="CR341" s="49"/>
      <c r="CS341" s="49"/>
      <c r="CT341" s="155"/>
      <c r="CU341" s="155"/>
      <c r="CV341" s="155"/>
      <c r="CW341" s="155"/>
      <c r="CX341" s="155"/>
      <c r="CY341" s="155"/>
      <c r="CZ341" s="155"/>
      <c r="DA341" s="155"/>
      <c r="DB341" s="155"/>
      <c r="DC341" s="155"/>
      <c r="DD341" s="155"/>
      <c r="DE341" s="155"/>
      <c r="DF341" s="155"/>
      <c r="DG341" s="155"/>
      <c r="DH341" s="155"/>
      <c r="DI341" s="155"/>
      <c r="DJ341" s="155"/>
      <c r="DK341" s="155"/>
      <c r="DL341" s="155"/>
      <c r="DM341" s="155"/>
      <c r="DN341" s="155"/>
      <c r="DO341" s="155"/>
      <c r="DP341" s="155"/>
      <c r="DQ341" s="155"/>
      <c r="DR341" s="155"/>
      <c r="DS341" s="155"/>
      <c r="DT341" s="155"/>
      <c r="DU341" s="155"/>
      <c r="DV341" s="155"/>
      <c r="DW341" s="155"/>
      <c r="DX341" s="155"/>
    </row>
    <row r="342" spans="1:128" ht="18" customHeight="1">
      <c r="A342" s="155"/>
      <c r="B342" s="155"/>
      <c r="C342" s="155"/>
      <c r="D342" s="155"/>
      <c r="E342" s="49">
        <v>2100</v>
      </c>
      <c r="F342" s="49" t="str">
        <f t="shared" ref="F342:F442" si="49">IF(MOD(E342,4)=3,"646566788887","546556778877")</f>
        <v>546556778877</v>
      </c>
      <c r="G342" s="158"/>
      <c r="H342" s="155"/>
      <c r="I342" s="270"/>
      <c r="J342" s="270"/>
      <c r="K342" s="270"/>
      <c r="L342" s="270"/>
      <c r="M342" s="270"/>
      <c r="N342" s="270"/>
      <c r="O342" s="155"/>
      <c r="P342" s="155"/>
      <c r="Q342" s="155"/>
      <c r="R342" s="155"/>
      <c r="S342" s="155"/>
      <c r="T342" s="155"/>
      <c r="U342" s="158"/>
      <c r="V342" s="155"/>
      <c r="W342" s="155"/>
      <c r="X342" s="263"/>
      <c r="Y342" s="155"/>
      <c r="Z342" s="155"/>
      <c r="AA342" s="263"/>
      <c r="AB342" s="263"/>
      <c r="AC342" s="155"/>
      <c r="AD342" s="155"/>
      <c r="AE342" s="155"/>
      <c r="AF342" s="155"/>
      <c r="AG342" s="155"/>
      <c r="AH342" s="155"/>
      <c r="AI342" s="155"/>
      <c r="AJ342" s="155"/>
      <c r="AK342" s="155"/>
      <c r="AL342" s="155"/>
      <c r="AM342" s="155"/>
      <c r="AN342" s="155"/>
      <c r="AO342" s="155"/>
      <c r="AP342" s="49"/>
      <c r="AQ342" s="49"/>
      <c r="AR342" s="155"/>
      <c r="AS342" s="155"/>
      <c r="AT342" s="155"/>
      <c r="AU342" s="155"/>
      <c r="AV342" s="155"/>
      <c r="AW342" s="155"/>
      <c r="AX342" s="155"/>
      <c r="AY342" s="155"/>
      <c r="AZ342" s="49"/>
      <c r="BA342" s="49"/>
      <c r="BB342" s="49"/>
      <c r="BC342" s="49"/>
      <c r="BD342" s="49"/>
      <c r="BE342" s="49"/>
      <c r="BF342" s="49"/>
      <c r="BG342" s="49"/>
      <c r="BH342" s="49"/>
      <c r="BI342" s="155"/>
      <c r="BJ342" s="155"/>
      <c r="BK342" s="155"/>
      <c r="BL342" s="49"/>
      <c r="BM342" s="49"/>
      <c r="BN342" s="49"/>
      <c r="BO342" s="49"/>
      <c r="BP342" s="49"/>
      <c r="BQ342" s="49"/>
      <c r="BR342" s="49"/>
      <c r="BS342" s="49"/>
      <c r="BT342" s="271" t="s">
        <v>1038</v>
      </c>
      <c r="BU342" s="280" t="s">
        <v>660</v>
      </c>
      <c r="BV342" s="155">
        <v>0</v>
      </c>
      <c r="BW342" s="49"/>
      <c r="BX342" s="49"/>
      <c r="BY342" s="49"/>
      <c r="BZ342" s="49"/>
      <c r="CA342" s="49"/>
      <c r="CB342" s="49"/>
      <c r="CC342" s="49"/>
      <c r="CD342" s="49"/>
      <c r="CE342" s="49"/>
      <c r="CF342" s="49"/>
      <c r="CG342" s="49"/>
      <c r="CH342" s="49"/>
      <c r="CI342" s="49"/>
      <c r="CJ342" s="49"/>
      <c r="CK342" s="49"/>
      <c r="CL342" s="49"/>
      <c r="CM342" s="49"/>
      <c r="CN342" s="49"/>
      <c r="CO342" s="49"/>
      <c r="CP342" s="49"/>
      <c r="CQ342" s="49"/>
      <c r="CR342" s="49"/>
      <c r="CS342" s="49"/>
      <c r="CT342" s="155"/>
      <c r="CU342" s="155"/>
      <c r="CV342" s="155"/>
      <c r="CW342" s="155"/>
      <c r="CX342" s="155"/>
      <c r="CY342" s="155"/>
      <c r="CZ342" s="155"/>
      <c r="DA342" s="155"/>
      <c r="DB342" s="155"/>
      <c r="DC342" s="155"/>
      <c r="DD342" s="155"/>
      <c r="DE342" s="155"/>
      <c r="DF342" s="155"/>
      <c r="DG342" s="155"/>
      <c r="DH342" s="155"/>
      <c r="DI342" s="155"/>
      <c r="DJ342" s="155"/>
      <c r="DK342" s="155"/>
      <c r="DL342" s="155"/>
      <c r="DM342" s="155"/>
      <c r="DN342" s="155"/>
      <c r="DO342" s="155"/>
      <c r="DP342" s="155"/>
      <c r="DQ342" s="155"/>
      <c r="DR342" s="155"/>
      <c r="DS342" s="155"/>
      <c r="DT342" s="155"/>
      <c r="DU342" s="155"/>
      <c r="DV342" s="155"/>
      <c r="DW342" s="155"/>
      <c r="DX342" s="155"/>
    </row>
    <row r="343" spans="1:128" ht="18" customHeight="1">
      <c r="A343" s="155"/>
      <c r="B343" s="155"/>
      <c r="C343" s="155"/>
      <c r="D343" s="155"/>
      <c r="E343" s="49">
        <v>2101</v>
      </c>
      <c r="F343" s="49" t="str">
        <f t="shared" si="49"/>
        <v>546556778877</v>
      </c>
      <c r="G343" s="158"/>
      <c r="H343" s="155"/>
      <c r="I343" s="270"/>
      <c r="J343" s="270"/>
      <c r="K343" s="270"/>
      <c r="L343" s="270"/>
      <c r="M343" s="270"/>
      <c r="N343" s="270"/>
      <c r="O343" s="155"/>
      <c r="P343" s="155"/>
      <c r="Q343" s="155"/>
      <c r="R343" s="155"/>
      <c r="S343" s="155"/>
      <c r="T343" s="155"/>
      <c r="U343" s="158"/>
      <c r="V343" s="155"/>
      <c r="W343" s="155"/>
      <c r="X343" s="263"/>
      <c r="Y343" s="155"/>
      <c r="Z343" s="155"/>
      <c r="AA343" s="263"/>
      <c r="AB343" s="263"/>
      <c r="AC343" s="155"/>
      <c r="AD343" s="155"/>
      <c r="AE343" s="155"/>
      <c r="AF343" s="155"/>
      <c r="AG343" s="155"/>
      <c r="AH343" s="155"/>
      <c r="AI343" s="155"/>
      <c r="AJ343" s="155"/>
      <c r="AK343" s="155"/>
      <c r="AL343" s="155"/>
      <c r="AM343" s="155"/>
      <c r="AN343" s="155"/>
      <c r="AO343" s="155"/>
      <c r="AP343" s="49"/>
      <c r="AQ343" s="49"/>
      <c r="AR343" s="155"/>
      <c r="AS343" s="155"/>
      <c r="AT343" s="155"/>
      <c r="AU343" s="155"/>
      <c r="AV343" s="155"/>
      <c r="AW343" s="155"/>
      <c r="AX343" s="155"/>
      <c r="AY343" s="155"/>
      <c r="AZ343" s="49"/>
      <c r="BA343" s="49"/>
      <c r="BB343" s="49"/>
      <c r="BC343" s="49"/>
      <c r="BD343" s="49"/>
      <c r="BE343" s="49"/>
      <c r="BF343" s="49"/>
      <c r="BG343" s="49"/>
      <c r="BH343" s="49"/>
      <c r="BI343" s="155"/>
      <c r="BJ343" s="155"/>
      <c r="BK343" s="155"/>
      <c r="BL343" s="49"/>
      <c r="BM343" s="49"/>
      <c r="BN343" s="49"/>
      <c r="BO343" s="49"/>
      <c r="BP343" s="49"/>
      <c r="BQ343" s="49"/>
      <c r="BR343" s="49"/>
      <c r="BS343" s="49"/>
      <c r="BT343" s="271" t="s">
        <v>1050</v>
      </c>
      <c r="BU343" s="280" t="s">
        <v>645</v>
      </c>
      <c r="BV343" s="155">
        <v>1</v>
      </c>
      <c r="BW343" s="49"/>
      <c r="BX343" s="49"/>
      <c r="BY343" s="49"/>
      <c r="BZ343" s="49"/>
      <c r="CA343" s="49"/>
      <c r="CB343" s="49"/>
      <c r="CC343" s="49"/>
      <c r="CD343" s="49"/>
      <c r="CE343" s="49"/>
      <c r="CF343" s="49"/>
      <c r="CG343" s="49"/>
      <c r="CH343" s="49"/>
      <c r="CI343" s="49"/>
      <c r="CJ343" s="49"/>
      <c r="CK343" s="49"/>
      <c r="CL343" s="49"/>
      <c r="CM343" s="49"/>
      <c r="CN343" s="49"/>
      <c r="CO343" s="49"/>
      <c r="CP343" s="49"/>
      <c r="CQ343" s="49"/>
      <c r="CR343" s="49"/>
      <c r="CS343" s="49"/>
      <c r="CT343" s="155"/>
      <c r="CU343" s="155"/>
      <c r="CV343" s="155"/>
      <c r="CW343" s="155"/>
      <c r="CX343" s="155"/>
      <c r="CY343" s="155"/>
      <c r="CZ343" s="155"/>
      <c r="DA343" s="155"/>
      <c r="DB343" s="155"/>
      <c r="DC343" s="155"/>
      <c r="DD343" s="155"/>
      <c r="DE343" s="155"/>
      <c r="DF343" s="155"/>
      <c r="DG343" s="155"/>
      <c r="DH343" s="155"/>
      <c r="DI343" s="155"/>
      <c r="DJ343" s="155"/>
      <c r="DK343" s="155"/>
      <c r="DL343" s="155"/>
      <c r="DM343" s="155"/>
      <c r="DN343" s="155"/>
      <c r="DO343" s="155"/>
      <c r="DP343" s="155"/>
      <c r="DQ343" s="155"/>
      <c r="DR343" s="155"/>
      <c r="DS343" s="155"/>
      <c r="DT343" s="155"/>
      <c r="DU343" s="155"/>
      <c r="DV343" s="155"/>
      <c r="DW343" s="155"/>
      <c r="DX343" s="155"/>
    </row>
    <row r="344" spans="1:128" ht="18" customHeight="1">
      <c r="A344" s="155"/>
      <c r="B344" s="155"/>
      <c r="C344" s="155"/>
      <c r="D344" s="155"/>
      <c r="E344" s="49">
        <v>2102</v>
      </c>
      <c r="F344" s="49" t="str">
        <f t="shared" si="49"/>
        <v>546556778877</v>
      </c>
      <c r="G344" s="158"/>
      <c r="H344" s="155"/>
      <c r="I344" s="270"/>
      <c r="J344" s="270"/>
      <c r="K344" s="270"/>
      <c r="L344" s="270"/>
      <c r="M344" s="270"/>
      <c r="N344" s="270"/>
      <c r="O344" s="155"/>
      <c r="P344" s="155"/>
      <c r="Q344" s="155"/>
      <c r="R344" s="155"/>
      <c r="S344" s="155"/>
      <c r="T344" s="155"/>
      <c r="U344" s="158"/>
      <c r="V344" s="155"/>
      <c r="W344" s="155"/>
      <c r="X344" s="263"/>
      <c r="Y344" s="155"/>
      <c r="Z344" s="155"/>
      <c r="AA344" s="263"/>
      <c r="AB344" s="263"/>
      <c r="AC344" s="155"/>
      <c r="AD344" s="155"/>
      <c r="AE344" s="155"/>
      <c r="AF344" s="155"/>
      <c r="AG344" s="155"/>
      <c r="AH344" s="155"/>
      <c r="AI344" s="155"/>
      <c r="AJ344" s="155"/>
      <c r="AK344" s="155"/>
      <c r="AL344" s="155"/>
      <c r="AM344" s="155"/>
      <c r="AN344" s="155"/>
      <c r="AO344" s="155"/>
      <c r="AP344" s="49"/>
      <c r="AQ344" s="49"/>
      <c r="AR344" s="155"/>
      <c r="AS344" s="155"/>
      <c r="AT344" s="155"/>
      <c r="AU344" s="155"/>
      <c r="AV344" s="155"/>
      <c r="AW344" s="155"/>
      <c r="AX344" s="155"/>
      <c r="AY344" s="155"/>
      <c r="AZ344" s="49"/>
      <c r="BA344" s="49"/>
      <c r="BB344" s="49"/>
      <c r="BC344" s="49"/>
      <c r="BD344" s="49"/>
      <c r="BE344" s="49"/>
      <c r="BF344" s="49"/>
      <c r="BG344" s="49"/>
      <c r="BH344" s="49"/>
      <c r="BI344" s="155"/>
      <c r="BJ344" s="155"/>
      <c r="BK344" s="155"/>
      <c r="BL344" s="49"/>
      <c r="BM344" s="49"/>
      <c r="BN344" s="49"/>
      <c r="BO344" s="49"/>
      <c r="BP344" s="49"/>
      <c r="BQ344" s="49"/>
      <c r="BR344" s="49"/>
      <c r="BS344" s="49"/>
      <c r="BT344" s="271" t="s">
        <v>1025</v>
      </c>
      <c r="BU344" s="280" t="s">
        <v>645</v>
      </c>
      <c r="BV344" s="155">
        <v>0</v>
      </c>
      <c r="BW344" s="49"/>
      <c r="BX344" s="49"/>
      <c r="BY344" s="49"/>
      <c r="BZ344" s="49"/>
      <c r="CA344" s="49"/>
      <c r="CB344" s="49"/>
      <c r="CC344" s="49"/>
      <c r="CD344" s="49"/>
      <c r="CE344" s="49"/>
      <c r="CF344" s="49"/>
      <c r="CG344" s="49"/>
      <c r="CH344" s="49"/>
      <c r="CI344" s="49"/>
      <c r="CJ344" s="49"/>
      <c r="CK344" s="49"/>
      <c r="CL344" s="49"/>
      <c r="CM344" s="49"/>
      <c r="CN344" s="49"/>
      <c r="CO344" s="49"/>
      <c r="CP344" s="49"/>
      <c r="CQ344" s="49"/>
      <c r="CR344" s="49"/>
      <c r="CS344" s="49"/>
      <c r="CT344" s="155"/>
      <c r="CU344" s="155"/>
      <c r="CV344" s="155"/>
      <c r="CW344" s="155"/>
      <c r="CX344" s="155"/>
      <c r="CY344" s="155"/>
      <c r="CZ344" s="155"/>
      <c r="DA344" s="155"/>
      <c r="DB344" s="155"/>
      <c r="DC344" s="155"/>
      <c r="DD344" s="155"/>
      <c r="DE344" s="155"/>
      <c r="DF344" s="155"/>
      <c r="DG344" s="155"/>
      <c r="DH344" s="155"/>
      <c r="DI344" s="155"/>
      <c r="DJ344" s="155"/>
      <c r="DK344" s="155"/>
      <c r="DL344" s="155"/>
      <c r="DM344" s="155"/>
      <c r="DN344" s="155"/>
      <c r="DO344" s="155"/>
      <c r="DP344" s="155"/>
      <c r="DQ344" s="155"/>
      <c r="DR344" s="155"/>
      <c r="DS344" s="155"/>
      <c r="DT344" s="155"/>
      <c r="DU344" s="155"/>
      <c r="DV344" s="155"/>
      <c r="DW344" s="155"/>
      <c r="DX344" s="155"/>
    </row>
    <row r="345" spans="1:128" ht="18" customHeight="1">
      <c r="A345" s="155"/>
      <c r="B345" s="155"/>
      <c r="C345" s="155"/>
      <c r="D345" s="155"/>
      <c r="E345" s="49">
        <v>2103</v>
      </c>
      <c r="F345" s="49" t="str">
        <f t="shared" si="49"/>
        <v>646566788887</v>
      </c>
      <c r="G345" s="158"/>
      <c r="H345" s="155"/>
      <c r="I345" s="270"/>
      <c r="J345" s="270"/>
      <c r="K345" s="270"/>
      <c r="L345" s="270"/>
      <c r="M345" s="270"/>
      <c r="N345" s="270"/>
      <c r="O345" s="155"/>
      <c r="P345" s="155"/>
      <c r="Q345" s="155"/>
      <c r="R345" s="155"/>
      <c r="S345" s="155"/>
      <c r="T345" s="155"/>
      <c r="U345" s="158"/>
      <c r="V345" s="155"/>
      <c r="W345" s="155"/>
      <c r="X345" s="263"/>
      <c r="Y345" s="155"/>
      <c r="Z345" s="155"/>
      <c r="AA345" s="263"/>
      <c r="AB345" s="263"/>
      <c r="AC345" s="155"/>
      <c r="AD345" s="155"/>
      <c r="AE345" s="155"/>
      <c r="AF345" s="155"/>
      <c r="AG345" s="155"/>
      <c r="AH345" s="155"/>
      <c r="AI345" s="155"/>
      <c r="AJ345" s="155"/>
      <c r="AK345" s="155"/>
      <c r="AL345" s="155"/>
      <c r="AM345" s="155"/>
      <c r="AN345" s="155"/>
      <c r="AO345" s="155"/>
      <c r="AP345" s="49"/>
      <c r="AQ345" s="49"/>
      <c r="AR345" s="155"/>
      <c r="AS345" s="155"/>
      <c r="AT345" s="155"/>
      <c r="AU345" s="155"/>
      <c r="AV345" s="155"/>
      <c r="AW345" s="155"/>
      <c r="AX345" s="155"/>
      <c r="AY345" s="155"/>
      <c r="AZ345" s="49"/>
      <c r="BA345" s="49"/>
      <c r="BB345" s="49"/>
      <c r="BC345" s="49"/>
      <c r="BD345" s="49"/>
      <c r="BE345" s="49"/>
      <c r="BF345" s="49"/>
      <c r="BG345" s="49"/>
      <c r="BH345" s="49"/>
      <c r="BI345" s="155"/>
      <c r="BJ345" s="155"/>
      <c r="BK345" s="155"/>
      <c r="BL345" s="49"/>
      <c r="BM345" s="49"/>
      <c r="BN345" s="49"/>
      <c r="BO345" s="49"/>
      <c r="BP345" s="49"/>
      <c r="BQ345" s="49"/>
      <c r="BR345" s="49"/>
      <c r="BS345" s="49"/>
      <c r="BT345" s="271" t="s">
        <v>1051</v>
      </c>
      <c r="BU345" s="280" t="s">
        <v>660</v>
      </c>
      <c r="BV345" s="155">
        <v>1</v>
      </c>
      <c r="BW345" s="49"/>
      <c r="BX345" s="49"/>
      <c r="BY345" s="49"/>
      <c r="BZ345" s="49"/>
      <c r="CA345" s="49"/>
      <c r="CB345" s="49"/>
      <c r="CC345" s="49"/>
      <c r="CD345" s="49"/>
      <c r="CE345" s="49"/>
      <c r="CF345" s="49"/>
      <c r="CG345" s="49"/>
      <c r="CH345" s="49"/>
      <c r="CI345" s="49"/>
      <c r="CJ345" s="49"/>
      <c r="CK345" s="49"/>
      <c r="CL345" s="49"/>
      <c r="CM345" s="49"/>
      <c r="CN345" s="49"/>
      <c r="CO345" s="49"/>
      <c r="CP345" s="49"/>
      <c r="CQ345" s="49"/>
      <c r="CR345" s="49"/>
      <c r="CS345" s="49"/>
      <c r="CT345" s="155"/>
      <c r="CU345" s="155"/>
      <c r="CV345" s="155"/>
      <c r="CW345" s="155"/>
      <c r="CX345" s="155"/>
      <c r="CY345" s="155"/>
      <c r="CZ345" s="155"/>
      <c r="DA345" s="155"/>
      <c r="DB345" s="155"/>
      <c r="DC345" s="155"/>
      <c r="DD345" s="155"/>
      <c r="DE345" s="155"/>
      <c r="DF345" s="155"/>
      <c r="DG345" s="155"/>
      <c r="DH345" s="155"/>
      <c r="DI345" s="155"/>
      <c r="DJ345" s="155"/>
      <c r="DK345" s="155"/>
      <c r="DL345" s="155"/>
      <c r="DM345" s="155"/>
      <c r="DN345" s="155"/>
      <c r="DO345" s="155"/>
      <c r="DP345" s="155"/>
      <c r="DQ345" s="155"/>
      <c r="DR345" s="155"/>
      <c r="DS345" s="155"/>
      <c r="DT345" s="155"/>
      <c r="DU345" s="155"/>
      <c r="DV345" s="155"/>
      <c r="DW345" s="155"/>
      <c r="DX345" s="155"/>
    </row>
    <row r="346" spans="1:128" ht="18" customHeight="1">
      <c r="A346" s="155"/>
      <c r="B346" s="155"/>
      <c r="C346" s="155"/>
      <c r="D346" s="155"/>
      <c r="E346" s="49">
        <v>2104</v>
      </c>
      <c r="F346" s="49" t="str">
        <f t="shared" si="49"/>
        <v>546556778877</v>
      </c>
      <c r="G346" s="158"/>
      <c r="H346" s="155"/>
      <c r="I346" s="270"/>
      <c r="J346" s="270"/>
      <c r="K346" s="270"/>
      <c r="L346" s="270"/>
      <c r="M346" s="270"/>
      <c r="N346" s="270"/>
      <c r="O346" s="155"/>
      <c r="P346" s="155"/>
      <c r="Q346" s="155"/>
      <c r="R346" s="155"/>
      <c r="S346" s="155"/>
      <c r="T346" s="155"/>
      <c r="U346" s="158"/>
      <c r="V346" s="155"/>
      <c r="W346" s="155"/>
      <c r="X346" s="263"/>
      <c r="Y346" s="155"/>
      <c r="Z346" s="155"/>
      <c r="AA346" s="263"/>
      <c r="AB346" s="263"/>
      <c r="AC346" s="155"/>
      <c r="AD346" s="155"/>
      <c r="AE346" s="155"/>
      <c r="AF346" s="155"/>
      <c r="AG346" s="155"/>
      <c r="AH346" s="155"/>
      <c r="AI346" s="155"/>
      <c r="AJ346" s="155"/>
      <c r="AK346" s="155"/>
      <c r="AL346" s="155"/>
      <c r="AM346" s="155"/>
      <c r="AN346" s="155"/>
      <c r="AO346" s="155"/>
      <c r="AP346" s="49"/>
      <c r="AQ346" s="49"/>
      <c r="AR346" s="155"/>
      <c r="AS346" s="155"/>
      <c r="AT346" s="155"/>
      <c r="AU346" s="155"/>
      <c r="AV346" s="155"/>
      <c r="AW346" s="155"/>
      <c r="AX346" s="155"/>
      <c r="AY346" s="155"/>
      <c r="AZ346" s="49"/>
      <c r="BA346" s="49"/>
      <c r="BB346" s="49"/>
      <c r="BC346" s="49"/>
      <c r="BD346" s="49"/>
      <c r="BE346" s="49"/>
      <c r="BF346" s="49"/>
      <c r="BG346" s="49"/>
      <c r="BH346" s="49"/>
      <c r="BI346" s="155"/>
      <c r="BJ346" s="155"/>
      <c r="BK346" s="155"/>
      <c r="BL346" s="49"/>
      <c r="BM346" s="49"/>
      <c r="BN346" s="49"/>
      <c r="BO346" s="49"/>
      <c r="BP346" s="49"/>
      <c r="BQ346" s="49"/>
      <c r="BR346" s="49"/>
      <c r="BS346" s="49"/>
      <c r="BT346" s="271" t="s">
        <v>1001</v>
      </c>
      <c r="BU346" s="280" t="s">
        <v>622</v>
      </c>
      <c r="BV346" s="155">
        <v>1</v>
      </c>
      <c r="BW346" s="49"/>
      <c r="BX346" s="49"/>
      <c r="BY346" s="49"/>
      <c r="BZ346" s="49"/>
      <c r="CA346" s="49"/>
      <c r="CB346" s="49"/>
      <c r="CC346" s="49"/>
      <c r="CD346" s="49"/>
      <c r="CE346" s="49"/>
      <c r="CF346" s="49"/>
      <c r="CG346" s="49"/>
      <c r="CH346" s="49"/>
      <c r="CI346" s="49"/>
      <c r="CJ346" s="49"/>
      <c r="CK346" s="49"/>
      <c r="CL346" s="49"/>
      <c r="CM346" s="49"/>
      <c r="CN346" s="49"/>
      <c r="CO346" s="49"/>
      <c r="CP346" s="49"/>
      <c r="CQ346" s="49"/>
      <c r="CR346" s="49"/>
      <c r="CS346" s="49"/>
      <c r="CT346" s="155"/>
      <c r="CU346" s="155"/>
      <c r="CV346" s="155"/>
      <c r="CW346" s="155"/>
      <c r="CX346" s="155"/>
      <c r="CY346" s="155"/>
      <c r="CZ346" s="155"/>
      <c r="DA346" s="155"/>
      <c r="DB346" s="155"/>
      <c r="DC346" s="155"/>
      <c r="DD346" s="155"/>
      <c r="DE346" s="155"/>
      <c r="DF346" s="155"/>
      <c r="DG346" s="155"/>
      <c r="DH346" s="155"/>
      <c r="DI346" s="155"/>
      <c r="DJ346" s="155"/>
      <c r="DK346" s="155"/>
      <c r="DL346" s="155"/>
      <c r="DM346" s="155"/>
      <c r="DN346" s="155"/>
      <c r="DO346" s="155"/>
      <c r="DP346" s="155"/>
      <c r="DQ346" s="155"/>
      <c r="DR346" s="155"/>
      <c r="DS346" s="155"/>
      <c r="DT346" s="155"/>
      <c r="DU346" s="155"/>
      <c r="DV346" s="155"/>
      <c r="DW346" s="155"/>
      <c r="DX346" s="155"/>
    </row>
    <row r="347" spans="1:128" ht="18" customHeight="1">
      <c r="A347" s="155"/>
      <c r="B347" s="155"/>
      <c r="C347" s="155"/>
      <c r="D347" s="155"/>
      <c r="E347" s="49">
        <v>2105</v>
      </c>
      <c r="F347" s="49" t="str">
        <f t="shared" si="49"/>
        <v>546556778877</v>
      </c>
      <c r="G347" s="158"/>
      <c r="H347" s="155"/>
      <c r="I347" s="270"/>
      <c r="J347" s="270"/>
      <c r="K347" s="270"/>
      <c r="L347" s="270"/>
      <c r="M347" s="270"/>
      <c r="N347" s="270"/>
      <c r="O347" s="155"/>
      <c r="P347" s="155"/>
      <c r="Q347" s="155"/>
      <c r="R347" s="155"/>
      <c r="S347" s="155"/>
      <c r="T347" s="155"/>
      <c r="U347" s="158"/>
      <c r="V347" s="155"/>
      <c r="W347" s="155"/>
      <c r="X347" s="263"/>
      <c r="Y347" s="155"/>
      <c r="Z347" s="155"/>
      <c r="AA347" s="263"/>
      <c r="AB347" s="263"/>
      <c r="AC347" s="155"/>
      <c r="AD347" s="155"/>
      <c r="AE347" s="155"/>
      <c r="AF347" s="155"/>
      <c r="AG347" s="155"/>
      <c r="AH347" s="155"/>
      <c r="AI347" s="155"/>
      <c r="AJ347" s="155"/>
      <c r="AK347" s="155"/>
      <c r="AL347" s="155"/>
      <c r="AM347" s="155"/>
      <c r="AN347" s="155"/>
      <c r="AO347" s="155"/>
      <c r="AP347" s="49"/>
      <c r="AQ347" s="49"/>
      <c r="AR347" s="155"/>
      <c r="AS347" s="155"/>
      <c r="AT347" s="155"/>
      <c r="AU347" s="155"/>
      <c r="AV347" s="155"/>
      <c r="AW347" s="155"/>
      <c r="AX347" s="155"/>
      <c r="AY347" s="155"/>
      <c r="AZ347" s="49"/>
      <c r="BA347" s="49"/>
      <c r="BB347" s="49"/>
      <c r="BC347" s="49"/>
      <c r="BD347" s="49"/>
      <c r="BE347" s="49"/>
      <c r="BF347" s="49"/>
      <c r="BG347" s="49"/>
      <c r="BH347" s="49"/>
      <c r="BI347" s="155"/>
      <c r="BJ347" s="155"/>
      <c r="BK347" s="155"/>
      <c r="BL347" s="49"/>
      <c r="BM347" s="49"/>
      <c r="BN347" s="49"/>
      <c r="BO347" s="49"/>
      <c r="BP347" s="49"/>
      <c r="BQ347" s="49"/>
      <c r="BR347" s="49"/>
      <c r="BS347" s="49"/>
      <c r="BT347" s="271" t="s">
        <v>1052</v>
      </c>
      <c r="BU347" s="280" t="s">
        <v>622</v>
      </c>
      <c r="BV347" s="155">
        <v>0</v>
      </c>
      <c r="BW347" s="49"/>
      <c r="BX347" s="49"/>
      <c r="BY347" s="49"/>
      <c r="BZ347" s="49"/>
      <c r="CA347" s="49"/>
      <c r="CB347" s="49"/>
      <c r="CC347" s="49"/>
      <c r="CD347" s="49"/>
      <c r="CE347" s="49"/>
      <c r="CF347" s="49"/>
      <c r="CG347" s="49"/>
      <c r="CH347" s="49"/>
      <c r="CI347" s="49"/>
      <c r="CJ347" s="49"/>
      <c r="CK347" s="49"/>
      <c r="CL347" s="49"/>
      <c r="CM347" s="49"/>
      <c r="CN347" s="49"/>
      <c r="CO347" s="49"/>
      <c r="CP347" s="49"/>
      <c r="CQ347" s="49"/>
      <c r="CR347" s="49"/>
      <c r="CS347" s="49"/>
      <c r="CT347" s="155"/>
      <c r="CU347" s="155"/>
      <c r="CV347" s="155"/>
      <c r="CW347" s="155"/>
      <c r="CX347" s="155"/>
      <c r="CY347" s="155"/>
      <c r="CZ347" s="155"/>
      <c r="DA347" s="155"/>
      <c r="DB347" s="155"/>
      <c r="DC347" s="155"/>
      <c r="DD347" s="155"/>
      <c r="DE347" s="155"/>
      <c r="DF347" s="155"/>
      <c r="DG347" s="155"/>
      <c r="DH347" s="155"/>
      <c r="DI347" s="155"/>
      <c r="DJ347" s="155"/>
      <c r="DK347" s="155"/>
      <c r="DL347" s="155"/>
      <c r="DM347" s="155"/>
      <c r="DN347" s="155"/>
      <c r="DO347" s="155"/>
      <c r="DP347" s="155"/>
      <c r="DQ347" s="155"/>
      <c r="DR347" s="155"/>
      <c r="DS347" s="155"/>
      <c r="DT347" s="155"/>
      <c r="DU347" s="155"/>
      <c r="DV347" s="155"/>
      <c r="DW347" s="155"/>
      <c r="DX347" s="155"/>
    </row>
    <row r="348" spans="1:128" ht="18" customHeight="1">
      <c r="A348" s="155"/>
      <c r="B348" s="155"/>
      <c r="C348" s="155"/>
      <c r="D348" s="155"/>
      <c r="E348" s="49">
        <v>2106</v>
      </c>
      <c r="F348" s="49" t="str">
        <f t="shared" si="49"/>
        <v>546556778877</v>
      </c>
      <c r="G348" s="158"/>
      <c r="H348" s="155"/>
      <c r="I348" s="270"/>
      <c r="J348" s="270"/>
      <c r="K348" s="270"/>
      <c r="L348" s="270"/>
      <c r="M348" s="270"/>
      <c r="N348" s="270"/>
      <c r="O348" s="155"/>
      <c r="P348" s="155"/>
      <c r="Q348" s="155"/>
      <c r="R348" s="155"/>
      <c r="S348" s="155"/>
      <c r="T348" s="155"/>
      <c r="U348" s="158"/>
      <c r="V348" s="155"/>
      <c r="W348" s="155"/>
      <c r="X348" s="263"/>
      <c r="Y348" s="155"/>
      <c r="Z348" s="155"/>
      <c r="AA348" s="263"/>
      <c r="AB348" s="263"/>
      <c r="AC348" s="155"/>
      <c r="AD348" s="155"/>
      <c r="AE348" s="155"/>
      <c r="AF348" s="155"/>
      <c r="AG348" s="155"/>
      <c r="AH348" s="155"/>
      <c r="AI348" s="155"/>
      <c r="AJ348" s="155"/>
      <c r="AK348" s="155"/>
      <c r="AL348" s="155"/>
      <c r="AM348" s="155"/>
      <c r="AN348" s="155"/>
      <c r="AO348" s="155"/>
      <c r="AP348" s="49"/>
      <c r="AQ348" s="49"/>
      <c r="AR348" s="155"/>
      <c r="AS348" s="155"/>
      <c r="AT348" s="155"/>
      <c r="AU348" s="155"/>
      <c r="AV348" s="155"/>
      <c r="AW348" s="155"/>
      <c r="AX348" s="155"/>
      <c r="AY348" s="155"/>
      <c r="AZ348" s="49"/>
      <c r="BA348" s="49"/>
      <c r="BB348" s="49"/>
      <c r="BC348" s="49"/>
      <c r="BD348" s="49"/>
      <c r="BE348" s="49"/>
      <c r="BF348" s="49"/>
      <c r="BG348" s="49"/>
      <c r="BH348" s="49"/>
      <c r="BI348" s="155"/>
      <c r="BJ348" s="155"/>
      <c r="BK348" s="155"/>
      <c r="BL348" s="49"/>
      <c r="BM348" s="49"/>
      <c r="BN348" s="49"/>
      <c r="BO348" s="49"/>
      <c r="BP348" s="49"/>
      <c r="BQ348" s="49"/>
      <c r="BR348" s="49"/>
      <c r="BS348" s="49"/>
      <c r="BT348" s="271" t="s">
        <v>960</v>
      </c>
      <c r="BU348" s="280" t="s">
        <v>660</v>
      </c>
      <c r="BV348" s="155">
        <v>0</v>
      </c>
      <c r="BW348" s="49"/>
      <c r="BX348" s="49"/>
      <c r="BY348" s="49"/>
      <c r="BZ348" s="49"/>
      <c r="CA348" s="49"/>
      <c r="CB348" s="49"/>
      <c r="CC348" s="49"/>
      <c r="CD348" s="49"/>
      <c r="CE348" s="49"/>
      <c r="CF348" s="49"/>
      <c r="CG348" s="49"/>
      <c r="CH348" s="49"/>
      <c r="CI348" s="49"/>
      <c r="CJ348" s="49"/>
      <c r="CK348" s="49"/>
      <c r="CL348" s="49"/>
      <c r="CM348" s="49"/>
      <c r="CN348" s="49"/>
      <c r="CO348" s="49"/>
      <c r="CP348" s="49"/>
      <c r="CQ348" s="49"/>
      <c r="CR348" s="49"/>
      <c r="CS348" s="49"/>
      <c r="CT348" s="155"/>
      <c r="CU348" s="155"/>
      <c r="CV348" s="155"/>
      <c r="CW348" s="155"/>
      <c r="CX348" s="155"/>
      <c r="CY348" s="155"/>
      <c r="CZ348" s="155"/>
      <c r="DA348" s="155"/>
      <c r="DB348" s="155"/>
      <c r="DC348" s="155"/>
      <c r="DD348" s="155"/>
      <c r="DE348" s="155"/>
      <c r="DF348" s="155"/>
      <c r="DG348" s="155"/>
      <c r="DH348" s="155"/>
      <c r="DI348" s="155"/>
      <c r="DJ348" s="155"/>
      <c r="DK348" s="155"/>
      <c r="DL348" s="155"/>
      <c r="DM348" s="155"/>
      <c r="DN348" s="155"/>
      <c r="DO348" s="155"/>
      <c r="DP348" s="155"/>
      <c r="DQ348" s="155"/>
      <c r="DR348" s="155"/>
      <c r="DS348" s="155"/>
      <c r="DT348" s="155"/>
      <c r="DU348" s="155"/>
      <c r="DV348" s="155"/>
      <c r="DW348" s="155"/>
      <c r="DX348" s="155"/>
    </row>
    <row r="349" spans="1:128" ht="18" customHeight="1">
      <c r="A349" s="155"/>
      <c r="B349" s="155"/>
      <c r="C349" s="155"/>
      <c r="D349" s="155"/>
      <c r="E349" s="49">
        <v>2107</v>
      </c>
      <c r="F349" s="49" t="str">
        <f t="shared" si="49"/>
        <v>646566788887</v>
      </c>
      <c r="G349" s="158"/>
      <c r="H349" s="155"/>
      <c r="I349" s="270"/>
      <c r="J349" s="270"/>
      <c r="K349" s="270"/>
      <c r="L349" s="270"/>
      <c r="M349" s="270"/>
      <c r="N349" s="270"/>
      <c r="O349" s="155"/>
      <c r="P349" s="155"/>
      <c r="Q349" s="155"/>
      <c r="R349" s="155"/>
      <c r="S349" s="155"/>
      <c r="T349" s="155"/>
      <c r="U349" s="158"/>
      <c r="V349" s="155"/>
      <c r="W349" s="155"/>
      <c r="X349" s="263"/>
      <c r="Y349" s="155"/>
      <c r="Z349" s="155"/>
      <c r="AA349" s="263"/>
      <c r="AB349" s="263"/>
      <c r="AC349" s="155"/>
      <c r="AD349" s="155"/>
      <c r="AE349" s="155"/>
      <c r="AF349" s="155"/>
      <c r="AG349" s="155"/>
      <c r="AH349" s="155"/>
      <c r="AI349" s="155"/>
      <c r="AJ349" s="155"/>
      <c r="AK349" s="155"/>
      <c r="AL349" s="155"/>
      <c r="AM349" s="155"/>
      <c r="AN349" s="155"/>
      <c r="AO349" s="155"/>
      <c r="AP349" s="49"/>
      <c r="AQ349" s="49"/>
      <c r="AR349" s="155"/>
      <c r="AS349" s="155"/>
      <c r="AT349" s="155"/>
      <c r="AU349" s="155"/>
      <c r="AV349" s="155"/>
      <c r="AW349" s="155"/>
      <c r="AX349" s="155"/>
      <c r="AY349" s="155"/>
      <c r="AZ349" s="49"/>
      <c r="BA349" s="49"/>
      <c r="BB349" s="49"/>
      <c r="BC349" s="49"/>
      <c r="BD349" s="49"/>
      <c r="BE349" s="49"/>
      <c r="BF349" s="49"/>
      <c r="BG349" s="49"/>
      <c r="BH349" s="49"/>
      <c r="BI349" s="155"/>
      <c r="BJ349" s="155"/>
      <c r="BK349" s="155"/>
      <c r="BL349" s="49"/>
      <c r="BM349" s="49"/>
      <c r="BN349" s="49"/>
      <c r="BO349" s="49"/>
      <c r="BP349" s="49"/>
      <c r="BQ349" s="49"/>
      <c r="BR349" s="49"/>
      <c r="BS349" s="49"/>
      <c r="BT349" s="49"/>
      <c r="BU349" s="49"/>
      <c r="BV349" s="49"/>
      <c r="BW349" s="49"/>
      <c r="BX349" s="49"/>
      <c r="BY349" s="49"/>
      <c r="BZ349" s="49"/>
      <c r="CA349" s="49"/>
      <c r="CB349" s="49"/>
      <c r="CC349" s="49"/>
      <c r="CD349" s="49"/>
      <c r="CE349" s="49"/>
      <c r="CF349" s="49"/>
      <c r="CG349" s="49"/>
      <c r="CH349" s="49"/>
      <c r="CI349" s="49"/>
      <c r="CJ349" s="49"/>
      <c r="CK349" s="49"/>
      <c r="CL349" s="49"/>
      <c r="CM349" s="49"/>
      <c r="CN349" s="49"/>
      <c r="CO349" s="49"/>
      <c r="CP349" s="49"/>
      <c r="CQ349" s="49"/>
      <c r="CR349" s="49"/>
      <c r="CS349" s="49"/>
      <c r="CT349" s="155"/>
      <c r="CU349" s="155"/>
      <c r="CV349" s="155"/>
      <c r="CW349" s="155"/>
      <c r="CX349" s="155"/>
      <c r="CY349" s="155"/>
      <c r="CZ349" s="155"/>
      <c r="DA349" s="155"/>
      <c r="DB349" s="155"/>
      <c r="DC349" s="155"/>
      <c r="DD349" s="155"/>
      <c r="DE349" s="155"/>
      <c r="DF349" s="155"/>
      <c r="DG349" s="155"/>
      <c r="DH349" s="155"/>
      <c r="DI349" s="155"/>
      <c r="DJ349" s="155"/>
      <c r="DK349" s="155"/>
      <c r="DL349" s="155"/>
      <c r="DM349" s="155"/>
      <c r="DN349" s="155"/>
      <c r="DO349" s="155"/>
      <c r="DP349" s="155"/>
      <c r="DQ349" s="155"/>
      <c r="DR349" s="155"/>
      <c r="DS349" s="155"/>
      <c r="DT349" s="155"/>
      <c r="DU349" s="155"/>
      <c r="DV349" s="155"/>
      <c r="DW349" s="155"/>
      <c r="DX349" s="155"/>
    </row>
    <row r="350" spans="1:128" ht="18" customHeight="1">
      <c r="A350" s="155"/>
      <c r="B350" s="155"/>
      <c r="C350" s="155"/>
      <c r="D350" s="155"/>
      <c r="E350" s="49">
        <v>2108</v>
      </c>
      <c r="F350" s="49" t="str">
        <f t="shared" si="49"/>
        <v>546556778877</v>
      </c>
      <c r="G350" s="158"/>
      <c r="H350" s="155"/>
      <c r="I350" s="270"/>
      <c r="J350" s="270"/>
      <c r="K350" s="270"/>
      <c r="L350" s="270"/>
      <c r="M350" s="270"/>
      <c r="N350" s="270"/>
      <c r="O350" s="155"/>
      <c r="P350" s="155"/>
      <c r="Q350" s="155"/>
      <c r="R350" s="155"/>
      <c r="S350" s="155"/>
      <c r="T350" s="155"/>
      <c r="U350" s="158"/>
      <c r="V350" s="155"/>
      <c r="W350" s="155"/>
      <c r="X350" s="263"/>
      <c r="Y350" s="155"/>
      <c r="Z350" s="155"/>
      <c r="AA350" s="263"/>
      <c r="AB350" s="263"/>
      <c r="AC350" s="155"/>
      <c r="AD350" s="155"/>
      <c r="AE350" s="155"/>
      <c r="AF350" s="155"/>
      <c r="AG350" s="155"/>
      <c r="AH350" s="155"/>
      <c r="AI350" s="155"/>
      <c r="AJ350" s="155"/>
      <c r="AK350" s="155"/>
      <c r="AL350" s="155"/>
      <c r="AM350" s="155"/>
      <c r="AN350" s="155"/>
      <c r="AO350" s="155"/>
      <c r="AP350" s="49"/>
      <c r="AQ350" s="49"/>
      <c r="AR350" s="155"/>
      <c r="AS350" s="155"/>
      <c r="AT350" s="155"/>
      <c r="AU350" s="155"/>
      <c r="AV350" s="155"/>
      <c r="AW350" s="155"/>
      <c r="AX350" s="155"/>
      <c r="AY350" s="155"/>
      <c r="AZ350" s="49"/>
      <c r="BA350" s="49"/>
      <c r="BB350" s="49"/>
      <c r="BC350" s="49"/>
      <c r="BD350" s="49"/>
      <c r="BE350" s="49"/>
      <c r="BF350" s="49"/>
      <c r="BG350" s="49"/>
      <c r="BH350" s="49"/>
      <c r="BI350" s="155"/>
      <c r="BJ350" s="155"/>
      <c r="BK350" s="155"/>
      <c r="BL350" s="49"/>
      <c r="BM350" s="49"/>
      <c r="BN350" s="49"/>
      <c r="BO350" s="49"/>
      <c r="BP350" s="49"/>
      <c r="BQ350" s="49"/>
      <c r="BR350" s="49"/>
      <c r="BS350" s="49"/>
      <c r="BT350" s="49"/>
      <c r="BU350" s="49"/>
      <c r="BV350" s="49"/>
      <c r="BW350" s="49"/>
      <c r="BX350" s="49"/>
      <c r="BY350" s="49"/>
      <c r="BZ350" s="49"/>
      <c r="CA350" s="49"/>
      <c r="CB350" s="49"/>
      <c r="CC350" s="49"/>
      <c r="CD350" s="49"/>
      <c r="CE350" s="49"/>
      <c r="CF350" s="49"/>
      <c r="CG350" s="49"/>
      <c r="CH350" s="49"/>
      <c r="CI350" s="49"/>
      <c r="CJ350" s="49"/>
      <c r="CK350" s="49"/>
      <c r="CL350" s="49"/>
      <c r="CM350" s="49"/>
      <c r="CN350" s="49"/>
      <c r="CO350" s="49"/>
      <c r="CP350" s="49"/>
      <c r="CQ350" s="49"/>
      <c r="CR350" s="49"/>
      <c r="CS350" s="49"/>
      <c r="CT350" s="155"/>
      <c r="CU350" s="155"/>
      <c r="CV350" s="155"/>
      <c r="CW350" s="155"/>
      <c r="CX350" s="155"/>
      <c r="CY350" s="155"/>
      <c r="CZ350" s="155"/>
      <c r="DA350" s="155"/>
      <c r="DB350" s="155"/>
      <c r="DC350" s="155"/>
      <c r="DD350" s="155"/>
      <c r="DE350" s="155"/>
      <c r="DF350" s="155"/>
      <c r="DG350" s="155"/>
      <c r="DH350" s="155"/>
      <c r="DI350" s="155"/>
      <c r="DJ350" s="155"/>
      <c r="DK350" s="155"/>
      <c r="DL350" s="155"/>
      <c r="DM350" s="155"/>
      <c r="DN350" s="155"/>
      <c r="DO350" s="155"/>
      <c r="DP350" s="155"/>
      <c r="DQ350" s="155"/>
      <c r="DR350" s="155"/>
      <c r="DS350" s="155"/>
      <c r="DT350" s="155"/>
      <c r="DU350" s="155"/>
      <c r="DV350" s="155"/>
      <c r="DW350" s="155"/>
      <c r="DX350" s="155"/>
    </row>
    <row r="351" spans="1:128" ht="18" customHeight="1">
      <c r="A351" s="155"/>
      <c r="B351" s="155"/>
      <c r="C351" s="155"/>
      <c r="D351" s="155"/>
      <c r="E351" s="49">
        <v>2109</v>
      </c>
      <c r="F351" s="49" t="str">
        <f t="shared" si="49"/>
        <v>546556778877</v>
      </c>
      <c r="G351" s="158"/>
      <c r="H351" s="155"/>
      <c r="I351" s="270"/>
      <c r="J351" s="270"/>
      <c r="K351" s="270"/>
      <c r="L351" s="270"/>
      <c r="M351" s="270"/>
      <c r="N351" s="270"/>
      <c r="O351" s="155"/>
      <c r="P351" s="155"/>
      <c r="Q351" s="155"/>
      <c r="R351" s="155"/>
      <c r="S351" s="155"/>
      <c r="T351" s="155"/>
      <c r="U351" s="158"/>
      <c r="V351" s="155"/>
      <c r="W351" s="155"/>
      <c r="X351" s="263"/>
      <c r="Y351" s="155"/>
      <c r="Z351" s="155"/>
      <c r="AA351" s="263"/>
      <c r="AB351" s="263"/>
      <c r="AC351" s="155"/>
      <c r="AD351" s="155"/>
      <c r="AE351" s="155"/>
      <c r="AF351" s="155"/>
      <c r="AG351" s="155"/>
      <c r="AH351" s="155"/>
      <c r="AI351" s="155"/>
      <c r="AJ351" s="155"/>
      <c r="AK351" s="155"/>
      <c r="AL351" s="155"/>
      <c r="AM351" s="155"/>
      <c r="AN351" s="155"/>
      <c r="AO351" s="155"/>
      <c r="AP351" s="49"/>
      <c r="AQ351" s="49"/>
      <c r="AR351" s="155"/>
      <c r="AS351" s="155"/>
      <c r="AT351" s="155"/>
      <c r="AU351" s="155"/>
      <c r="AV351" s="155"/>
      <c r="AW351" s="155"/>
      <c r="AX351" s="155"/>
      <c r="AY351" s="155"/>
      <c r="AZ351" s="49"/>
      <c r="BA351" s="49"/>
      <c r="BB351" s="49"/>
      <c r="BC351" s="49"/>
      <c r="BD351" s="49"/>
      <c r="BE351" s="49"/>
      <c r="BF351" s="49"/>
      <c r="BG351" s="49"/>
      <c r="BH351" s="49"/>
      <c r="BI351" s="155"/>
      <c r="BJ351" s="155"/>
      <c r="BK351" s="155"/>
      <c r="BL351" s="49"/>
      <c r="BM351" s="49"/>
      <c r="BN351" s="49"/>
      <c r="BO351" s="49"/>
      <c r="BP351" s="49"/>
      <c r="BQ351" s="49"/>
      <c r="BR351" s="49"/>
      <c r="BS351" s="49"/>
      <c r="BT351" s="49"/>
      <c r="BU351" s="49"/>
      <c r="BV351" s="49"/>
      <c r="BW351" s="49"/>
      <c r="BX351" s="49"/>
      <c r="BY351" s="49"/>
      <c r="BZ351" s="49"/>
      <c r="CA351" s="49"/>
      <c r="CB351" s="49"/>
      <c r="CC351" s="49"/>
      <c r="CD351" s="49"/>
      <c r="CE351" s="49"/>
      <c r="CF351" s="49"/>
      <c r="CG351" s="49"/>
      <c r="CH351" s="49"/>
      <c r="CI351" s="49"/>
      <c r="CJ351" s="49"/>
      <c r="CK351" s="49"/>
      <c r="CL351" s="49"/>
      <c r="CM351" s="49"/>
      <c r="CN351" s="49"/>
      <c r="CO351" s="49"/>
      <c r="CP351" s="49"/>
      <c r="CQ351" s="49"/>
      <c r="CR351" s="49"/>
      <c r="CS351" s="49"/>
      <c r="CT351" s="155"/>
      <c r="CU351" s="155"/>
      <c r="CV351" s="155"/>
      <c r="CW351" s="155"/>
      <c r="CX351" s="155"/>
      <c r="CY351" s="155"/>
      <c r="CZ351" s="155"/>
      <c r="DA351" s="155"/>
      <c r="DB351" s="155"/>
      <c r="DC351" s="155"/>
      <c r="DD351" s="155"/>
      <c r="DE351" s="155"/>
      <c r="DF351" s="155"/>
      <c r="DG351" s="155"/>
      <c r="DH351" s="155"/>
      <c r="DI351" s="155"/>
      <c r="DJ351" s="155"/>
      <c r="DK351" s="155"/>
      <c r="DL351" s="155"/>
      <c r="DM351" s="155"/>
      <c r="DN351" s="155"/>
      <c r="DO351" s="155"/>
      <c r="DP351" s="155"/>
      <c r="DQ351" s="155"/>
      <c r="DR351" s="155"/>
      <c r="DS351" s="155"/>
      <c r="DT351" s="155"/>
      <c r="DU351" s="155"/>
      <c r="DV351" s="155"/>
      <c r="DW351" s="155"/>
      <c r="DX351" s="155"/>
    </row>
    <row r="352" spans="1:128" ht="18" customHeight="1">
      <c r="A352" s="155"/>
      <c r="B352" s="155"/>
      <c r="C352" s="155"/>
      <c r="D352" s="155"/>
      <c r="E352" s="49">
        <v>2110</v>
      </c>
      <c r="F352" s="49" t="str">
        <f t="shared" si="49"/>
        <v>546556778877</v>
      </c>
      <c r="G352" s="155"/>
      <c r="H352" s="155"/>
      <c r="I352" s="270"/>
      <c r="J352" s="270"/>
      <c r="K352" s="270"/>
      <c r="L352" s="270"/>
      <c r="M352" s="270"/>
      <c r="N352" s="270"/>
      <c r="O352" s="155"/>
      <c r="P352" s="155"/>
      <c r="Q352" s="155"/>
      <c r="R352" s="155"/>
      <c r="S352" s="155"/>
      <c r="T352" s="155"/>
      <c r="U352" s="158"/>
      <c r="V352" s="155"/>
      <c r="W352" s="155"/>
      <c r="X352" s="263"/>
      <c r="Y352" s="155"/>
      <c r="Z352" s="155"/>
      <c r="AA352" s="263"/>
      <c r="AB352" s="263"/>
      <c r="AC352" s="155"/>
      <c r="AD352" s="155"/>
      <c r="AE352" s="155"/>
      <c r="AF352" s="155"/>
      <c r="AG352" s="155"/>
      <c r="AH352" s="155"/>
      <c r="AI352" s="155"/>
      <c r="AJ352" s="155"/>
      <c r="AK352" s="155"/>
      <c r="AL352" s="155"/>
      <c r="AM352" s="155"/>
      <c r="AN352" s="155"/>
      <c r="AO352" s="155"/>
      <c r="AP352" s="49"/>
      <c r="AQ352" s="49"/>
      <c r="AR352" s="155"/>
      <c r="AS352" s="155"/>
      <c r="AT352" s="155"/>
      <c r="AU352" s="155"/>
      <c r="AV352" s="155"/>
      <c r="AW352" s="155"/>
      <c r="AX352" s="155"/>
      <c r="AY352" s="155"/>
      <c r="AZ352" s="49"/>
      <c r="BA352" s="49"/>
      <c r="BB352" s="49"/>
      <c r="BC352" s="49"/>
      <c r="BD352" s="49"/>
      <c r="BE352" s="49"/>
      <c r="BF352" s="49"/>
      <c r="BG352" s="49"/>
      <c r="BH352" s="49"/>
      <c r="BI352" s="155"/>
      <c r="BJ352" s="155"/>
      <c r="BK352" s="155"/>
      <c r="BL352" s="49"/>
      <c r="BM352" s="49"/>
      <c r="BN352" s="49"/>
      <c r="BO352" s="49"/>
      <c r="BP352" s="49"/>
      <c r="BQ352" s="49"/>
      <c r="BR352" s="49"/>
      <c r="BS352" s="49"/>
      <c r="BT352" s="49"/>
      <c r="BU352" s="49"/>
      <c r="BV352" s="49"/>
      <c r="BW352" s="49"/>
      <c r="BX352" s="49"/>
      <c r="BY352" s="49"/>
      <c r="BZ352" s="49"/>
      <c r="CA352" s="49"/>
      <c r="CB352" s="49"/>
      <c r="CC352" s="49"/>
      <c r="CD352" s="49"/>
      <c r="CE352" s="49"/>
      <c r="CF352" s="49"/>
      <c r="CG352" s="49"/>
      <c r="CH352" s="49"/>
      <c r="CI352" s="49"/>
      <c r="CJ352" s="49"/>
      <c r="CK352" s="49"/>
      <c r="CL352" s="49"/>
      <c r="CM352" s="49"/>
      <c r="CN352" s="49"/>
      <c r="CO352" s="49"/>
      <c r="CP352" s="49"/>
      <c r="CQ352" s="49"/>
      <c r="CR352" s="49"/>
      <c r="CS352" s="49"/>
      <c r="CT352" s="155"/>
      <c r="CU352" s="155"/>
      <c r="CV352" s="155"/>
      <c r="CW352" s="155"/>
      <c r="CX352" s="155"/>
      <c r="CY352" s="155"/>
      <c r="CZ352" s="155"/>
      <c r="DA352" s="155"/>
      <c r="DB352" s="155"/>
      <c r="DC352" s="155"/>
      <c r="DD352" s="155"/>
      <c r="DE352" s="155"/>
      <c r="DF352" s="155"/>
      <c r="DG352" s="155"/>
      <c r="DH352" s="155"/>
      <c r="DI352" s="155"/>
      <c r="DJ352" s="155"/>
      <c r="DK352" s="155"/>
      <c r="DL352" s="155"/>
      <c r="DM352" s="155"/>
      <c r="DN352" s="155"/>
      <c r="DO352" s="155"/>
      <c r="DP352" s="155"/>
      <c r="DQ352" s="155"/>
      <c r="DR352" s="155"/>
      <c r="DS352" s="155"/>
      <c r="DT352" s="155"/>
      <c r="DU352" s="155"/>
      <c r="DV352" s="155"/>
      <c r="DW352" s="155"/>
      <c r="DX352" s="155"/>
    </row>
    <row r="353" spans="1:128" ht="18" customHeight="1">
      <c r="A353" s="155"/>
      <c r="B353" s="155"/>
      <c r="C353" s="155"/>
      <c r="D353" s="155"/>
      <c r="E353" s="49">
        <v>2111</v>
      </c>
      <c r="F353" s="49" t="str">
        <f t="shared" si="49"/>
        <v>646566788887</v>
      </c>
      <c r="G353" s="155"/>
      <c r="H353" s="155"/>
      <c r="I353" s="270"/>
      <c r="J353" s="270"/>
      <c r="K353" s="270"/>
      <c r="L353" s="270"/>
      <c r="M353" s="270"/>
      <c r="N353" s="270"/>
      <c r="O353" s="155"/>
      <c r="P353" s="155"/>
      <c r="Q353" s="155"/>
      <c r="R353" s="155"/>
      <c r="S353" s="155"/>
      <c r="T353" s="155"/>
      <c r="U353" s="158"/>
      <c r="V353" s="155"/>
      <c r="W353" s="155"/>
      <c r="X353" s="263"/>
      <c r="Y353" s="155"/>
      <c r="Z353" s="155"/>
      <c r="AA353" s="263"/>
      <c r="AB353" s="263"/>
      <c r="AC353" s="155"/>
      <c r="AD353" s="155"/>
      <c r="AE353" s="155"/>
      <c r="AF353" s="155"/>
      <c r="AG353" s="155"/>
      <c r="AH353" s="155"/>
      <c r="AI353" s="155"/>
      <c r="AJ353" s="155"/>
      <c r="AK353" s="155"/>
      <c r="AL353" s="155"/>
      <c r="AM353" s="155"/>
      <c r="AN353" s="155"/>
      <c r="AO353" s="155"/>
      <c r="AP353" s="49"/>
      <c r="AQ353" s="49"/>
      <c r="AR353" s="155"/>
      <c r="AS353" s="155"/>
      <c r="AT353" s="155"/>
      <c r="AU353" s="155"/>
      <c r="AV353" s="155"/>
      <c r="AW353" s="155"/>
      <c r="AX353" s="155"/>
      <c r="AY353" s="155"/>
      <c r="AZ353" s="49"/>
      <c r="BA353" s="49"/>
      <c r="BB353" s="49"/>
      <c r="BC353" s="49"/>
      <c r="BD353" s="49"/>
      <c r="BE353" s="49"/>
      <c r="BF353" s="49"/>
      <c r="BG353" s="49"/>
      <c r="BH353" s="49"/>
      <c r="BI353" s="155"/>
      <c r="BJ353" s="155"/>
      <c r="BK353" s="155"/>
      <c r="BL353" s="49"/>
      <c r="BM353" s="49"/>
      <c r="BN353" s="49"/>
      <c r="BO353" s="49"/>
      <c r="BP353" s="49"/>
      <c r="BQ353" s="49"/>
      <c r="BR353" s="49"/>
      <c r="BS353" s="49"/>
      <c r="BT353" s="49"/>
      <c r="BU353" s="49"/>
      <c r="BV353" s="49"/>
      <c r="BW353" s="49"/>
      <c r="BX353" s="49"/>
      <c r="BY353" s="49"/>
      <c r="BZ353" s="49"/>
      <c r="CA353" s="49"/>
      <c r="CB353" s="49"/>
      <c r="CC353" s="49"/>
      <c r="CD353" s="49"/>
      <c r="CE353" s="49"/>
      <c r="CF353" s="49"/>
      <c r="CG353" s="49"/>
      <c r="CH353" s="49"/>
      <c r="CI353" s="49"/>
      <c r="CJ353" s="49"/>
      <c r="CK353" s="49"/>
      <c r="CL353" s="49"/>
      <c r="CM353" s="49"/>
      <c r="CN353" s="49"/>
      <c r="CO353" s="49"/>
      <c r="CP353" s="49"/>
      <c r="CQ353" s="49"/>
      <c r="CR353" s="49"/>
      <c r="CS353" s="49"/>
      <c r="CT353" s="155"/>
      <c r="CU353" s="155"/>
      <c r="CV353" s="155"/>
      <c r="CW353" s="155"/>
      <c r="CX353" s="155"/>
      <c r="CY353" s="155"/>
      <c r="CZ353" s="155"/>
      <c r="DA353" s="155"/>
      <c r="DB353" s="155"/>
      <c r="DC353" s="155"/>
      <c r="DD353" s="155"/>
      <c r="DE353" s="155"/>
      <c r="DF353" s="155"/>
      <c r="DG353" s="155"/>
      <c r="DH353" s="155"/>
      <c r="DI353" s="155"/>
      <c r="DJ353" s="155"/>
      <c r="DK353" s="155"/>
      <c r="DL353" s="155"/>
      <c r="DM353" s="155"/>
      <c r="DN353" s="155"/>
      <c r="DO353" s="155"/>
      <c r="DP353" s="155"/>
      <c r="DQ353" s="155"/>
      <c r="DR353" s="155"/>
      <c r="DS353" s="155"/>
      <c r="DT353" s="155"/>
      <c r="DU353" s="155"/>
      <c r="DV353" s="155"/>
      <c r="DW353" s="155"/>
      <c r="DX353" s="155"/>
    </row>
    <row r="354" spans="1:128" ht="18" customHeight="1">
      <c r="A354" s="155"/>
      <c r="B354" s="155"/>
      <c r="C354" s="155"/>
      <c r="D354" s="155"/>
      <c r="E354" s="49">
        <v>2112</v>
      </c>
      <c r="F354" s="49" t="str">
        <f t="shared" si="49"/>
        <v>546556778877</v>
      </c>
      <c r="G354" s="155"/>
      <c r="H354" s="155"/>
      <c r="I354" s="270"/>
      <c r="J354" s="270"/>
      <c r="K354" s="270"/>
      <c r="L354" s="270"/>
      <c r="M354" s="270"/>
      <c r="N354" s="270"/>
      <c r="O354" s="155"/>
      <c r="P354" s="155"/>
      <c r="Q354" s="155"/>
      <c r="R354" s="155"/>
      <c r="S354" s="155"/>
      <c r="T354" s="155"/>
      <c r="U354" s="158"/>
      <c r="V354" s="155"/>
      <c r="W354" s="155"/>
      <c r="X354" s="263"/>
      <c r="Y354" s="155"/>
      <c r="Z354" s="155"/>
      <c r="AA354" s="263"/>
      <c r="AB354" s="263"/>
      <c r="AC354" s="155"/>
      <c r="AD354" s="155"/>
      <c r="AE354" s="155"/>
      <c r="AF354" s="155"/>
      <c r="AG354" s="155"/>
      <c r="AH354" s="155"/>
      <c r="AI354" s="155"/>
      <c r="AJ354" s="155"/>
      <c r="AK354" s="155"/>
      <c r="AL354" s="155"/>
      <c r="AM354" s="155"/>
      <c r="AN354" s="155"/>
      <c r="AO354" s="155"/>
      <c r="AP354" s="49"/>
      <c r="AQ354" s="49"/>
      <c r="AR354" s="155"/>
      <c r="AS354" s="155"/>
      <c r="AT354" s="155"/>
      <c r="AU354" s="155"/>
      <c r="AV354" s="155"/>
      <c r="AW354" s="155"/>
      <c r="AX354" s="155"/>
      <c r="AY354" s="155"/>
      <c r="AZ354" s="49"/>
      <c r="BA354" s="49"/>
      <c r="BB354" s="49"/>
      <c r="BC354" s="49"/>
      <c r="BD354" s="49"/>
      <c r="BE354" s="49"/>
      <c r="BF354" s="49"/>
      <c r="BG354" s="49"/>
      <c r="BH354" s="49"/>
      <c r="BI354" s="155"/>
      <c r="BJ354" s="155"/>
      <c r="BK354" s="155"/>
      <c r="BL354" s="49"/>
      <c r="BM354" s="49"/>
      <c r="BN354" s="49"/>
      <c r="BO354" s="49"/>
      <c r="BP354" s="49"/>
      <c r="BQ354" s="49"/>
      <c r="BR354" s="49"/>
      <c r="BS354" s="49"/>
      <c r="BT354" s="49"/>
      <c r="BU354" s="49"/>
      <c r="BV354" s="49"/>
      <c r="BW354" s="49"/>
      <c r="BX354" s="49"/>
      <c r="BY354" s="49"/>
      <c r="BZ354" s="49"/>
      <c r="CA354" s="49"/>
      <c r="CB354" s="49"/>
      <c r="CC354" s="49"/>
      <c r="CD354" s="49"/>
      <c r="CE354" s="49"/>
      <c r="CF354" s="49"/>
      <c r="CG354" s="49"/>
      <c r="CH354" s="49"/>
      <c r="CI354" s="49"/>
      <c r="CJ354" s="49"/>
      <c r="CK354" s="49"/>
      <c r="CL354" s="49"/>
      <c r="CM354" s="49"/>
      <c r="CN354" s="49"/>
      <c r="CO354" s="49"/>
      <c r="CP354" s="49"/>
      <c r="CQ354" s="49"/>
      <c r="CR354" s="49"/>
      <c r="CS354" s="49"/>
      <c r="CT354" s="155"/>
      <c r="CU354" s="155"/>
      <c r="CV354" s="155"/>
      <c r="CW354" s="155"/>
      <c r="CX354" s="155"/>
      <c r="CY354" s="155"/>
      <c r="CZ354" s="155"/>
      <c r="DA354" s="155"/>
      <c r="DB354" s="155"/>
      <c r="DC354" s="155"/>
      <c r="DD354" s="155"/>
      <c r="DE354" s="155"/>
      <c r="DF354" s="155"/>
      <c r="DG354" s="155"/>
      <c r="DH354" s="155"/>
      <c r="DI354" s="155"/>
      <c r="DJ354" s="155"/>
      <c r="DK354" s="155"/>
      <c r="DL354" s="155"/>
      <c r="DM354" s="155"/>
      <c r="DN354" s="155"/>
      <c r="DO354" s="155"/>
      <c r="DP354" s="155"/>
      <c r="DQ354" s="155"/>
      <c r="DR354" s="155"/>
      <c r="DS354" s="155"/>
      <c r="DT354" s="155"/>
      <c r="DU354" s="155"/>
      <c r="DV354" s="155"/>
      <c r="DW354" s="155"/>
      <c r="DX354" s="155"/>
    </row>
    <row r="355" spans="1:128" ht="18" customHeight="1">
      <c r="A355" s="155"/>
      <c r="B355" s="155"/>
      <c r="C355" s="155"/>
      <c r="D355" s="155"/>
      <c r="E355" s="49">
        <v>2113</v>
      </c>
      <c r="F355" s="49" t="str">
        <f t="shared" si="49"/>
        <v>546556778877</v>
      </c>
      <c r="G355" s="155"/>
      <c r="H355" s="155"/>
      <c r="I355" s="270"/>
      <c r="J355" s="270"/>
      <c r="K355" s="270"/>
      <c r="L355" s="270"/>
      <c r="M355" s="270"/>
      <c r="N355" s="270"/>
      <c r="O355" s="155"/>
      <c r="P355" s="155"/>
      <c r="Q355" s="155"/>
      <c r="R355" s="155"/>
      <c r="S355" s="155"/>
      <c r="T355" s="155"/>
      <c r="U355" s="158"/>
      <c r="V355" s="155"/>
      <c r="W355" s="155"/>
      <c r="X355" s="263"/>
      <c r="Y355" s="155"/>
      <c r="Z355" s="155"/>
      <c r="AA355" s="263"/>
      <c r="AB355" s="263"/>
      <c r="AC355" s="155"/>
      <c r="AD355" s="155"/>
      <c r="AE355" s="155"/>
      <c r="AF355" s="155"/>
      <c r="AG355" s="155"/>
      <c r="AH355" s="155"/>
      <c r="AI355" s="155"/>
      <c r="AJ355" s="155"/>
      <c r="AK355" s="155"/>
      <c r="AL355" s="155"/>
      <c r="AM355" s="155"/>
      <c r="AN355" s="155"/>
      <c r="AO355" s="155"/>
      <c r="AP355" s="49"/>
      <c r="AQ355" s="49"/>
      <c r="AR355" s="155"/>
      <c r="AS355" s="155"/>
      <c r="AT355" s="155"/>
      <c r="AU355" s="155"/>
      <c r="AV355" s="155"/>
      <c r="AW355" s="155"/>
      <c r="AX355" s="155"/>
      <c r="AY355" s="155"/>
      <c r="AZ355" s="49"/>
      <c r="BA355" s="49"/>
      <c r="BB355" s="49"/>
      <c r="BC355" s="49"/>
      <c r="BD355" s="49"/>
      <c r="BE355" s="49"/>
      <c r="BF355" s="49"/>
      <c r="BG355" s="49"/>
      <c r="BH355" s="49"/>
      <c r="BI355" s="155"/>
      <c r="BJ355" s="155"/>
      <c r="BK355" s="155"/>
      <c r="BL355" s="49"/>
      <c r="BM355" s="49"/>
      <c r="BN355" s="49"/>
      <c r="BO355" s="49"/>
      <c r="BP355" s="49"/>
      <c r="BQ355" s="49"/>
      <c r="BR355" s="49"/>
      <c r="BS355" s="49"/>
      <c r="BT355" s="49"/>
      <c r="BU355" s="49"/>
      <c r="BV355" s="49"/>
      <c r="BW355" s="49"/>
      <c r="BX355" s="49"/>
      <c r="BY355" s="49"/>
      <c r="BZ355" s="49"/>
      <c r="CA355" s="49"/>
      <c r="CB355" s="49"/>
      <c r="CC355" s="49"/>
      <c r="CD355" s="49"/>
      <c r="CE355" s="49"/>
      <c r="CF355" s="49"/>
      <c r="CG355" s="49"/>
      <c r="CH355" s="49"/>
      <c r="CI355" s="49"/>
      <c r="CJ355" s="49"/>
      <c r="CK355" s="49"/>
      <c r="CL355" s="49"/>
      <c r="CM355" s="49"/>
      <c r="CN355" s="49"/>
      <c r="CO355" s="49"/>
      <c r="CP355" s="49"/>
      <c r="CQ355" s="49"/>
      <c r="CR355" s="49"/>
      <c r="CS355" s="49"/>
      <c r="CT355" s="155"/>
      <c r="CU355" s="155"/>
      <c r="CV355" s="155"/>
      <c r="CW355" s="155"/>
      <c r="CX355" s="155"/>
      <c r="CY355" s="155"/>
      <c r="CZ355" s="155"/>
      <c r="DA355" s="155"/>
      <c r="DB355" s="155"/>
      <c r="DC355" s="155"/>
      <c r="DD355" s="155"/>
      <c r="DE355" s="155"/>
      <c r="DF355" s="155"/>
      <c r="DG355" s="155"/>
      <c r="DH355" s="155"/>
      <c r="DI355" s="155"/>
      <c r="DJ355" s="155"/>
      <c r="DK355" s="155"/>
      <c r="DL355" s="155"/>
      <c r="DM355" s="155"/>
      <c r="DN355" s="155"/>
      <c r="DO355" s="155"/>
      <c r="DP355" s="155"/>
      <c r="DQ355" s="155"/>
      <c r="DR355" s="155"/>
      <c r="DS355" s="155"/>
      <c r="DT355" s="155"/>
      <c r="DU355" s="155"/>
      <c r="DV355" s="155"/>
      <c r="DW355" s="155"/>
      <c r="DX355" s="155"/>
    </row>
    <row r="356" spans="1:128" ht="18" customHeight="1">
      <c r="A356" s="155"/>
      <c r="B356" s="155"/>
      <c r="C356" s="155"/>
      <c r="D356" s="155"/>
      <c r="E356" s="49">
        <v>2114</v>
      </c>
      <c r="F356" s="49" t="str">
        <f t="shared" si="49"/>
        <v>546556778877</v>
      </c>
      <c r="G356" s="155"/>
      <c r="H356" s="155"/>
      <c r="I356" s="270"/>
      <c r="J356" s="270"/>
      <c r="K356" s="270"/>
      <c r="L356" s="270"/>
      <c r="M356" s="270"/>
      <c r="N356" s="270"/>
      <c r="O356" s="155"/>
      <c r="P356" s="155"/>
      <c r="Q356" s="155"/>
      <c r="R356" s="155"/>
      <c r="S356" s="155"/>
      <c r="T356" s="155"/>
      <c r="U356" s="158"/>
      <c r="V356" s="155"/>
      <c r="W356" s="155"/>
      <c r="X356" s="263"/>
      <c r="Y356" s="155"/>
      <c r="Z356" s="155"/>
      <c r="AA356" s="263"/>
      <c r="AB356" s="263"/>
      <c r="AC356" s="155"/>
      <c r="AD356" s="155"/>
      <c r="AE356" s="155"/>
      <c r="AF356" s="155"/>
      <c r="AG356" s="155"/>
      <c r="AH356" s="155"/>
      <c r="AI356" s="155"/>
      <c r="AJ356" s="155"/>
      <c r="AK356" s="155"/>
      <c r="AL356" s="155"/>
      <c r="AM356" s="155"/>
      <c r="AN356" s="155"/>
      <c r="AO356" s="155"/>
      <c r="AP356" s="49"/>
      <c r="AQ356" s="49"/>
      <c r="AR356" s="155"/>
      <c r="AS356" s="155"/>
      <c r="AT356" s="155"/>
      <c r="AU356" s="155"/>
      <c r="AV356" s="155"/>
      <c r="AW356" s="155"/>
      <c r="AX356" s="155"/>
      <c r="AY356" s="155"/>
      <c r="AZ356" s="49"/>
      <c r="BA356" s="49"/>
      <c r="BB356" s="49"/>
      <c r="BC356" s="49"/>
      <c r="BD356" s="49"/>
      <c r="BE356" s="49"/>
      <c r="BF356" s="49"/>
      <c r="BG356" s="49"/>
      <c r="BH356" s="49"/>
      <c r="BI356" s="155"/>
      <c r="BJ356" s="155"/>
      <c r="BK356" s="155"/>
      <c r="BL356" s="49"/>
      <c r="BM356" s="49"/>
      <c r="BN356" s="49"/>
      <c r="BO356" s="49"/>
      <c r="BP356" s="49"/>
      <c r="BQ356" s="49"/>
      <c r="BR356" s="49"/>
      <c r="BS356" s="49"/>
      <c r="BT356" s="49"/>
      <c r="BU356" s="49"/>
      <c r="BV356" s="49"/>
      <c r="BW356" s="49"/>
      <c r="BX356" s="49"/>
      <c r="BY356" s="49"/>
      <c r="BZ356" s="49"/>
      <c r="CA356" s="49"/>
      <c r="CB356" s="49"/>
      <c r="CC356" s="49"/>
      <c r="CD356" s="49"/>
      <c r="CE356" s="49"/>
      <c r="CF356" s="49"/>
      <c r="CG356" s="49"/>
      <c r="CH356" s="49"/>
      <c r="CI356" s="49"/>
      <c r="CJ356" s="49"/>
      <c r="CK356" s="49"/>
      <c r="CL356" s="49"/>
      <c r="CM356" s="49"/>
      <c r="CN356" s="49"/>
      <c r="CO356" s="49"/>
      <c r="CP356" s="49"/>
      <c r="CQ356" s="49"/>
      <c r="CR356" s="49"/>
      <c r="CS356" s="49"/>
      <c r="CT356" s="155"/>
      <c r="CU356" s="155"/>
      <c r="CV356" s="155"/>
      <c r="CW356" s="155"/>
      <c r="CX356" s="155"/>
      <c r="CY356" s="155"/>
      <c r="CZ356" s="155"/>
      <c r="DA356" s="155"/>
      <c r="DB356" s="155"/>
      <c r="DC356" s="155"/>
      <c r="DD356" s="155"/>
      <c r="DE356" s="155"/>
      <c r="DF356" s="155"/>
      <c r="DG356" s="155"/>
      <c r="DH356" s="155"/>
      <c r="DI356" s="155"/>
      <c r="DJ356" s="155"/>
      <c r="DK356" s="155"/>
      <c r="DL356" s="155"/>
      <c r="DM356" s="155"/>
      <c r="DN356" s="155"/>
      <c r="DO356" s="155"/>
      <c r="DP356" s="155"/>
      <c r="DQ356" s="155"/>
      <c r="DR356" s="155"/>
      <c r="DS356" s="155"/>
      <c r="DT356" s="155"/>
      <c r="DU356" s="155"/>
      <c r="DV356" s="155"/>
      <c r="DW356" s="155"/>
      <c r="DX356" s="155"/>
    </row>
    <row r="357" spans="1:128" ht="18" customHeight="1">
      <c r="A357" s="155"/>
      <c r="B357" s="155"/>
      <c r="C357" s="155"/>
      <c r="D357" s="155"/>
      <c r="E357" s="49">
        <v>2115</v>
      </c>
      <c r="F357" s="49" t="str">
        <f t="shared" si="49"/>
        <v>646566788887</v>
      </c>
      <c r="G357" s="155"/>
      <c r="H357" s="155"/>
      <c r="I357" s="270"/>
      <c r="J357" s="270"/>
      <c r="K357" s="270"/>
      <c r="L357" s="270"/>
      <c r="M357" s="270"/>
      <c r="N357" s="270"/>
      <c r="O357" s="155"/>
      <c r="P357" s="155"/>
      <c r="Q357" s="155"/>
      <c r="R357" s="155"/>
      <c r="S357" s="155"/>
      <c r="T357" s="155"/>
      <c r="U357" s="158"/>
      <c r="V357" s="155"/>
      <c r="W357" s="155"/>
      <c r="X357" s="263"/>
      <c r="Y357" s="155"/>
      <c r="Z357" s="155"/>
      <c r="AA357" s="263"/>
      <c r="AB357" s="263"/>
      <c r="AC357" s="155"/>
      <c r="AD357" s="155"/>
      <c r="AE357" s="155"/>
      <c r="AF357" s="155"/>
      <c r="AG357" s="155"/>
      <c r="AH357" s="155"/>
      <c r="AI357" s="155"/>
      <c r="AJ357" s="155"/>
      <c r="AK357" s="155"/>
      <c r="AL357" s="155"/>
      <c r="AM357" s="155"/>
      <c r="AN357" s="155"/>
      <c r="AO357" s="155"/>
      <c r="AP357" s="49"/>
      <c r="AQ357" s="49"/>
      <c r="AR357" s="155"/>
      <c r="AS357" s="155"/>
      <c r="AT357" s="155"/>
      <c r="AU357" s="155"/>
      <c r="AV357" s="155"/>
      <c r="AW357" s="155"/>
      <c r="AX357" s="155"/>
      <c r="AY357" s="155"/>
      <c r="AZ357" s="49"/>
      <c r="BA357" s="49"/>
      <c r="BB357" s="49"/>
      <c r="BC357" s="49"/>
      <c r="BD357" s="49"/>
      <c r="BE357" s="49"/>
      <c r="BF357" s="49"/>
      <c r="BG357" s="49"/>
      <c r="BH357" s="49"/>
      <c r="BI357" s="155"/>
      <c r="BJ357" s="155"/>
      <c r="BK357" s="155"/>
      <c r="BL357" s="49"/>
      <c r="BM357" s="49"/>
      <c r="BN357" s="49"/>
      <c r="BO357" s="49"/>
      <c r="BP357" s="49"/>
      <c r="BQ357" s="49"/>
      <c r="BR357" s="49"/>
      <c r="BS357" s="49"/>
      <c r="BT357" s="49"/>
      <c r="BU357" s="49"/>
      <c r="BV357" s="49"/>
      <c r="BW357" s="49"/>
      <c r="BX357" s="49"/>
      <c r="BY357" s="49"/>
      <c r="BZ357" s="49"/>
      <c r="CA357" s="49"/>
      <c r="CB357" s="49"/>
      <c r="CC357" s="49"/>
      <c r="CD357" s="49"/>
      <c r="CE357" s="49"/>
      <c r="CF357" s="49"/>
      <c r="CG357" s="49"/>
      <c r="CH357" s="49"/>
      <c r="CI357" s="49"/>
      <c r="CJ357" s="49"/>
      <c r="CK357" s="49"/>
      <c r="CL357" s="49"/>
      <c r="CM357" s="49"/>
      <c r="CN357" s="49"/>
      <c r="CO357" s="49"/>
      <c r="CP357" s="49"/>
      <c r="CQ357" s="49"/>
      <c r="CR357" s="49"/>
      <c r="CS357" s="49"/>
      <c r="CT357" s="155"/>
      <c r="CU357" s="155"/>
      <c r="CV357" s="155"/>
      <c r="CW357" s="155"/>
      <c r="CX357" s="155"/>
      <c r="CY357" s="155"/>
      <c r="CZ357" s="155"/>
      <c r="DA357" s="155"/>
      <c r="DB357" s="155"/>
      <c r="DC357" s="155"/>
      <c r="DD357" s="155"/>
      <c r="DE357" s="155"/>
      <c r="DF357" s="155"/>
      <c r="DG357" s="155"/>
      <c r="DH357" s="155"/>
      <c r="DI357" s="155"/>
      <c r="DJ357" s="155"/>
      <c r="DK357" s="155"/>
      <c r="DL357" s="155"/>
      <c r="DM357" s="155"/>
      <c r="DN357" s="155"/>
      <c r="DO357" s="155"/>
      <c r="DP357" s="155"/>
      <c r="DQ357" s="155"/>
      <c r="DR357" s="155"/>
      <c r="DS357" s="155"/>
      <c r="DT357" s="155"/>
      <c r="DU357" s="155"/>
      <c r="DV357" s="155"/>
      <c r="DW357" s="155"/>
      <c r="DX357" s="155"/>
    </row>
    <row r="358" spans="1:128" ht="18" customHeight="1">
      <c r="A358" s="155"/>
      <c r="B358" s="155"/>
      <c r="C358" s="155"/>
      <c r="D358" s="155"/>
      <c r="E358" s="49">
        <v>2116</v>
      </c>
      <c r="F358" s="49" t="str">
        <f t="shared" si="49"/>
        <v>546556778877</v>
      </c>
      <c r="G358" s="155"/>
      <c r="H358" s="155"/>
      <c r="I358" s="270"/>
      <c r="J358" s="270"/>
      <c r="K358" s="270"/>
      <c r="L358" s="270"/>
      <c r="M358" s="270"/>
      <c r="N358" s="270"/>
      <c r="O358" s="155"/>
      <c r="P358" s="155"/>
      <c r="Q358" s="155"/>
      <c r="R358" s="155"/>
      <c r="S358" s="155"/>
      <c r="T358" s="155"/>
      <c r="U358" s="158"/>
      <c r="V358" s="155"/>
      <c r="W358" s="155"/>
      <c r="X358" s="263"/>
      <c r="Y358" s="155"/>
      <c r="Z358" s="155"/>
      <c r="AA358" s="263"/>
      <c r="AB358" s="263"/>
      <c r="AC358" s="155"/>
      <c r="AD358" s="155"/>
      <c r="AE358" s="155"/>
      <c r="AF358" s="155"/>
      <c r="AG358" s="155"/>
      <c r="AH358" s="155"/>
      <c r="AI358" s="155"/>
      <c r="AJ358" s="155"/>
      <c r="AK358" s="155"/>
      <c r="AL358" s="155"/>
      <c r="AM358" s="155"/>
      <c r="AN358" s="155"/>
      <c r="AO358" s="155"/>
      <c r="AP358" s="49"/>
      <c r="AQ358" s="49"/>
      <c r="AR358" s="155"/>
      <c r="AS358" s="155"/>
      <c r="AT358" s="155"/>
      <c r="AU358" s="155"/>
      <c r="AV358" s="155"/>
      <c r="AW358" s="155"/>
      <c r="AX358" s="155"/>
      <c r="AY358" s="155"/>
      <c r="AZ358" s="49"/>
      <c r="BA358" s="49"/>
      <c r="BB358" s="49"/>
      <c r="BC358" s="49"/>
      <c r="BD358" s="49"/>
      <c r="BE358" s="49"/>
      <c r="BF358" s="49"/>
      <c r="BG358" s="49"/>
      <c r="BH358" s="49"/>
      <c r="BI358" s="155"/>
      <c r="BJ358" s="155"/>
      <c r="BK358" s="155"/>
      <c r="BL358" s="49"/>
      <c r="BM358" s="49"/>
      <c r="BN358" s="49"/>
      <c r="BO358" s="49"/>
      <c r="BP358" s="49"/>
      <c r="BQ358" s="49"/>
      <c r="BR358" s="49"/>
      <c r="BS358" s="49"/>
      <c r="BT358" s="49"/>
      <c r="BU358" s="49"/>
      <c r="BV358" s="49"/>
      <c r="BW358" s="49"/>
      <c r="BX358" s="49"/>
      <c r="BY358" s="49"/>
      <c r="BZ358" s="49"/>
      <c r="CA358" s="49"/>
      <c r="CB358" s="49"/>
      <c r="CC358" s="49"/>
      <c r="CD358" s="49"/>
      <c r="CE358" s="49"/>
      <c r="CF358" s="49"/>
      <c r="CG358" s="49"/>
      <c r="CH358" s="49"/>
      <c r="CI358" s="49"/>
      <c r="CJ358" s="49"/>
      <c r="CK358" s="49"/>
      <c r="CL358" s="49"/>
      <c r="CM358" s="49"/>
      <c r="CN358" s="49"/>
      <c r="CO358" s="49"/>
      <c r="CP358" s="49"/>
      <c r="CQ358" s="49"/>
      <c r="CR358" s="49"/>
      <c r="CS358" s="49"/>
      <c r="CT358" s="155"/>
      <c r="CU358" s="155"/>
      <c r="CV358" s="155"/>
      <c r="CW358" s="155"/>
      <c r="CX358" s="155"/>
      <c r="CY358" s="155"/>
      <c r="CZ358" s="155"/>
      <c r="DA358" s="155"/>
      <c r="DB358" s="155"/>
      <c r="DC358" s="155"/>
      <c r="DD358" s="155"/>
      <c r="DE358" s="155"/>
      <c r="DF358" s="155"/>
      <c r="DG358" s="155"/>
      <c r="DH358" s="155"/>
      <c r="DI358" s="155"/>
      <c r="DJ358" s="155"/>
      <c r="DK358" s="155"/>
      <c r="DL358" s="155"/>
      <c r="DM358" s="155"/>
      <c r="DN358" s="155"/>
      <c r="DO358" s="155"/>
      <c r="DP358" s="155"/>
      <c r="DQ358" s="155"/>
      <c r="DR358" s="155"/>
      <c r="DS358" s="155"/>
      <c r="DT358" s="155"/>
      <c r="DU358" s="155"/>
      <c r="DV358" s="155"/>
      <c r="DW358" s="155"/>
      <c r="DX358" s="155"/>
    </row>
    <row r="359" spans="1:128" ht="18" customHeight="1">
      <c r="A359" s="155"/>
      <c r="B359" s="155"/>
      <c r="C359" s="155"/>
      <c r="D359" s="155"/>
      <c r="E359" s="49">
        <v>2117</v>
      </c>
      <c r="F359" s="49" t="str">
        <f t="shared" si="49"/>
        <v>546556778877</v>
      </c>
      <c r="G359" s="155"/>
      <c r="H359" s="155"/>
      <c r="I359" s="270"/>
      <c r="J359" s="270"/>
      <c r="K359" s="270"/>
      <c r="L359" s="270"/>
      <c r="M359" s="270"/>
      <c r="N359" s="270"/>
      <c r="O359" s="155"/>
      <c r="P359" s="155"/>
      <c r="Q359" s="155"/>
      <c r="R359" s="155"/>
      <c r="S359" s="155"/>
      <c r="T359" s="155"/>
      <c r="U359" s="158"/>
      <c r="V359" s="155"/>
      <c r="W359" s="155"/>
      <c r="X359" s="263"/>
      <c r="Y359" s="155"/>
      <c r="Z359" s="155"/>
      <c r="AA359" s="263"/>
      <c r="AB359" s="263"/>
      <c r="AC359" s="155"/>
      <c r="AD359" s="155"/>
      <c r="AE359" s="155"/>
      <c r="AF359" s="155"/>
      <c r="AG359" s="155"/>
      <c r="AH359" s="155"/>
      <c r="AI359" s="155"/>
      <c r="AJ359" s="155"/>
      <c r="AK359" s="155"/>
      <c r="AL359" s="155"/>
      <c r="AM359" s="155"/>
      <c r="AN359" s="155"/>
      <c r="AO359" s="155"/>
      <c r="AP359" s="49"/>
      <c r="AQ359" s="49"/>
      <c r="AR359" s="155"/>
      <c r="AS359" s="155"/>
      <c r="AT359" s="155"/>
      <c r="AU359" s="155"/>
      <c r="AV359" s="155"/>
      <c r="AW359" s="155"/>
      <c r="AX359" s="155"/>
      <c r="AY359" s="155"/>
      <c r="AZ359" s="49"/>
      <c r="BA359" s="49"/>
      <c r="BB359" s="49"/>
      <c r="BC359" s="49"/>
      <c r="BD359" s="49"/>
      <c r="BE359" s="49"/>
      <c r="BF359" s="49"/>
      <c r="BG359" s="49"/>
      <c r="BH359" s="49"/>
      <c r="BI359" s="155"/>
      <c r="BJ359" s="155"/>
      <c r="BK359" s="155"/>
      <c r="BL359" s="49"/>
      <c r="BM359" s="49"/>
      <c r="BN359" s="49"/>
      <c r="BO359" s="49"/>
      <c r="BP359" s="49"/>
      <c r="BQ359" s="49"/>
      <c r="BR359" s="49"/>
      <c r="BS359" s="49"/>
      <c r="BT359" s="49"/>
      <c r="BU359" s="49"/>
      <c r="BV359" s="49"/>
      <c r="BW359" s="49"/>
      <c r="BX359" s="49"/>
      <c r="BY359" s="49"/>
      <c r="BZ359" s="49"/>
      <c r="CA359" s="49"/>
      <c r="CB359" s="49"/>
      <c r="CC359" s="49"/>
      <c r="CD359" s="49"/>
      <c r="CE359" s="49"/>
      <c r="CF359" s="49"/>
      <c r="CG359" s="49"/>
      <c r="CH359" s="49"/>
      <c r="CI359" s="49"/>
      <c r="CJ359" s="49"/>
      <c r="CK359" s="49"/>
      <c r="CL359" s="49"/>
      <c r="CM359" s="49"/>
      <c r="CN359" s="49"/>
      <c r="CO359" s="49"/>
      <c r="CP359" s="49"/>
      <c r="CQ359" s="49"/>
      <c r="CR359" s="49"/>
      <c r="CS359" s="49"/>
      <c r="CT359" s="155"/>
      <c r="CU359" s="155"/>
      <c r="CV359" s="155"/>
      <c r="CW359" s="155"/>
      <c r="CX359" s="155"/>
      <c r="CY359" s="155"/>
      <c r="CZ359" s="155"/>
      <c r="DA359" s="155"/>
      <c r="DB359" s="155"/>
      <c r="DC359" s="155"/>
      <c r="DD359" s="155"/>
      <c r="DE359" s="155"/>
      <c r="DF359" s="155"/>
      <c r="DG359" s="155"/>
      <c r="DH359" s="155"/>
      <c r="DI359" s="155"/>
      <c r="DJ359" s="155"/>
      <c r="DK359" s="155"/>
      <c r="DL359" s="155"/>
      <c r="DM359" s="155"/>
      <c r="DN359" s="155"/>
      <c r="DO359" s="155"/>
      <c r="DP359" s="155"/>
      <c r="DQ359" s="155"/>
      <c r="DR359" s="155"/>
      <c r="DS359" s="155"/>
      <c r="DT359" s="155"/>
      <c r="DU359" s="155"/>
      <c r="DV359" s="155"/>
      <c r="DW359" s="155"/>
      <c r="DX359" s="155"/>
    </row>
    <row r="360" spans="1:128" ht="18" customHeight="1">
      <c r="A360" s="155"/>
      <c r="B360" s="155"/>
      <c r="C360" s="155"/>
      <c r="D360" s="155"/>
      <c r="E360" s="49">
        <v>2118</v>
      </c>
      <c r="F360" s="49" t="str">
        <f t="shared" si="49"/>
        <v>546556778877</v>
      </c>
      <c r="G360" s="155"/>
      <c r="H360" s="155"/>
      <c r="I360" s="270"/>
      <c r="J360" s="270"/>
      <c r="K360" s="270"/>
      <c r="L360" s="270"/>
      <c r="M360" s="270"/>
      <c r="N360" s="270"/>
      <c r="O360" s="155"/>
      <c r="P360" s="155"/>
      <c r="Q360" s="155"/>
      <c r="R360" s="155"/>
      <c r="S360" s="155"/>
      <c r="T360" s="155"/>
      <c r="U360" s="158"/>
      <c r="V360" s="155"/>
      <c r="W360" s="155"/>
      <c r="X360" s="263"/>
      <c r="Y360" s="155"/>
      <c r="Z360" s="155"/>
      <c r="AA360" s="263"/>
      <c r="AB360" s="263"/>
      <c r="AC360" s="155"/>
      <c r="AD360" s="155"/>
      <c r="AE360" s="155"/>
      <c r="AF360" s="155"/>
      <c r="AG360" s="155"/>
      <c r="AH360" s="155"/>
      <c r="AI360" s="155"/>
      <c r="AJ360" s="155"/>
      <c r="AK360" s="155"/>
      <c r="AL360" s="155"/>
      <c r="AM360" s="155"/>
      <c r="AN360" s="155"/>
      <c r="AO360" s="155"/>
      <c r="AP360" s="49"/>
      <c r="AQ360" s="49"/>
      <c r="AR360" s="155"/>
      <c r="AS360" s="155"/>
      <c r="AT360" s="155"/>
      <c r="AU360" s="155"/>
      <c r="AV360" s="155"/>
      <c r="AW360" s="155"/>
      <c r="AX360" s="155"/>
      <c r="AY360" s="155"/>
      <c r="AZ360" s="49"/>
      <c r="BA360" s="49"/>
      <c r="BB360" s="49"/>
      <c r="BC360" s="49"/>
      <c r="BD360" s="49"/>
      <c r="BE360" s="49"/>
      <c r="BF360" s="49"/>
      <c r="BG360" s="49"/>
      <c r="BH360" s="49"/>
      <c r="BI360" s="155"/>
      <c r="BJ360" s="155"/>
      <c r="BK360" s="155"/>
      <c r="BL360" s="49"/>
      <c r="BM360" s="49"/>
      <c r="BN360" s="49"/>
      <c r="BO360" s="49"/>
      <c r="BP360" s="49"/>
      <c r="BQ360" s="49"/>
      <c r="BR360" s="49"/>
      <c r="BS360" s="49"/>
      <c r="BT360" s="49"/>
      <c r="BU360" s="49"/>
      <c r="BV360" s="49"/>
      <c r="BW360" s="49"/>
      <c r="BX360" s="49"/>
      <c r="BY360" s="49"/>
      <c r="BZ360" s="49"/>
      <c r="CA360" s="49"/>
      <c r="CB360" s="49"/>
      <c r="CC360" s="49"/>
      <c r="CD360" s="49"/>
      <c r="CE360" s="49"/>
      <c r="CF360" s="49"/>
      <c r="CG360" s="49"/>
      <c r="CH360" s="49"/>
      <c r="CI360" s="49"/>
      <c r="CJ360" s="49"/>
      <c r="CK360" s="49"/>
      <c r="CL360" s="49"/>
      <c r="CM360" s="49"/>
      <c r="CN360" s="49"/>
      <c r="CO360" s="49"/>
      <c r="CP360" s="49"/>
      <c r="CQ360" s="49"/>
      <c r="CR360" s="49"/>
      <c r="CS360" s="49"/>
      <c r="CT360" s="155"/>
      <c r="CU360" s="155"/>
      <c r="CV360" s="155"/>
      <c r="CW360" s="155"/>
      <c r="CX360" s="155"/>
      <c r="CY360" s="155"/>
      <c r="CZ360" s="155"/>
      <c r="DA360" s="155"/>
      <c r="DB360" s="155"/>
      <c r="DC360" s="155"/>
      <c r="DD360" s="155"/>
      <c r="DE360" s="155"/>
      <c r="DF360" s="155"/>
      <c r="DG360" s="155"/>
      <c r="DH360" s="155"/>
      <c r="DI360" s="155"/>
      <c r="DJ360" s="155"/>
      <c r="DK360" s="155"/>
      <c r="DL360" s="155"/>
      <c r="DM360" s="155"/>
      <c r="DN360" s="155"/>
      <c r="DO360" s="155"/>
      <c r="DP360" s="155"/>
      <c r="DQ360" s="155"/>
      <c r="DR360" s="155"/>
      <c r="DS360" s="155"/>
      <c r="DT360" s="155"/>
      <c r="DU360" s="155"/>
      <c r="DV360" s="155"/>
      <c r="DW360" s="155"/>
      <c r="DX360" s="155"/>
    </row>
    <row r="361" spans="1:128" ht="18" customHeight="1">
      <c r="A361" s="155"/>
      <c r="B361" s="155"/>
      <c r="C361" s="155"/>
      <c r="D361" s="155"/>
      <c r="E361" s="49">
        <v>2119</v>
      </c>
      <c r="F361" s="49" t="str">
        <f t="shared" si="49"/>
        <v>646566788887</v>
      </c>
      <c r="G361" s="155"/>
      <c r="H361" s="155"/>
      <c r="I361" s="270"/>
      <c r="J361" s="270"/>
      <c r="K361" s="270"/>
      <c r="L361" s="270"/>
      <c r="M361" s="270"/>
      <c r="N361" s="270"/>
      <c r="O361" s="155"/>
      <c r="P361" s="155"/>
      <c r="Q361" s="155"/>
      <c r="R361" s="155"/>
      <c r="S361" s="155"/>
      <c r="T361" s="155"/>
      <c r="U361" s="158"/>
      <c r="V361" s="155"/>
      <c r="W361" s="155"/>
      <c r="X361" s="263"/>
      <c r="Y361" s="155"/>
      <c r="Z361" s="155"/>
      <c r="AA361" s="263"/>
      <c r="AB361" s="263"/>
      <c r="AC361" s="155"/>
      <c r="AD361" s="155"/>
      <c r="AE361" s="155"/>
      <c r="AF361" s="155"/>
      <c r="AG361" s="155"/>
      <c r="AH361" s="155"/>
      <c r="AI361" s="155"/>
      <c r="AJ361" s="155"/>
      <c r="AK361" s="155"/>
      <c r="AL361" s="155"/>
      <c r="AM361" s="155"/>
      <c r="AN361" s="155"/>
      <c r="AO361" s="155"/>
      <c r="AP361" s="49"/>
      <c r="AQ361" s="49"/>
      <c r="AR361" s="155"/>
      <c r="AS361" s="155"/>
      <c r="AT361" s="155"/>
      <c r="AU361" s="155"/>
      <c r="AV361" s="155"/>
      <c r="AW361" s="155"/>
      <c r="AX361" s="155"/>
      <c r="AY361" s="155"/>
      <c r="AZ361" s="49"/>
      <c r="BA361" s="49"/>
      <c r="BB361" s="49"/>
      <c r="BC361" s="49"/>
      <c r="BD361" s="49"/>
      <c r="BE361" s="49"/>
      <c r="BF361" s="49"/>
      <c r="BG361" s="49"/>
      <c r="BH361" s="49"/>
      <c r="BI361" s="155"/>
      <c r="BJ361" s="155"/>
      <c r="BK361" s="155"/>
      <c r="BL361" s="49"/>
      <c r="BM361" s="49"/>
      <c r="BN361" s="49"/>
      <c r="BO361" s="49"/>
      <c r="BP361" s="49"/>
      <c r="BQ361" s="49"/>
      <c r="BR361" s="49"/>
      <c r="BS361" s="49"/>
      <c r="BT361" s="49"/>
      <c r="BU361" s="49"/>
      <c r="BV361" s="49"/>
      <c r="BW361" s="49"/>
      <c r="BX361" s="49"/>
      <c r="BY361" s="49"/>
      <c r="BZ361" s="49"/>
      <c r="CA361" s="49"/>
      <c r="CB361" s="49"/>
      <c r="CC361" s="49"/>
      <c r="CD361" s="49"/>
      <c r="CE361" s="49"/>
      <c r="CF361" s="49"/>
      <c r="CG361" s="49"/>
      <c r="CH361" s="49"/>
      <c r="CI361" s="49"/>
      <c r="CJ361" s="49"/>
      <c r="CK361" s="49"/>
      <c r="CL361" s="49"/>
      <c r="CM361" s="49"/>
      <c r="CN361" s="49"/>
      <c r="CO361" s="49"/>
      <c r="CP361" s="49"/>
      <c r="CQ361" s="49"/>
      <c r="CR361" s="49"/>
      <c r="CS361" s="49"/>
      <c r="CT361" s="155"/>
      <c r="CU361" s="155"/>
      <c r="CV361" s="155"/>
      <c r="CW361" s="155"/>
      <c r="CX361" s="155"/>
      <c r="CY361" s="155"/>
      <c r="CZ361" s="155"/>
      <c r="DA361" s="155"/>
      <c r="DB361" s="155"/>
      <c r="DC361" s="155"/>
      <c r="DD361" s="155"/>
      <c r="DE361" s="155"/>
      <c r="DF361" s="155"/>
      <c r="DG361" s="155"/>
      <c r="DH361" s="155"/>
      <c r="DI361" s="155"/>
      <c r="DJ361" s="155"/>
      <c r="DK361" s="155"/>
      <c r="DL361" s="155"/>
      <c r="DM361" s="155"/>
      <c r="DN361" s="155"/>
      <c r="DO361" s="155"/>
      <c r="DP361" s="155"/>
      <c r="DQ361" s="155"/>
      <c r="DR361" s="155"/>
      <c r="DS361" s="155"/>
      <c r="DT361" s="155"/>
      <c r="DU361" s="155"/>
      <c r="DV361" s="155"/>
      <c r="DW361" s="155"/>
      <c r="DX361" s="155"/>
    </row>
    <row r="362" spans="1:128" ht="18" customHeight="1">
      <c r="A362" s="155"/>
      <c r="B362" s="155"/>
      <c r="C362" s="155"/>
      <c r="D362" s="155"/>
      <c r="E362" s="49">
        <v>2120</v>
      </c>
      <c r="F362" s="49" t="str">
        <f t="shared" si="49"/>
        <v>546556778877</v>
      </c>
      <c r="G362" s="155"/>
      <c r="H362" s="155"/>
      <c r="I362" s="270"/>
      <c r="J362" s="270"/>
      <c r="K362" s="270"/>
      <c r="L362" s="270"/>
      <c r="M362" s="270"/>
      <c r="N362" s="270"/>
      <c r="O362" s="155"/>
      <c r="P362" s="155"/>
      <c r="Q362" s="155"/>
      <c r="R362" s="155"/>
      <c r="S362" s="155"/>
      <c r="T362" s="155"/>
      <c r="U362" s="158"/>
      <c r="V362" s="155"/>
      <c r="W362" s="155"/>
      <c r="X362" s="263"/>
      <c r="Y362" s="155"/>
      <c r="Z362" s="155"/>
      <c r="AA362" s="263"/>
      <c r="AB362" s="263"/>
      <c r="AC362" s="155"/>
      <c r="AD362" s="155"/>
      <c r="AE362" s="155"/>
      <c r="AF362" s="155"/>
      <c r="AG362" s="155"/>
      <c r="AH362" s="155"/>
      <c r="AI362" s="155"/>
      <c r="AJ362" s="155"/>
      <c r="AK362" s="155"/>
      <c r="AL362" s="155"/>
      <c r="AM362" s="155"/>
      <c r="AN362" s="155"/>
      <c r="AO362" s="155"/>
      <c r="AP362" s="49"/>
      <c r="AQ362" s="49"/>
      <c r="AR362" s="155"/>
      <c r="AS362" s="155"/>
      <c r="AT362" s="155"/>
      <c r="AU362" s="155"/>
      <c r="AV362" s="155"/>
      <c r="AW362" s="155"/>
      <c r="AX362" s="155"/>
      <c r="AY362" s="155"/>
      <c r="AZ362" s="49"/>
      <c r="BA362" s="49"/>
      <c r="BB362" s="49"/>
      <c r="BC362" s="49"/>
      <c r="BD362" s="49"/>
      <c r="BE362" s="49"/>
      <c r="BF362" s="49"/>
      <c r="BG362" s="49"/>
      <c r="BH362" s="49"/>
      <c r="BI362" s="155"/>
      <c r="BJ362" s="155"/>
      <c r="BK362" s="155"/>
      <c r="BL362" s="49"/>
      <c r="BM362" s="49"/>
      <c r="BN362" s="49"/>
      <c r="BO362" s="49"/>
      <c r="BP362" s="49"/>
      <c r="BQ362" s="49"/>
      <c r="BR362" s="49"/>
      <c r="BS362" s="49"/>
      <c r="BT362" s="49"/>
      <c r="BU362" s="49"/>
      <c r="BV362" s="49"/>
      <c r="BW362" s="49"/>
      <c r="BX362" s="49"/>
      <c r="BY362" s="49"/>
      <c r="BZ362" s="49"/>
      <c r="CA362" s="49"/>
      <c r="CB362" s="49"/>
      <c r="CC362" s="49"/>
      <c r="CD362" s="49"/>
      <c r="CE362" s="49"/>
      <c r="CF362" s="49"/>
      <c r="CG362" s="49"/>
      <c r="CH362" s="49"/>
      <c r="CI362" s="49"/>
      <c r="CJ362" s="49"/>
      <c r="CK362" s="49"/>
      <c r="CL362" s="49"/>
      <c r="CM362" s="49"/>
      <c r="CN362" s="49"/>
      <c r="CO362" s="49"/>
      <c r="CP362" s="49"/>
      <c r="CQ362" s="49"/>
      <c r="CR362" s="49"/>
      <c r="CS362" s="49"/>
      <c r="CT362" s="155"/>
      <c r="CU362" s="155"/>
      <c r="CV362" s="155"/>
      <c r="CW362" s="155"/>
      <c r="CX362" s="155"/>
      <c r="CY362" s="155"/>
      <c r="CZ362" s="155"/>
      <c r="DA362" s="155"/>
      <c r="DB362" s="155"/>
      <c r="DC362" s="155"/>
      <c r="DD362" s="155"/>
      <c r="DE362" s="155"/>
      <c r="DF362" s="155"/>
      <c r="DG362" s="155"/>
      <c r="DH362" s="155"/>
      <c r="DI362" s="155"/>
      <c r="DJ362" s="155"/>
      <c r="DK362" s="155"/>
      <c r="DL362" s="155"/>
      <c r="DM362" s="155"/>
      <c r="DN362" s="155"/>
      <c r="DO362" s="155"/>
      <c r="DP362" s="155"/>
      <c r="DQ362" s="155"/>
      <c r="DR362" s="155"/>
      <c r="DS362" s="155"/>
      <c r="DT362" s="155"/>
      <c r="DU362" s="155"/>
      <c r="DV362" s="155"/>
      <c r="DW362" s="155"/>
      <c r="DX362" s="155"/>
    </row>
    <row r="363" spans="1:128" ht="18" customHeight="1">
      <c r="A363" s="155"/>
      <c r="B363" s="155"/>
      <c r="C363" s="155"/>
      <c r="D363" s="155"/>
      <c r="E363" s="49">
        <v>2121</v>
      </c>
      <c r="F363" s="49" t="str">
        <f t="shared" si="49"/>
        <v>546556778877</v>
      </c>
      <c r="G363" s="155"/>
      <c r="H363" s="155"/>
      <c r="I363" s="270"/>
      <c r="J363" s="270"/>
      <c r="K363" s="270"/>
      <c r="L363" s="270"/>
      <c r="M363" s="270"/>
      <c r="N363" s="270"/>
      <c r="O363" s="155"/>
      <c r="P363" s="155"/>
      <c r="Q363" s="155"/>
      <c r="R363" s="155"/>
      <c r="S363" s="155"/>
      <c r="T363" s="155"/>
      <c r="U363" s="158"/>
      <c r="V363" s="155"/>
      <c r="W363" s="155"/>
      <c r="X363" s="263"/>
      <c r="Y363" s="155"/>
      <c r="Z363" s="155"/>
      <c r="AA363" s="263"/>
      <c r="AB363" s="263"/>
      <c r="AC363" s="155"/>
      <c r="AD363" s="155"/>
      <c r="AE363" s="155"/>
      <c r="AF363" s="155"/>
      <c r="AG363" s="155"/>
      <c r="AH363" s="155"/>
      <c r="AI363" s="155"/>
      <c r="AJ363" s="155"/>
      <c r="AK363" s="155"/>
      <c r="AL363" s="155"/>
      <c r="AM363" s="155"/>
      <c r="AN363" s="155"/>
      <c r="AO363" s="155"/>
      <c r="AP363" s="49"/>
      <c r="AQ363" s="49"/>
      <c r="AR363" s="155"/>
      <c r="AS363" s="155"/>
      <c r="AT363" s="155"/>
      <c r="AU363" s="155"/>
      <c r="AV363" s="155"/>
      <c r="AW363" s="155"/>
      <c r="AX363" s="155"/>
      <c r="AY363" s="155"/>
      <c r="AZ363" s="49"/>
      <c r="BA363" s="49"/>
      <c r="BB363" s="49"/>
      <c r="BC363" s="49"/>
      <c r="BD363" s="49"/>
      <c r="BE363" s="49"/>
      <c r="BF363" s="49"/>
      <c r="BG363" s="49"/>
      <c r="BH363" s="49"/>
      <c r="BI363" s="155"/>
      <c r="BJ363" s="155"/>
      <c r="BK363" s="155"/>
      <c r="BL363" s="49"/>
      <c r="BM363" s="49"/>
      <c r="BN363" s="49"/>
      <c r="BO363" s="49"/>
      <c r="BP363" s="49"/>
      <c r="BQ363" s="49"/>
      <c r="BR363" s="49"/>
      <c r="BS363" s="49"/>
      <c r="BT363" s="49"/>
      <c r="BU363" s="49"/>
      <c r="BV363" s="49"/>
      <c r="BW363" s="49"/>
      <c r="BX363" s="49"/>
      <c r="BY363" s="49"/>
      <c r="BZ363" s="49"/>
      <c r="CA363" s="49"/>
      <c r="CB363" s="49"/>
      <c r="CC363" s="49"/>
      <c r="CD363" s="49"/>
      <c r="CE363" s="49"/>
      <c r="CF363" s="49"/>
      <c r="CG363" s="49"/>
      <c r="CH363" s="49"/>
      <c r="CI363" s="49"/>
      <c r="CJ363" s="49"/>
      <c r="CK363" s="49"/>
      <c r="CL363" s="49"/>
      <c r="CM363" s="49"/>
      <c r="CN363" s="49"/>
      <c r="CO363" s="49"/>
      <c r="CP363" s="49"/>
      <c r="CQ363" s="49"/>
      <c r="CR363" s="49"/>
      <c r="CS363" s="49"/>
      <c r="CT363" s="155"/>
      <c r="CU363" s="155"/>
      <c r="CV363" s="155"/>
      <c r="CW363" s="155"/>
      <c r="CX363" s="155"/>
      <c r="CY363" s="155"/>
      <c r="CZ363" s="155"/>
      <c r="DA363" s="155"/>
      <c r="DB363" s="155"/>
      <c r="DC363" s="155"/>
      <c r="DD363" s="155"/>
      <c r="DE363" s="155"/>
      <c r="DF363" s="155"/>
      <c r="DG363" s="155"/>
      <c r="DH363" s="155"/>
      <c r="DI363" s="155"/>
      <c r="DJ363" s="155"/>
      <c r="DK363" s="155"/>
      <c r="DL363" s="155"/>
      <c r="DM363" s="155"/>
      <c r="DN363" s="155"/>
      <c r="DO363" s="155"/>
      <c r="DP363" s="155"/>
      <c r="DQ363" s="155"/>
      <c r="DR363" s="155"/>
      <c r="DS363" s="155"/>
      <c r="DT363" s="155"/>
      <c r="DU363" s="155"/>
      <c r="DV363" s="155"/>
      <c r="DW363" s="155"/>
      <c r="DX363" s="155"/>
    </row>
    <row r="364" spans="1:128" ht="18" customHeight="1">
      <c r="A364" s="155"/>
      <c r="B364" s="155"/>
      <c r="C364" s="155"/>
      <c r="D364" s="155"/>
      <c r="E364" s="49">
        <v>2122</v>
      </c>
      <c r="F364" s="49" t="str">
        <f t="shared" si="49"/>
        <v>546556778877</v>
      </c>
      <c r="G364" s="155"/>
      <c r="H364" s="155"/>
      <c r="I364" s="270"/>
      <c r="J364" s="270"/>
      <c r="K364" s="270"/>
      <c r="L364" s="270"/>
      <c r="M364" s="270"/>
      <c r="N364" s="270"/>
      <c r="O364" s="155"/>
      <c r="P364" s="155"/>
      <c r="Q364" s="155"/>
      <c r="R364" s="155"/>
      <c r="S364" s="155"/>
      <c r="T364" s="155"/>
      <c r="U364" s="158"/>
      <c r="V364" s="155"/>
      <c r="W364" s="155"/>
      <c r="X364" s="263"/>
      <c r="Y364" s="155"/>
      <c r="Z364" s="155"/>
      <c r="AA364" s="263"/>
      <c r="AB364" s="263"/>
      <c r="AC364" s="155"/>
      <c r="AD364" s="155"/>
      <c r="AE364" s="155"/>
      <c r="AF364" s="155"/>
      <c r="AG364" s="155"/>
      <c r="AH364" s="155"/>
      <c r="AI364" s="155"/>
      <c r="AJ364" s="155"/>
      <c r="AK364" s="155"/>
      <c r="AL364" s="155"/>
      <c r="AM364" s="155"/>
      <c r="AN364" s="155"/>
      <c r="AO364" s="155"/>
      <c r="AP364" s="49"/>
      <c r="AQ364" s="49"/>
      <c r="AR364" s="155"/>
      <c r="AS364" s="155"/>
      <c r="AT364" s="155"/>
      <c r="AU364" s="155"/>
      <c r="AV364" s="155"/>
      <c r="AW364" s="155"/>
      <c r="AX364" s="155"/>
      <c r="AY364" s="155"/>
      <c r="AZ364" s="49"/>
      <c r="BA364" s="49"/>
      <c r="BB364" s="49"/>
      <c r="BC364" s="49"/>
      <c r="BD364" s="49"/>
      <c r="BE364" s="49"/>
      <c r="BF364" s="49"/>
      <c r="BG364" s="49"/>
      <c r="BH364" s="49"/>
      <c r="BI364" s="155"/>
      <c r="BJ364" s="155"/>
      <c r="BK364" s="155"/>
      <c r="BL364" s="49"/>
      <c r="BM364" s="49"/>
      <c r="BN364" s="49"/>
      <c r="BO364" s="49"/>
      <c r="BP364" s="49"/>
      <c r="BQ364" s="49"/>
      <c r="BR364" s="49"/>
      <c r="BS364" s="49"/>
      <c r="BT364" s="49"/>
      <c r="BU364" s="49"/>
      <c r="BV364" s="49"/>
      <c r="BW364" s="49"/>
      <c r="BX364" s="49"/>
      <c r="BY364" s="49"/>
      <c r="BZ364" s="49"/>
      <c r="CA364" s="49"/>
      <c r="CB364" s="49"/>
      <c r="CC364" s="49"/>
      <c r="CD364" s="49"/>
      <c r="CE364" s="49"/>
      <c r="CF364" s="49"/>
      <c r="CG364" s="49"/>
      <c r="CH364" s="49"/>
      <c r="CI364" s="49"/>
      <c r="CJ364" s="49"/>
      <c r="CK364" s="49"/>
      <c r="CL364" s="49"/>
      <c r="CM364" s="49"/>
      <c r="CN364" s="49"/>
      <c r="CO364" s="49"/>
      <c r="CP364" s="49"/>
      <c r="CQ364" s="49"/>
      <c r="CR364" s="49"/>
      <c r="CS364" s="49"/>
      <c r="CT364" s="155"/>
      <c r="CU364" s="155"/>
      <c r="CV364" s="155"/>
      <c r="CW364" s="155"/>
      <c r="CX364" s="155"/>
      <c r="CY364" s="155"/>
      <c r="CZ364" s="155"/>
      <c r="DA364" s="155"/>
      <c r="DB364" s="155"/>
      <c r="DC364" s="155"/>
      <c r="DD364" s="155"/>
      <c r="DE364" s="155"/>
      <c r="DF364" s="155"/>
      <c r="DG364" s="155"/>
      <c r="DH364" s="155"/>
      <c r="DI364" s="155"/>
      <c r="DJ364" s="155"/>
      <c r="DK364" s="155"/>
      <c r="DL364" s="155"/>
      <c r="DM364" s="155"/>
      <c r="DN364" s="155"/>
      <c r="DO364" s="155"/>
      <c r="DP364" s="155"/>
      <c r="DQ364" s="155"/>
      <c r="DR364" s="155"/>
      <c r="DS364" s="155"/>
      <c r="DT364" s="155"/>
      <c r="DU364" s="155"/>
      <c r="DV364" s="155"/>
      <c r="DW364" s="155"/>
      <c r="DX364" s="155"/>
    </row>
    <row r="365" spans="1:128" ht="18" customHeight="1">
      <c r="A365" s="155"/>
      <c r="B365" s="155"/>
      <c r="C365" s="155"/>
      <c r="D365" s="155"/>
      <c r="E365" s="49">
        <v>2123</v>
      </c>
      <c r="F365" s="49" t="str">
        <f t="shared" si="49"/>
        <v>646566788887</v>
      </c>
      <c r="G365" s="155"/>
      <c r="H365" s="155"/>
      <c r="I365" s="270"/>
      <c r="J365" s="270"/>
      <c r="K365" s="270"/>
      <c r="L365" s="270"/>
      <c r="M365" s="270"/>
      <c r="N365" s="270"/>
      <c r="O365" s="155"/>
      <c r="P365" s="155"/>
      <c r="Q365" s="155"/>
      <c r="R365" s="155"/>
      <c r="S365" s="155"/>
      <c r="T365" s="155"/>
      <c r="U365" s="158"/>
      <c r="V365" s="155"/>
      <c r="W365" s="155"/>
      <c r="X365" s="263"/>
      <c r="Y365" s="155"/>
      <c r="Z365" s="155"/>
      <c r="AA365" s="263"/>
      <c r="AB365" s="263"/>
      <c r="AC365" s="155"/>
      <c r="AD365" s="155"/>
      <c r="AE365" s="155"/>
      <c r="AF365" s="155"/>
      <c r="AG365" s="155"/>
      <c r="AH365" s="155"/>
      <c r="AI365" s="155"/>
      <c r="AJ365" s="155"/>
      <c r="AK365" s="155"/>
      <c r="AL365" s="155"/>
      <c r="AM365" s="155"/>
      <c r="AN365" s="155"/>
      <c r="AO365" s="155"/>
      <c r="AP365" s="49"/>
      <c r="AQ365" s="49"/>
      <c r="AR365" s="155"/>
      <c r="AS365" s="155"/>
      <c r="AT365" s="155"/>
      <c r="AU365" s="155"/>
      <c r="AV365" s="155"/>
      <c r="AW365" s="155"/>
      <c r="AX365" s="155"/>
      <c r="AY365" s="155"/>
      <c r="AZ365" s="49"/>
      <c r="BA365" s="49"/>
      <c r="BB365" s="49"/>
      <c r="BC365" s="49"/>
      <c r="BD365" s="49"/>
      <c r="BE365" s="49"/>
      <c r="BF365" s="49"/>
      <c r="BG365" s="49"/>
      <c r="BH365" s="49"/>
      <c r="BI365" s="155"/>
      <c r="BJ365" s="155"/>
      <c r="BK365" s="155"/>
      <c r="BL365" s="49"/>
      <c r="BM365" s="49"/>
      <c r="BN365" s="49"/>
      <c r="BO365" s="49"/>
      <c r="BP365" s="49"/>
      <c r="BQ365" s="49"/>
      <c r="BR365" s="49"/>
      <c r="BS365" s="49"/>
      <c r="BT365" s="49"/>
      <c r="BU365" s="49"/>
      <c r="BV365" s="49"/>
      <c r="BW365" s="49"/>
      <c r="BX365" s="49"/>
      <c r="BY365" s="49"/>
      <c r="BZ365" s="49"/>
      <c r="CA365" s="49"/>
      <c r="CB365" s="49"/>
      <c r="CC365" s="49"/>
      <c r="CD365" s="49"/>
      <c r="CE365" s="49"/>
      <c r="CF365" s="49"/>
      <c r="CG365" s="49"/>
      <c r="CH365" s="49"/>
      <c r="CI365" s="49"/>
      <c r="CJ365" s="49"/>
      <c r="CK365" s="49"/>
      <c r="CL365" s="49"/>
      <c r="CM365" s="49"/>
      <c r="CN365" s="49"/>
      <c r="CO365" s="49"/>
      <c r="CP365" s="49"/>
      <c r="CQ365" s="49"/>
      <c r="CR365" s="49"/>
      <c r="CS365" s="49"/>
      <c r="CT365" s="155"/>
      <c r="CU365" s="155"/>
      <c r="CV365" s="155"/>
      <c r="CW365" s="155"/>
      <c r="CX365" s="155"/>
      <c r="CY365" s="155"/>
      <c r="CZ365" s="155"/>
      <c r="DA365" s="155"/>
      <c r="DB365" s="155"/>
      <c r="DC365" s="155"/>
      <c r="DD365" s="155"/>
      <c r="DE365" s="155"/>
      <c r="DF365" s="155"/>
      <c r="DG365" s="155"/>
      <c r="DH365" s="155"/>
      <c r="DI365" s="155"/>
      <c r="DJ365" s="155"/>
      <c r="DK365" s="155"/>
      <c r="DL365" s="155"/>
      <c r="DM365" s="155"/>
      <c r="DN365" s="155"/>
      <c r="DO365" s="155"/>
      <c r="DP365" s="155"/>
      <c r="DQ365" s="155"/>
      <c r="DR365" s="155"/>
      <c r="DS365" s="155"/>
      <c r="DT365" s="155"/>
      <c r="DU365" s="155"/>
      <c r="DV365" s="155"/>
      <c r="DW365" s="155"/>
      <c r="DX365" s="155"/>
    </row>
    <row r="366" spans="1:128" ht="18" customHeight="1">
      <c r="A366" s="155"/>
      <c r="B366" s="155"/>
      <c r="C366" s="155"/>
      <c r="D366" s="155"/>
      <c r="E366" s="49">
        <v>2124</v>
      </c>
      <c r="F366" s="49" t="str">
        <f t="shared" si="49"/>
        <v>546556778877</v>
      </c>
      <c r="G366" s="155"/>
      <c r="H366" s="155"/>
      <c r="I366" s="270"/>
      <c r="J366" s="270"/>
      <c r="K366" s="270"/>
      <c r="L366" s="270"/>
      <c r="M366" s="270"/>
      <c r="N366" s="270"/>
      <c r="O366" s="155"/>
      <c r="P366" s="155"/>
      <c r="Q366" s="155"/>
      <c r="R366" s="155"/>
      <c r="S366" s="155"/>
      <c r="T366" s="155"/>
      <c r="U366" s="158"/>
      <c r="V366" s="155"/>
      <c r="W366" s="155"/>
      <c r="X366" s="263"/>
      <c r="Y366" s="155"/>
      <c r="Z366" s="155"/>
      <c r="AA366" s="263"/>
      <c r="AB366" s="263"/>
      <c r="AC366" s="155"/>
      <c r="AD366" s="155"/>
      <c r="AE366" s="155"/>
      <c r="AF366" s="155"/>
      <c r="AG366" s="155"/>
      <c r="AH366" s="155"/>
      <c r="AI366" s="155"/>
      <c r="AJ366" s="155"/>
      <c r="AK366" s="155"/>
      <c r="AL366" s="155"/>
      <c r="AM366" s="155"/>
      <c r="AN366" s="155"/>
      <c r="AO366" s="155"/>
      <c r="AP366" s="49"/>
      <c r="AQ366" s="49"/>
      <c r="AR366" s="155"/>
      <c r="AS366" s="155"/>
      <c r="AT366" s="155"/>
      <c r="AU366" s="155"/>
      <c r="AV366" s="155"/>
      <c r="AW366" s="155"/>
      <c r="AX366" s="155"/>
      <c r="AY366" s="155"/>
      <c r="AZ366" s="49"/>
      <c r="BA366" s="49"/>
      <c r="BB366" s="49"/>
      <c r="BC366" s="49"/>
      <c r="BD366" s="49"/>
      <c r="BE366" s="49"/>
      <c r="BF366" s="49"/>
      <c r="BG366" s="49"/>
      <c r="BH366" s="49"/>
      <c r="BI366" s="155"/>
      <c r="BJ366" s="155"/>
      <c r="BK366" s="155"/>
      <c r="BL366" s="49"/>
      <c r="BM366" s="49"/>
      <c r="BN366" s="49"/>
      <c r="BO366" s="49"/>
      <c r="BP366" s="49"/>
      <c r="BQ366" s="49"/>
      <c r="BR366" s="49"/>
      <c r="BS366" s="49"/>
      <c r="BT366" s="49"/>
      <c r="BU366" s="49"/>
      <c r="BV366" s="49"/>
      <c r="BW366" s="49"/>
      <c r="BX366" s="49"/>
      <c r="BY366" s="49"/>
      <c r="BZ366" s="49"/>
      <c r="CA366" s="49"/>
      <c r="CB366" s="49"/>
      <c r="CC366" s="49"/>
      <c r="CD366" s="49"/>
      <c r="CE366" s="49"/>
      <c r="CF366" s="49"/>
      <c r="CG366" s="49"/>
      <c r="CH366" s="49"/>
      <c r="CI366" s="49"/>
      <c r="CJ366" s="49"/>
      <c r="CK366" s="49"/>
      <c r="CL366" s="49"/>
      <c r="CM366" s="49"/>
      <c r="CN366" s="49"/>
      <c r="CO366" s="49"/>
      <c r="CP366" s="49"/>
      <c r="CQ366" s="49"/>
      <c r="CR366" s="49"/>
      <c r="CS366" s="49"/>
      <c r="CT366" s="155"/>
      <c r="CU366" s="155"/>
      <c r="CV366" s="155"/>
      <c r="CW366" s="155"/>
      <c r="CX366" s="155"/>
      <c r="CY366" s="155"/>
      <c r="CZ366" s="155"/>
      <c r="DA366" s="155"/>
      <c r="DB366" s="155"/>
      <c r="DC366" s="155"/>
      <c r="DD366" s="155"/>
      <c r="DE366" s="155"/>
      <c r="DF366" s="155"/>
      <c r="DG366" s="155"/>
      <c r="DH366" s="155"/>
      <c r="DI366" s="155"/>
      <c r="DJ366" s="155"/>
      <c r="DK366" s="155"/>
      <c r="DL366" s="155"/>
      <c r="DM366" s="155"/>
      <c r="DN366" s="155"/>
      <c r="DO366" s="155"/>
      <c r="DP366" s="155"/>
      <c r="DQ366" s="155"/>
      <c r="DR366" s="155"/>
      <c r="DS366" s="155"/>
      <c r="DT366" s="155"/>
      <c r="DU366" s="155"/>
      <c r="DV366" s="155"/>
      <c r="DW366" s="155"/>
      <c r="DX366" s="155"/>
    </row>
    <row r="367" spans="1:128" ht="18" customHeight="1">
      <c r="A367" s="155"/>
      <c r="B367" s="155"/>
      <c r="C367" s="155"/>
      <c r="D367" s="155"/>
      <c r="E367" s="49">
        <v>2125</v>
      </c>
      <c r="F367" s="49" t="str">
        <f t="shared" si="49"/>
        <v>546556778877</v>
      </c>
      <c r="G367" s="155"/>
      <c r="H367" s="155"/>
      <c r="I367" s="270"/>
      <c r="J367" s="270"/>
      <c r="K367" s="270"/>
      <c r="L367" s="270"/>
      <c r="M367" s="270"/>
      <c r="N367" s="270"/>
      <c r="O367" s="155"/>
      <c r="P367" s="155"/>
      <c r="Q367" s="155"/>
      <c r="R367" s="155"/>
      <c r="S367" s="155"/>
      <c r="T367" s="155"/>
      <c r="U367" s="158"/>
      <c r="V367" s="155"/>
      <c r="W367" s="155"/>
      <c r="X367" s="263"/>
      <c r="Y367" s="155"/>
      <c r="Z367" s="155"/>
      <c r="AA367" s="263"/>
      <c r="AB367" s="263"/>
      <c r="AC367" s="155"/>
      <c r="AD367" s="155"/>
      <c r="AE367" s="155"/>
      <c r="AF367" s="155"/>
      <c r="AG367" s="155"/>
      <c r="AH367" s="155"/>
      <c r="AI367" s="155"/>
      <c r="AJ367" s="155"/>
      <c r="AK367" s="155"/>
      <c r="AL367" s="155"/>
      <c r="AM367" s="155"/>
      <c r="AN367" s="155"/>
      <c r="AO367" s="155"/>
      <c r="AP367" s="49"/>
      <c r="AQ367" s="49"/>
      <c r="AR367" s="155"/>
      <c r="AS367" s="155"/>
      <c r="AT367" s="155"/>
      <c r="AU367" s="155"/>
      <c r="AV367" s="155"/>
      <c r="AW367" s="155"/>
      <c r="AX367" s="155"/>
      <c r="AY367" s="155"/>
      <c r="AZ367" s="49"/>
      <c r="BA367" s="49"/>
      <c r="BB367" s="49"/>
      <c r="BC367" s="49"/>
      <c r="BD367" s="49"/>
      <c r="BE367" s="49"/>
      <c r="BF367" s="49"/>
      <c r="BG367" s="49"/>
      <c r="BH367" s="49"/>
      <c r="BI367" s="155"/>
      <c r="BJ367" s="155"/>
      <c r="BK367" s="155"/>
      <c r="BL367" s="49"/>
      <c r="BM367" s="49"/>
      <c r="BN367" s="49"/>
      <c r="BO367" s="49"/>
      <c r="BP367" s="49"/>
      <c r="BQ367" s="49"/>
      <c r="BR367" s="49"/>
      <c r="BS367" s="49"/>
      <c r="BT367" s="49"/>
      <c r="BU367" s="49"/>
      <c r="BV367" s="49"/>
      <c r="BW367" s="49"/>
      <c r="BX367" s="49"/>
      <c r="BY367" s="49"/>
      <c r="BZ367" s="49"/>
      <c r="CA367" s="49"/>
      <c r="CB367" s="49"/>
      <c r="CC367" s="49"/>
      <c r="CD367" s="49"/>
      <c r="CE367" s="49"/>
      <c r="CF367" s="49"/>
      <c r="CG367" s="49"/>
      <c r="CH367" s="49"/>
      <c r="CI367" s="49"/>
      <c r="CJ367" s="49"/>
      <c r="CK367" s="49"/>
      <c r="CL367" s="49"/>
      <c r="CM367" s="49"/>
      <c r="CN367" s="49"/>
      <c r="CO367" s="49"/>
      <c r="CP367" s="49"/>
      <c r="CQ367" s="49"/>
      <c r="CR367" s="49"/>
      <c r="CS367" s="49"/>
      <c r="CT367" s="155"/>
      <c r="CU367" s="155"/>
      <c r="CV367" s="155"/>
      <c r="CW367" s="155"/>
      <c r="CX367" s="155"/>
      <c r="CY367" s="155"/>
      <c r="CZ367" s="155"/>
      <c r="DA367" s="155"/>
      <c r="DB367" s="155"/>
      <c r="DC367" s="155"/>
      <c r="DD367" s="155"/>
      <c r="DE367" s="155"/>
      <c r="DF367" s="155"/>
      <c r="DG367" s="155"/>
      <c r="DH367" s="155"/>
      <c r="DI367" s="155"/>
      <c r="DJ367" s="155"/>
      <c r="DK367" s="155"/>
      <c r="DL367" s="155"/>
      <c r="DM367" s="155"/>
      <c r="DN367" s="155"/>
      <c r="DO367" s="155"/>
      <c r="DP367" s="155"/>
      <c r="DQ367" s="155"/>
      <c r="DR367" s="155"/>
      <c r="DS367" s="155"/>
      <c r="DT367" s="155"/>
      <c r="DU367" s="155"/>
      <c r="DV367" s="155"/>
      <c r="DW367" s="155"/>
      <c r="DX367" s="155"/>
    </row>
    <row r="368" spans="1:128" ht="18" customHeight="1">
      <c r="A368" s="155"/>
      <c r="B368" s="155"/>
      <c r="C368" s="155"/>
      <c r="D368" s="155"/>
      <c r="E368" s="49">
        <v>2126</v>
      </c>
      <c r="F368" s="49" t="str">
        <f t="shared" si="49"/>
        <v>546556778877</v>
      </c>
      <c r="G368" s="155"/>
      <c r="H368" s="155"/>
      <c r="I368" s="270"/>
      <c r="J368" s="270"/>
      <c r="K368" s="270"/>
      <c r="L368" s="270"/>
      <c r="M368" s="270"/>
      <c r="N368" s="270"/>
      <c r="O368" s="155"/>
      <c r="P368" s="155"/>
      <c r="Q368" s="155"/>
      <c r="R368" s="155"/>
      <c r="S368" s="155"/>
      <c r="T368" s="155"/>
      <c r="U368" s="158"/>
      <c r="V368" s="155"/>
      <c r="W368" s="155"/>
      <c r="X368" s="263"/>
      <c r="Y368" s="155"/>
      <c r="Z368" s="155"/>
      <c r="AA368" s="263"/>
      <c r="AB368" s="263"/>
      <c r="AC368" s="155"/>
      <c r="AD368" s="155"/>
      <c r="AE368" s="155"/>
      <c r="AF368" s="155"/>
      <c r="AG368" s="155"/>
      <c r="AH368" s="155"/>
      <c r="AI368" s="155"/>
      <c r="AJ368" s="155"/>
      <c r="AK368" s="155"/>
      <c r="AL368" s="155"/>
      <c r="AM368" s="155"/>
      <c r="AN368" s="155"/>
      <c r="AO368" s="155"/>
      <c r="AP368" s="49"/>
      <c r="AQ368" s="49"/>
      <c r="AR368" s="155"/>
      <c r="AS368" s="155"/>
      <c r="AT368" s="155"/>
      <c r="AU368" s="155"/>
      <c r="AV368" s="155"/>
      <c r="AW368" s="155"/>
      <c r="AX368" s="155"/>
      <c r="AY368" s="155"/>
      <c r="AZ368" s="49"/>
      <c r="BA368" s="49"/>
      <c r="BB368" s="49"/>
      <c r="BC368" s="49"/>
      <c r="BD368" s="49"/>
      <c r="BE368" s="49"/>
      <c r="BF368" s="49"/>
      <c r="BG368" s="49"/>
      <c r="BH368" s="49"/>
      <c r="BI368" s="155"/>
      <c r="BJ368" s="155"/>
      <c r="BK368" s="155"/>
      <c r="BL368" s="49"/>
      <c r="BM368" s="49"/>
      <c r="BN368" s="49"/>
      <c r="BO368" s="49"/>
      <c r="BP368" s="49"/>
      <c r="BQ368" s="49"/>
      <c r="BR368" s="49"/>
      <c r="BS368" s="49"/>
      <c r="BT368" s="49"/>
      <c r="BU368" s="49"/>
      <c r="BV368" s="49"/>
      <c r="BW368" s="49"/>
      <c r="BX368" s="49"/>
      <c r="BY368" s="49"/>
      <c r="BZ368" s="49"/>
      <c r="CA368" s="49"/>
      <c r="CB368" s="49"/>
      <c r="CC368" s="49"/>
      <c r="CD368" s="49"/>
      <c r="CE368" s="49"/>
      <c r="CF368" s="49"/>
      <c r="CG368" s="49"/>
      <c r="CH368" s="49"/>
      <c r="CI368" s="49"/>
      <c r="CJ368" s="49"/>
      <c r="CK368" s="49"/>
      <c r="CL368" s="49"/>
      <c r="CM368" s="49"/>
      <c r="CN368" s="49"/>
      <c r="CO368" s="49"/>
      <c r="CP368" s="49"/>
      <c r="CQ368" s="49"/>
      <c r="CR368" s="49"/>
      <c r="CS368" s="49"/>
      <c r="CT368" s="155"/>
      <c r="CU368" s="155"/>
      <c r="CV368" s="155"/>
      <c r="CW368" s="155"/>
      <c r="CX368" s="155"/>
      <c r="CY368" s="155"/>
      <c r="CZ368" s="155"/>
      <c r="DA368" s="155"/>
      <c r="DB368" s="155"/>
      <c r="DC368" s="155"/>
      <c r="DD368" s="155"/>
      <c r="DE368" s="155"/>
      <c r="DF368" s="155"/>
      <c r="DG368" s="155"/>
      <c r="DH368" s="155"/>
      <c r="DI368" s="155"/>
      <c r="DJ368" s="155"/>
      <c r="DK368" s="155"/>
      <c r="DL368" s="155"/>
      <c r="DM368" s="155"/>
      <c r="DN368" s="155"/>
      <c r="DO368" s="155"/>
      <c r="DP368" s="155"/>
      <c r="DQ368" s="155"/>
      <c r="DR368" s="155"/>
      <c r="DS368" s="155"/>
      <c r="DT368" s="155"/>
      <c r="DU368" s="155"/>
      <c r="DV368" s="155"/>
      <c r="DW368" s="155"/>
      <c r="DX368" s="155"/>
    </row>
    <row r="369" spans="1:128" ht="18" customHeight="1">
      <c r="A369" s="155"/>
      <c r="B369" s="155"/>
      <c r="C369" s="155"/>
      <c r="D369" s="155"/>
      <c r="E369" s="49">
        <v>2127</v>
      </c>
      <c r="F369" s="49" t="str">
        <f t="shared" si="49"/>
        <v>646566788887</v>
      </c>
      <c r="G369" s="155"/>
      <c r="H369" s="155"/>
      <c r="I369" s="270"/>
      <c r="J369" s="270"/>
      <c r="K369" s="270"/>
      <c r="L369" s="270"/>
      <c r="M369" s="270"/>
      <c r="N369" s="270"/>
      <c r="O369" s="155"/>
      <c r="P369" s="155"/>
      <c r="Q369" s="155"/>
      <c r="R369" s="155"/>
      <c r="S369" s="155"/>
      <c r="T369" s="155"/>
      <c r="U369" s="158"/>
      <c r="V369" s="155"/>
      <c r="W369" s="155"/>
      <c r="X369" s="263"/>
      <c r="Y369" s="155"/>
      <c r="Z369" s="155"/>
      <c r="AA369" s="263"/>
      <c r="AB369" s="263"/>
      <c r="AC369" s="155"/>
      <c r="AD369" s="155"/>
      <c r="AE369" s="155"/>
      <c r="AF369" s="155"/>
      <c r="AG369" s="155"/>
      <c r="AH369" s="155"/>
      <c r="AI369" s="155"/>
      <c r="AJ369" s="155"/>
      <c r="AK369" s="155"/>
      <c r="AL369" s="155"/>
      <c r="AM369" s="155"/>
      <c r="AN369" s="155"/>
      <c r="AO369" s="155"/>
      <c r="AP369" s="49"/>
      <c r="AQ369" s="49"/>
      <c r="AR369" s="155"/>
      <c r="AS369" s="155"/>
      <c r="AT369" s="155"/>
      <c r="AU369" s="155"/>
      <c r="AV369" s="155"/>
      <c r="AW369" s="155"/>
      <c r="AX369" s="155"/>
      <c r="AY369" s="155"/>
      <c r="AZ369" s="49"/>
      <c r="BA369" s="49"/>
      <c r="BB369" s="49"/>
      <c r="BC369" s="49"/>
      <c r="BD369" s="49"/>
      <c r="BE369" s="49"/>
      <c r="BF369" s="49"/>
      <c r="BG369" s="49"/>
      <c r="BH369" s="49"/>
      <c r="BI369" s="155"/>
      <c r="BJ369" s="155"/>
      <c r="BK369" s="155"/>
      <c r="BL369" s="49"/>
      <c r="BM369" s="49"/>
      <c r="BN369" s="49"/>
      <c r="BO369" s="49"/>
      <c r="BP369" s="49"/>
      <c r="BQ369" s="49"/>
      <c r="BR369" s="49"/>
      <c r="BS369" s="49"/>
      <c r="BT369" s="49"/>
      <c r="BU369" s="49"/>
      <c r="BV369" s="49"/>
      <c r="BW369" s="49"/>
      <c r="BX369" s="49"/>
      <c r="BY369" s="49"/>
      <c r="BZ369" s="49"/>
      <c r="CA369" s="49"/>
      <c r="CB369" s="49"/>
      <c r="CC369" s="49"/>
      <c r="CD369" s="49"/>
      <c r="CE369" s="49"/>
      <c r="CF369" s="49"/>
      <c r="CG369" s="49"/>
      <c r="CH369" s="49"/>
      <c r="CI369" s="49"/>
      <c r="CJ369" s="49"/>
      <c r="CK369" s="49"/>
      <c r="CL369" s="49"/>
      <c r="CM369" s="49"/>
      <c r="CN369" s="49"/>
      <c r="CO369" s="49"/>
      <c r="CP369" s="49"/>
      <c r="CQ369" s="49"/>
      <c r="CR369" s="49"/>
      <c r="CS369" s="49"/>
      <c r="CT369" s="155"/>
      <c r="CU369" s="155"/>
      <c r="CV369" s="155"/>
      <c r="CW369" s="155"/>
      <c r="CX369" s="155"/>
      <c r="CY369" s="155"/>
      <c r="CZ369" s="155"/>
      <c r="DA369" s="155"/>
      <c r="DB369" s="155"/>
      <c r="DC369" s="155"/>
      <c r="DD369" s="155"/>
      <c r="DE369" s="155"/>
      <c r="DF369" s="155"/>
      <c r="DG369" s="155"/>
      <c r="DH369" s="155"/>
      <c r="DI369" s="155"/>
      <c r="DJ369" s="155"/>
      <c r="DK369" s="155"/>
      <c r="DL369" s="155"/>
      <c r="DM369" s="155"/>
      <c r="DN369" s="155"/>
      <c r="DO369" s="155"/>
      <c r="DP369" s="155"/>
      <c r="DQ369" s="155"/>
      <c r="DR369" s="155"/>
      <c r="DS369" s="155"/>
      <c r="DT369" s="155"/>
      <c r="DU369" s="155"/>
      <c r="DV369" s="155"/>
      <c r="DW369" s="155"/>
      <c r="DX369" s="155"/>
    </row>
    <row r="370" spans="1:128" ht="18" customHeight="1">
      <c r="A370" s="155"/>
      <c r="B370" s="155"/>
      <c r="C370" s="155"/>
      <c r="D370" s="155"/>
      <c r="E370" s="49">
        <v>2128</v>
      </c>
      <c r="F370" s="49" t="str">
        <f t="shared" si="49"/>
        <v>546556778877</v>
      </c>
      <c r="G370" s="155"/>
      <c r="H370" s="155"/>
      <c r="I370" s="270"/>
      <c r="J370" s="270"/>
      <c r="K370" s="270"/>
      <c r="L370" s="270"/>
      <c r="M370" s="270"/>
      <c r="N370" s="270"/>
      <c r="O370" s="155"/>
      <c r="P370" s="155"/>
      <c r="Q370" s="155"/>
      <c r="R370" s="155"/>
      <c r="S370" s="155"/>
      <c r="T370" s="155"/>
      <c r="U370" s="158"/>
      <c r="V370" s="155"/>
      <c r="W370" s="155"/>
      <c r="X370" s="263"/>
      <c r="Y370" s="155"/>
      <c r="Z370" s="155"/>
      <c r="AA370" s="263"/>
      <c r="AB370" s="263"/>
      <c r="AC370" s="155"/>
      <c r="AD370" s="155"/>
      <c r="AE370" s="155"/>
      <c r="AF370" s="155"/>
      <c r="AG370" s="155"/>
      <c r="AH370" s="155"/>
      <c r="AI370" s="155"/>
      <c r="AJ370" s="155"/>
      <c r="AK370" s="155"/>
      <c r="AL370" s="155"/>
      <c r="AM370" s="155"/>
      <c r="AN370" s="155"/>
      <c r="AO370" s="155"/>
      <c r="AP370" s="49"/>
      <c r="AQ370" s="49"/>
      <c r="AR370" s="155"/>
      <c r="AS370" s="155"/>
      <c r="AT370" s="155"/>
      <c r="AU370" s="155"/>
      <c r="AV370" s="155"/>
      <c r="AW370" s="155"/>
      <c r="AX370" s="155"/>
      <c r="AY370" s="155"/>
      <c r="AZ370" s="49"/>
      <c r="BA370" s="49"/>
      <c r="BB370" s="49"/>
      <c r="BC370" s="49"/>
      <c r="BD370" s="49"/>
      <c r="BE370" s="49"/>
      <c r="BF370" s="49"/>
      <c r="BG370" s="49"/>
      <c r="BH370" s="49"/>
      <c r="BI370" s="155"/>
      <c r="BJ370" s="155"/>
      <c r="BK370" s="155"/>
      <c r="BL370" s="49"/>
      <c r="BM370" s="49"/>
      <c r="BN370" s="49"/>
      <c r="BO370" s="49"/>
      <c r="BP370" s="49"/>
      <c r="BQ370" s="49"/>
      <c r="BR370" s="49"/>
      <c r="BS370" s="49"/>
      <c r="BT370" s="49"/>
      <c r="BU370" s="49"/>
      <c r="BV370" s="49"/>
      <c r="BW370" s="49"/>
      <c r="BX370" s="49"/>
      <c r="BY370" s="49"/>
      <c r="BZ370" s="49"/>
      <c r="CA370" s="49"/>
      <c r="CB370" s="49"/>
      <c r="CC370" s="49"/>
      <c r="CD370" s="49"/>
      <c r="CE370" s="49"/>
      <c r="CF370" s="49"/>
      <c r="CG370" s="49"/>
      <c r="CH370" s="49"/>
      <c r="CI370" s="49"/>
      <c r="CJ370" s="49"/>
      <c r="CK370" s="49"/>
      <c r="CL370" s="49"/>
      <c r="CM370" s="49"/>
      <c r="CN370" s="49"/>
      <c r="CO370" s="49"/>
      <c r="CP370" s="49"/>
      <c r="CQ370" s="49"/>
      <c r="CR370" s="49"/>
      <c r="CS370" s="49"/>
      <c r="CT370" s="155"/>
      <c r="CU370" s="155"/>
      <c r="CV370" s="155"/>
      <c r="CW370" s="155"/>
      <c r="CX370" s="155"/>
      <c r="CY370" s="155"/>
      <c r="CZ370" s="155"/>
      <c r="DA370" s="155"/>
      <c r="DB370" s="155"/>
      <c r="DC370" s="155"/>
      <c r="DD370" s="155"/>
      <c r="DE370" s="155"/>
      <c r="DF370" s="155"/>
      <c r="DG370" s="155"/>
      <c r="DH370" s="155"/>
      <c r="DI370" s="155"/>
      <c r="DJ370" s="155"/>
      <c r="DK370" s="155"/>
      <c r="DL370" s="155"/>
      <c r="DM370" s="155"/>
      <c r="DN370" s="155"/>
      <c r="DO370" s="155"/>
      <c r="DP370" s="155"/>
      <c r="DQ370" s="155"/>
      <c r="DR370" s="155"/>
      <c r="DS370" s="155"/>
      <c r="DT370" s="155"/>
      <c r="DU370" s="155"/>
      <c r="DV370" s="155"/>
      <c r="DW370" s="155"/>
      <c r="DX370" s="155"/>
    </row>
    <row r="371" spans="1:128" ht="18" customHeight="1">
      <c r="A371" s="155"/>
      <c r="B371" s="155"/>
      <c r="C371" s="155"/>
      <c r="D371" s="155"/>
      <c r="E371" s="49">
        <v>2129</v>
      </c>
      <c r="F371" s="49" t="str">
        <f t="shared" si="49"/>
        <v>546556778877</v>
      </c>
      <c r="G371" s="155"/>
      <c r="H371" s="155"/>
      <c r="I371" s="270"/>
      <c r="J371" s="270"/>
      <c r="K371" s="270"/>
      <c r="L371" s="270"/>
      <c r="M371" s="270"/>
      <c r="N371" s="270"/>
      <c r="O371" s="155"/>
      <c r="P371" s="155"/>
      <c r="Q371" s="155"/>
      <c r="R371" s="155"/>
      <c r="S371" s="155"/>
      <c r="T371" s="155"/>
      <c r="U371" s="158"/>
      <c r="V371" s="155"/>
      <c r="W371" s="155"/>
      <c r="X371" s="263"/>
      <c r="Y371" s="155"/>
      <c r="Z371" s="155"/>
      <c r="AA371" s="263"/>
      <c r="AB371" s="263"/>
      <c r="AC371" s="155"/>
      <c r="AD371" s="155"/>
      <c r="AE371" s="155"/>
      <c r="AF371" s="155"/>
      <c r="AG371" s="155"/>
      <c r="AH371" s="155"/>
      <c r="AI371" s="155"/>
      <c r="AJ371" s="155"/>
      <c r="AK371" s="155"/>
      <c r="AL371" s="155"/>
      <c r="AM371" s="155"/>
      <c r="AN371" s="155"/>
      <c r="AO371" s="155"/>
      <c r="AP371" s="49"/>
      <c r="AQ371" s="49"/>
      <c r="AR371" s="155"/>
      <c r="AS371" s="155"/>
      <c r="AT371" s="155"/>
      <c r="AU371" s="155"/>
      <c r="AV371" s="155"/>
      <c r="AW371" s="155"/>
      <c r="AX371" s="155"/>
      <c r="AY371" s="155"/>
      <c r="AZ371" s="49"/>
      <c r="BA371" s="49"/>
      <c r="BB371" s="49"/>
      <c r="BC371" s="49"/>
      <c r="BD371" s="49"/>
      <c r="BE371" s="49"/>
      <c r="BF371" s="49"/>
      <c r="BG371" s="49"/>
      <c r="BH371" s="49"/>
      <c r="BI371" s="155"/>
      <c r="BJ371" s="155"/>
      <c r="BK371" s="155"/>
      <c r="BL371" s="49"/>
      <c r="BM371" s="49"/>
      <c r="BN371" s="49"/>
      <c r="BO371" s="49"/>
      <c r="BP371" s="49"/>
      <c r="BQ371" s="49"/>
      <c r="BR371" s="49"/>
      <c r="BS371" s="49"/>
      <c r="BT371" s="49"/>
      <c r="BU371" s="49"/>
      <c r="BV371" s="49"/>
      <c r="BW371" s="49"/>
      <c r="BX371" s="49"/>
      <c r="BY371" s="49"/>
      <c r="BZ371" s="49"/>
      <c r="CA371" s="49"/>
      <c r="CB371" s="49"/>
      <c r="CC371" s="49"/>
      <c r="CD371" s="49"/>
      <c r="CE371" s="49"/>
      <c r="CF371" s="49"/>
      <c r="CG371" s="49"/>
      <c r="CH371" s="49"/>
      <c r="CI371" s="49"/>
      <c r="CJ371" s="49"/>
      <c r="CK371" s="49"/>
      <c r="CL371" s="49"/>
      <c r="CM371" s="49"/>
      <c r="CN371" s="49"/>
      <c r="CO371" s="49"/>
      <c r="CP371" s="49"/>
      <c r="CQ371" s="49"/>
      <c r="CR371" s="49"/>
      <c r="CS371" s="49"/>
      <c r="CT371" s="155"/>
      <c r="CU371" s="155"/>
      <c r="CV371" s="155"/>
      <c r="CW371" s="155"/>
      <c r="CX371" s="155"/>
      <c r="CY371" s="155"/>
      <c r="CZ371" s="155"/>
      <c r="DA371" s="155"/>
      <c r="DB371" s="155"/>
      <c r="DC371" s="155"/>
      <c r="DD371" s="155"/>
      <c r="DE371" s="155"/>
      <c r="DF371" s="155"/>
      <c r="DG371" s="155"/>
      <c r="DH371" s="155"/>
      <c r="DI371" s="155"/>
      <c r="DJ371" s="155"/>
      <c r="DK371" s="155"/>
      <c r="DL371" s="155"/>
      <c r="DM371" s="155"/>
      <c r="DN371" s="155"/>
      <c r="DO371" s="155"/>
      <c r="DP371" s="155"/>
      <c r="DQ371" s="155"/>
      <c r="DR371" s="155"/>
      <c r="DS371" s="155"/>
      <c r="DT371" s="155"/>
      <c r="DU371" s="155"/>
      <c r="DV371" s="155"/>
      <c r="DW371" s="155"/>
      <c r="DX371" s="155"/>
    </row>
    <row r="372" spans="1:128" ht="18" customHeight="1">
      <c r="A372" s="155"/>
      <c r="B372" s="155"/>
      <c r="C372" s="155"/>
      <c r="D372" s="155"/>
      <c r="E372" s="49">
        <v>2130</v>
      </c>
      <c r="F372" s="49" t="str">
        <f t="shared" si="49"/>
        <v>546556778877</v>
      </c>
      <c r="G372" s="155"/>
      <c r="H372" s="155"/>
      <c r="I372" s="270"/>
      <c r="J372" s="270"/>
      <c r="K372" s="270"/>
      <c r="L372" s="270"/>
      <c r="M372" s="270"/>
      <c r="N372" s="270"/>
      <c r="O372" s="155"/>
      <c r="P372" s="155"/>
      <c r="Q372" s="155"/>
      <c r="R372" s="155"/>
      <c r="S372" s="155"/>
      <c r="T372" s="155"/>
      <c r="U372" s="158"/>
      <c r="V372" s="155"/>
      <c r="W372" s="155"/>
      <c r="X372" s="263"/>
      <c r="Y372" s="155"/>
      <c r="Z372" s="155"/>
      <c r="AA372" s="263"/>
      <c r="AB372" s="263"/>
      <c r="AC372" s="155"/>
      <c r="AD372" s="155"/>
      <c r="AE372" s="155"/>
      <c r="AF372" s="155"/>
      <c r="AG372" s="155"/>
      <c r="AH372" s="155"/>
      <c r="AI372" s="155"/>
      <c r="AJ372" s="155"/>
      <c r="AK372" s="155"/>
      <c r="AL372" s="155"/>
      <c r="AM372" s="155"/>
      <c r="AN372" s="155"/>
      <c r="AO372" s="155"/>
      <c r="AP372" s="49"/>
      <c r="AQ372" s="49"/>
      <c r="AR372" s="155"/>
      <c r="AS372" s="155"/>
      <c r="AT372" s="155"/>
      <c r="AU372" s="155"/>
      <c r="AV372" s="155"/>
      <c r="AW372" s="155"/>
      <c r="AX372" s="155"/>
      <c r="AY372" s="155"/>
      <c r="AZ372" s="49"/>
      <c r="BA372" s="49"/>
      <c r="BB372" s="49"/>
      <c r="BC372" s="49"/>
      <c r="BD372" s="49"/>
      <c r="BE372" s="49"/>
      <c r="BF372" s="49"/>
      <c r="BG372" s="49"/>
      <c r="BH372" s="49"/>
      <c r="BI372" s="155"/>
      <c r="BJ372" s="155"/>
      <c r="BK372" s="155"/>
      <c r="BL372" s="49"/>
      <c r="BM372" s="49"/>
      <c r="BN372" s="49"/>
      <c r="BO372" s="49"/>
      <c r="BP372" s="49"/>
      <c r="BQ372" s="49"/>
      <c r="BR372" s="49"/>
      <c r="BS372" s="49"/>
      <c r="BT372" s="49"/>
      <c r="BU372" s="49"/>
      <c r="BV372" s="49"/>
      <c r="BW372" s="49"/>
      <c r="BX372" s="49"/>
      <c r="BY372" s="49"/>
      <c r="BZ372" s="49"/>
      <c r="CA372" s="49"/>
      <c r="CB372" s="49"/>
      <c r="CC372" s="49"/>
      <c r="CD372" s="49"/>
      <c r="CE372" s="49"/>
      <c r="CF372" s="49"/>
      <c r="CG372" s="49"/>
      <c r="CH372" s="49"/>
      <c r="CI372" s="49"/>
      <c r="CJ372" s="49"/>
      <c r="CK372" s="49"/>
      <c r="CL372" s="49"/>
      <c r="CM372" s="49"/>
      <c r="CN372" s="49"/>
      <c r="CO372" s="49"/>
      <c r="CP372" s="49"/>
      <c r="CQ372" s="49"/>
      <c r="CR372" s="49"/>
      <c r="CS372" s="49"/>
      <c r="CT372" s="155"/>
      <c r="CU372" s="155"/>
      <c r="CV372" s="155"/>
      <c r="CW372" s="155"/>
      <c r="CX372" s="155"/>
      <c r="CY372" s="155"/>
      <c r="CZ372" s="155"/>
      <c r="DA372" s="155"/>
      <c r="DB372" s="155"/>
      <c r="DC372" s="155"/>
      <c r="DD372" s="155"/>
      <c r="DE372" s="155"/>
      <c r="DF372" s="155"/>
      <c r="DG372" s="155"/>
      <c r="DH372" s="155"/>
      <c r="DI372" s="155"/>
      <c r="DJ372" s="155"/>
      <c r="DK372" s="155"/>
      <c r="DL372" s="155"/>
      <c r="DM372" s="155"/>
      <c r="DN372" s="155"/>
      <c r="DO372" s="155"/>
      <c r="DP372" s="155"/>
      <c r="DQ372" s="155"/>
      <c r="DR372" s="155"/>
      <c r="DS372" s="155"/>
      <c r="DT372" s="155"/>
      <c r="DU372" s="155"/>
      <c r="DV372" s="155"/>
      <c r="DW372" s="155"/>
      <c r="DX372" s="155"/>
    </row>
    <row r="373" spans="1:128" ht="18" customHeight="1">
      <c r="A373" s="155"/>
      <c r="B373" s="155"/>
      <c r="C373" s="155"/>
      <c r="D373" s="155"/>
      <c r="E373" s="49">
        <v>2131</v>
      </c>
      <c r="F373" s="49" t="str">
        <f t="shared" si="49"/>
        <v>646566788887</v>
      </c>
      <c r="G373" s="155"/>
      <c r="H373" s="155"/>
      <c r="I373" s="270"/>
      <c r="J373" s="270"/>
      <c r="K373" s="270"/>
      <c r="L373" s="270"/>
      <c r="M373" s="270"/>
      <c r="N373" s="270"/>
      <c r="O373" s="155"/>
      <c r="P373" s="155"/>
      <c r="Q373" s="155"/>
      <c r="R373" s="155"/>
      <c r="S373" s="155"/>
      <c r="T373" s="155"/>
      <c r="U373" s="158"/>
      <c r="V373" s="155"/>
      <c r="W373" s="155"/>
      <c r="X373" s="263"/>
      <c r="Y373" s="155"/>
      <c r="Z373" s="155"/>
      <c r="AA373" s="263"/>
      <c r="AB373" s="263"/>
      <c r="AC373" s="155"/>
      <c r="AD373" s="155"/>
      <c r="AE373" s="155"/>
      <c r="AF373" s="155"/>
      <c r="AG373" s="155"/>
      <c r="AH373" s="155"/>
      <c r="AI373" s="155"/>
      <c r="AJ373" s="155"/>
      <c r="AK373" s="155"/>
      <c r="AL373" s="155"/>
      <c r="AM373" s="155"/>
      <c r="AN373" s="155"/>
      <c r="AO373" s="155"/>
      <c r="AP373" s="49"/>
      <c r="AQ373" s="49"/>
      <c r="AR373" s="155"/>
      <c r="AS373" s="155"/>
      <c r="AT373" s="155"/>
      <c r="AU373" s="155"/>
      <c r="AV373" s="155"/>
      <c r="AW373" s="155"/>
      <c r="AX373" s="155"/>
      <c r="AY373" s="155"/>
      <c r="AZ373" s="49"/>
      <c r="BA373" s="49"/>
      <c r="BB373" s="49"/>
      <c r="BC373" s="49"/>
      <c r="BD373" s="49"/>
      <c r="BE373" s="49"/>
      <c r="BF373" s="49"/>
      <c r="BG373" s="49"/>
      <c r="BH373" s="49"/>
      <c r="BI373" s="155"/>
      <c r="BJ373" s="155"/>
      <c r="BK373" s="155"/>
      <c r="BL373" s="49"/>
      <c r="BM373" s="49"/>
      <c r="BN373" s="49"/>
      <c r="BO373" s="49"/>
      <c r="BP373" s="49"/>
      <c r="BQ373" s="49"/>
      <c r="BR373" s="49"/>
      <c r="BS373" s="49"/>
      <c r="BT373" s="49"/>
      <c r="BU373" s="49"/>
      <c r="BV373" s="49"/>
      <c r="BW373" s="49"/>
      <c r="BX373" s="49"/>
      <c r="BY373" s="49"/>
      <c r="BZ373" s="49"/>
      <c r="CA373" s="49"/>
      <c r="CB373" s="49"/>
      <c r="CC373" s="49"/>
      <c r="CD373" s="49"/>
      <c r="CE373" s="49"/>
      <c r="CF373" s="49"/>
      <c r="CG373" s="49"/>
      <c r="CH373" s="49"/>
      <c r="CI373" s="49"/>
      <c r="CJ373" s="49"/>
      <c r="CK373" s="49"/>
      <c r="CL373" s="49"/>
      <c r="CM373" s="49"/>
      <c r="CN373" s="49"/>
      <c r="CO373" s="49"/>
      <c r="CP373" s="49"/>
      <c r="CQ373" s="49"/>
      <c r="CR373" s="49"/>
      <c r="CS373" s="49"/>
      <c r="CT373" s="155"/>
      <c r="CU373" s="155"/>
      <c r="CV373" s="155"/>
      <c r="CW373" s="155"/>
      <c r="CX373" s="155"/>
      <c r="CY373" s="155"/>
      <c r="CZ373" s="155"/>
      <c r="DA373" s="155"/>
      <c r="DB373" s="155"/>
      <c r="DC373" s="155"/>
      <c r="DD373" s="155"/>
      <c r="DE373" s="155"/>
      <c r="DF373" s="155"/>
      <c r="DG373" s="155"/>
      <c r="DH373" s="155"/>
      <c r="DI373" s="155"/>
      <c r="DJ373" s="155"/>
      <c r="DK373" s="155"/>
      <c r="DL373" s="155"/>
      <c r="DM373" s="155"/>
      <c r="DN373" s="155"/>
      <c r="DO373" s="155"/>
      <c r="DP373" s="155"/>
      <c r="DQ373" s="155"/>
      <c r="DR373" s="155"/>
      <c r="DS373" s="155"/>
      <c r="DT373" s="155"/>
      <c r="DU373" s="155"/>
      <c r="DV373" s="155"/>
      <c r="DW373" s="155"/>
      <c r="DX373" s="155"/>
    </row>
    <row r="374" spans="1:128" ht="18" customHeight="1">
      <c r="A374" s="155"/>
      <c r="B374" s="155"/>
      <c r="C374" s="155"/>
      <c r="D374" s="155"/>
      <c r="E374" s="49">
        <v>2132</v>
      </c>
      <c r="F374" s="49" t="str">
        <f t="shared" si="49"/>
        <v>546556778877</v>
      </c>
      <c r="G374" s="155"/>
      <c r="H374" s="155"/>
      <c r="I374" s="270"/>
      <c r="J374" s="270"/>
      <c r="K374" s="270"/>
      <c r="L374" s="270"/>
      <c r="M374" s="270"/>
      <c r="N374" s="270"/>
      <c r="O374" s="155"/>
      <c r="P374" s="155"/>
      <c r="Q374" s="155"/>
      <c r="R374" s="155"/>
      <c r="S374" s="155"/>
      <c r="T374" s="155"/>
      <c r="U374" s="158"/>
      <c r="V374" s="155"/>
      <c r="W374" s="155"/>
      <c r="X374" s="263"/>
      <c r="Y374" s="155"/>
      <c r="Z374" s="155"/>
      <c r="AA374" s="263"/>
      <c r="AB374" s="263"/>
      <c r="AC374" s="155"/>
      <c r="AD374" s="155"/>
      <c r="AE374" s="155"/>
      <c r="AF374" s="155"/>
      <c r="AG374" s="155"/>
      <c r="AH374" s="155"/>
      <c r="AI374" s="155"/>
      <c r="AJ374" s="155"/>
      <c r="AK374" s="155"/>
      <c r="AL374" s="155"/>
      <c r="AM374" s="155"/>
      <c r="AN374" s="155"/>
      <c r="AO374" s="155"/>
      <c r="AP374" s="49"/>
      <c r="AQ374" s="49"/>
      <c r="AR374" s="155"/>
      <c r="AS374" s="155"/>
      <c r="AT374" s="155"/>
      <c r="AU374" s="155"/>
      <c r="AV374" s="155"/>
      <c r="AW374" s="155"/>
      <c r="AX374" s="155"/>
      <c r="AY374" s="155"/>
      <c r="AZ374" s="49"/>
      <c r="BA374" s="49"/>
      <c r="BB374" s="49"/>
      <c r="BC374" s="49"/>
      <c r="BD374" s="49"/>
      <c r="BE374" s="49"/>
      <c r="BF374" s="49"/>
      <c r="BG374" s="49"/>
      <c r="BH374" s="49"/>
      <c r="BI374" s="155"/>
      <c r="BJ374" s="155"/>
      <c r="BK374" s="155"/>
      <c r="BL374" s="49"/>
      <c r="BM374" s="49"/>
      <c r="BN374" s="49"/>
      <c r="BO374" s="49"/>
      <c r="BP374" s="49"/>
      <c r="BQ374" s="49"/>
      <c r="BR374" s="49"/>
      <c r="BS374" s="49"/>
      <c r="BT374" s="49"/>
      <c r="BU374" s="49"/>
      <c r="BV374" s="49"/>
      <c r="BW374" s="49"/>
      <c r="BX374" s="49"/>
      <c r="BY374" s="49"/>
      <c r="BZ374" s="49"/>
      <c r="CA374" s="49"/>
      <c r="CB374" s="49"/>
      <c r="CC374" s="49"/>
      <c r="CD374" s="49"/>
      <c r="CE374" s="49"/>
      <c r="CF374" s="49"/>
      <c r="CG374" s="49"/>
      <c r="CH374" s="49"/>
      <c r="CI374" s="49"/>
      <c r="CJ374" s="49"/>
      <c r="CK374" s="49"/>
      <c r="CL374" s="49"/>
      <c r="CM374" s="49"/>
      <c r="CN374" s="49"/>
      <c r="CO374" s="49"/>
      <c r="CP374" s="49"/>
      <c r="CQ374" s="49"/>
      <c r="CR374" s="49"/>
      <c r="CS374" s="49"/>
      <c r="CT374" s="155"/>
      <c r="CU374" s="155"/>
      <c r="CV374" s="155"/>
      <c r="CW374" s="155"/>
      <c r="CX374" s="155"/>
      <c r="CY374" s="155"/>
      <c r="CZ374" s="155"/>
      <c r="DA374" s="155"/>
      <c r="DB374" s="155"/>
      <c r="DC374" s="155"/>
      <c r="DD374" s="155"/>
      <c r="DE374" s="155"/>
      <c r="DF374" s="155"/>
      <c r="DG374" s="155"/>
      <c r="DH374" s="155"/>
      <c r="DI374" s="155"/>
      <c r="DJ374" s="155"/>
      <c r="DK374" s="155"/>
      <c r="DL374" s="155"/>
      <c r="DM374" s="155"/>
      <c r="DN374" s="155"/>
      <c r="DO374" s="155"/>
      <c r="DP374" s="155"/>
      <c r="DQ374" s="155"/>
      <c r="DR374" s="155"/>
      <c r="DS374" s="155"/>
      <c r="DT374" s="155"/>
      <c r="DU374" s="155"/>
      <c r="DV374" s="155"/>
      <c r="DW374" s="155"/>
      <c r="DX374" s="155"/>
    </row>
    <row r="375" spans="1:128" ht="18" customHeight="1">
      <c r="A375" s="155"/>
      <c r="B375" s="155"/>
      <c r="C375" s="155"/>
      <c r="D375" s="155"/>
      <c r="E375" s="49">
        <v>2133</v>
      </c>
      <c r="F375" s="49" t="str">
        <f t="shared" si="49"/>
        <v>546556778877</v>
      </c>
      <c r="G375" s="155"/>
      <c r="H375" s="155"/>
      <c r="I375" s="270"/>
      <c r="J375" s="270"/>
      <c r="K375" s="270"/>
      <c r="L375" s="270"/>
      <c r="M375" s="270"/>
      <c r="N375" s="270"/>
      <c r="O375" s="155"/>
      <c r="P375" s="155"/>
      <c r="Q375" s="155"/>
      <c r="R375" s="155"/>
      <c r="S375" s="155"/>
      <c r="T375" s="155"/>
      <c r="U375" s="158"/>
      <c r="V375" s="155"/>
      <c r="W375" s="155"/>
      <c r="X375" s="263"/>
      <c r="Y375" s="155"/>
      <c r="Z375" s="155"/>
      <c r="AA375" s="263"/>
      <c r="AB375" s="263"/>
      <c r="AC375" s="155"/>
      <c r="AD375" s="155"/>
      <c r="AE375" s="155"/>
      <c r="AF375" s="155"/>
      <c r="AG375" s="155"/>
      <c r="AH375" s="155"/>
      <c r="AI375" s="155"/>
      <c r="AJ375" s="155"/>
      <c r="AK375" s="155"/>
      <c r="AL375" s="155"/>
      <c r="AM375" s="155"/>
      <c r="AN375" s="155"/>
      <c r="AO375" s="155"/>
      <c r="AP375" s="49"/>
      <c r="AQ375" s="49"/>
      <c r="AR375" s="155"/>
      <c r="AS375" s="155"/>
      <c r="AT375" s="155"/>
      <c r="AU375" s="155"/>
      <c r="AV375" s="155"/>
      <c r="AW375" s="155"/>
      <c r="AX375" s="155"/>
      <c r="AY375" s="155"/>
      <c r="AZ375" s="49"/>
      <c r="BA375" s="49"/>
      <c r="BB375" s="49"/>
      <c r="BC375" s="49"/>
      <c r="BD375" s="49"/>
      <c r="BE375" s="49"/>
      <c r="BF375" s="49"/>
      <c r="BG375" s="49"/>
      <c r="BH375" s="49"/>
      <c r="BI375" s="155"/>
      <c r="BJ375" s="155"/>
      <c r="BK375" s="155"/>
      <c r="BL375" s="49"/>
      <c r="BM375" s="49"/>
      <c r="BN375" s="49"/>
      <c r="BO375" s="49"/>
      <c r="BP375" s="49"/>
      <c r="BQ375" s="49"/>
      <c r="BR375" s="49"/>
      <c r="BS375" s="49"/>
      <c r="BT375" s="49"/>
      <c r="BU375" s="49"/>
      <c r="BV375" s="49"/>
      <c r="BW375" s="49"/>
      <c r="BX375" s="49"/>
      <c r="BY375" s="49"/>
      <c r="BZ375" s="49"/>
      <c r="CA375" s="49"/>
      <c r="CB375" s="49"/>
      <c r="CC375" s="49"/>
      <c r="CD375" s="49"/>
      <c r="CE375" s="49"/>
      <c r="CF375" s="49"/>
      <c r="CG375" s="49"/>
      <c r="CH375" s="49"/>
      <c r="CI375" s="49"/>
      <c r="CJ375" s="49"/>
      <c r="CK375" s="49"/>
      <c r="CL375" s="49"/>
      <c r="CM375" s="49"/>
      <c r="CN375" s="49"/>
      <c r="CO375" s="49"/>
      <c r="CP375" s="49"/>
      <c r="CQ375" s="49"/>
      <c r="CR375" s="49"/>
      <c r="CS375" s="49"/>
      <c r="CT375" s="155"/>
      <c r="CU375" s="155"/>
      <c r="CV375" s="155"/>
      <c r="CW375" s="155"/>
      <c r="CX375" s="155"/>
      <c r="CY375" s="155"/>
      <c r="CZ375" s="155"/>
      <c r="DA375" s="155"/>
      <c r="DB375" s="155"/>
      <c r="DC375" s="155"/>
      <c r="DD375" s="155"/>
      <c r="DE375" s="155"/>
      <c r="DF375" s="155"/>
      <c r="DG375" s="155"/>
      <c r="DH375" s="155"/>
      <c r="DI375" s="155"/>
      <c r="DJ375" s="155"/>
      <c r="DK375" s="155"/>
      <c r="DL375" s="155"/>
      <c r="DM375" s="155"/>
      <c r="DN375" s="155"/>
      <c r="DO375" s="155"/>
      <c r="DP375" s="155"/>
      <c r="DQ375" s="155"/>
      <c r="DR375" s="155"/>
      <c r="DS375" s="155"/>
      <c r="DT375" s="155"/>
      <c r="DU375" s="155"/>
      <c r="DV375" s="155"/>
      <c r="DW375" s="155"/>
      <c r="DX375" s="155"/>
    </row>
    <row r="376" spans="1:128" ht="18" customHeight="1">
      <c r="A376" s="155"/>
      <c r="B376" s="155"/>
      <c r="C376" s="155"/>
      <c r="D376" s="155"/>
      <c r="E376" s="49">
        <v>2134</v>
      </c>
      <c r="F376" s="49" t="str">
        <f t="shared" si="49"/>
        <v>546556778877</v>
      </c>
      <c r="G376" s="155"/>
      <c r="H376" s="155"/>
      <c r="I376" s="270"/>
      <c r="J376" s="270"/>
      <c r="K376" s="270"/>
      <c r="L376" s="270"/>
      <c r="M376" s="270"/>
      <c r="N376" s="270"/>
      <c r="O376" s="155"/>
      <c r="P376" s="155"/>
      <c r="Q376" s="155"/>
      <c r="R376" s="155"/>
      <c r="S376" s="155"/>
      <c r="T376" s="155"/>
      <c r="U376" s="158"/>
      <c r="V376" s="155"/>
      <c r="W376" s="155"/>
      <c r="X376" s="263"/>
      <c r="Y376" s="155"/>
      <c r="Z376" s="155"/>
      <c r="AA376" s="263"/>
      <c r="AB376" s="263"/>
      <c r="AC376" s="155"/>
      <c r="AD376" s="155"/>
      <c r="AE376" s="155"/>
      <c r="AF376" s="155"/>
      <c r="AG376" s="155"/>
      <c r="AH376" s="155"/>
      <c r="AI376" s="155"/>
      <c r="AJ376" s="155"/>
      <c r="AK376" s="155"/>
      <c r="AL376" s="155"/>
      <c r="AM376" s="155"/>
      <c r="AN376" s="155"/>
      <c r="AO376" s="155"/>
      <c r="AP376" s="49"/>
      <c r="AQ376" s="49"/>
      <c r="AR376" s="155"/>
      <c r="AS376" s="155"/>
      <c r="AT376" s="155"/>
      <c r="AU376" s="155"/>
      <c r="AV376" s="155"/>
      <c r="AW376" s="155"/>
      <c r="AX376" s="155"/>
      <c r="AY376" s="155"/>
      <c r="AZ376" s="49"/>
      <c r="BA376" s="49"/>
      <c r="BB376" s="49"/>
      <c r="BC376" s="49"/>
      <c r="BD376" s="49"/>
      <c r="BE376" s="49"/>
      <c r="BF376" s="49"/>
      <c r="BG376" s="49"/>
      <c r="BH376" s="49"/>
      <c r="BI376" s="155"/>
      <c r="BJ376" s="155"/>
      <c r="BK376" s="155"/>
      <c r="BL376" s="49"/>
      <c r="BM376" s="49"/>
      <c r="BN376" s="49"/>
      <c r="BO376" s="49"/>
      <c r="BP376" s="49"/>
      <c r="BQ376" s="49"/>
      <c r="BR376" s="49"/>
      <c r="BS376" s="49"/>
      <c r="BT376" s="49"/>
      <c r="BU376" s="49"/>
      <c r="BV376" s="49"/>
      <c r="BW376" s="49"/>
      <c r="BX376" s="49"/>
      <c r="BY376" s="49"/>
      <c r="BZ376" s="49"/>
      <c r="CA376" s="49"/>
      <c r="CB376" s="49"/>
      <c r="CC376" s="49"/>
      <c r="CD376" s="49"/>
      <c r="CE376" s="49"/>
      <c r="CF376" s="49"/>
      <c r="CG376" s="49"/>
      <c r="CH376" s="49"/>
      <c r="CI376" s="49"/>
      <c r="CJ376" s="49"/>
      <c r="CK376" s="49"/>
      <c r="CL376" s="49"/>
      <c r="CM376" s="49"/>
      <c r="CN376" s="49"/>
      <c r="CO376" s="49"/>
      <c r="CP376" s="49"/>
      <c r="CQ376" s="49"/>
      <c r="CR376" s="49"/>
      <c r="CS376" s="49"/>
      <c r="CT376" s="155"/>
      <c r="CU376" s="155"/>
      <c r="CV376" s="155"/>
      <c r="CW376" s="155"/>
      <c r="CX376" s="155"/>
      <c r="CY376" s="155"/>
      <c r="CZ376" s="155"/>
      <c r="DA376" s="155"/>
      <c r="DB376" s="155"/>
      <c r="DC376" s="155"/>
      <c r="DD376" s="155"/>
      <c r="DE376" s="155"/>
      <c r="DF376" s="155"/>
      <c r="DG376" s="155"/>
      <c r="DH376" s="155"/>
      <c r="DI376" s="155"/>
      <c r="DJ376" s="155"/>
      <c r="DK376" s="155"/>
      <c r="DL376" s="155"/>
      <c r="DM376" s="155"/>
      <c r="DN376" s="155"/>
      <c r="DO376" s="155"/>
      <c r="DP376" s="155"/>
      <c r="DQ376" s="155"/>
      <c r="DR376" s="155"/>
      <c r="DS376" s="155"/>
      <c r="DT376" s="155"/>
      <c r="DU376" s="155"/>
      <c r="DV376" s="155"/>
      <c r="DW376" s="155"/>
      <c r="DX376" s="155"/>
    </row>
    <row r="377" spans="1:128" ht="18" customHeight="1">
      <c r="A377" s="155"/>
      <c r="B377" s="155"/>
      <c r="C377" s="155"/>
      <c r="D377" s="155"/>
      <c r="E377" s="49">
        <v>2135</v>
      </c>
      <c r="F377" s="49" t="str">
        <f t="shared" si="49"/>
        <v>646566788887</v>
      </c>
      <c r="G377" s="155"/>
      <c r="H377" s="155"/>
      <c r="I377" s="270"/>
      <c r="J377" s="270"/>
      <c r="K377" s="270"/>
      <c r="L377" s="270"/>
      <c r="M377" s="270"/>
      <c r="N377" s="270"/>
      <c r="O377" s="155"/>
      <c r="P377" s="155"/>
      <c r="Q377" s="155"/>
      <c r="R377" s="155"/>
      <c r="S377" s="155"/>
      <c r="T377" s="155"/>
      <c r="U377" s="158"/>
      <c r="V377" s="155"/>
      <c r="W377" s="155"/>
      <c r="X377" s="263"/>
      <c r="Y377" s="155"/>
      <c r="Z377" s="155"/>
      <c r="AA377" s="263"/>
      <c r="AB377" s="263"/>
      <c r="AC377" s="155"/>
      <c r="AD377" s="155"/>
      <c r="AE377" s="155"/>
      <c r="AF377" s="155"/>
      <c r="AG377" s="155"/>
      <c r="AH377" s="155"/>
      <c r="AI377" s="155"/>
      <c r="AJ377" s="155"/>
      <c r="AK377" s="155"/>
      <c r="AL377" s="155"/>
      <c r="AM377" s="155"/>
      <c r="AN377" s="155"/>
      <c r="AO377" s="155"/>
      <c r="AP377" s="49"/>
      <c r="AQ377" s="49"/>
      <c r="AR377" s="155"/>
      <c r="AS377" s="155"/>
      <c r="AT377" s="155"/>
      <c r="AU377" s="155"/>
      <c r="AV377" s="155"/>
      <c r="AW377" s="155"/>
      <c r="AX377" s="155"/>
      <c r="AY377" s="155"/>
      <c r="AZ377" s="49"/>
      <c r="BA377" s="49"/>
      <c r="BB377" s="49"/>
      <c r="BC377" s="49"/>
      <c r="BD377" s="49"/>
      <c r="BE377" s="49"/>
      <c r="BF377" s="49"/>
      <c r="BG377" s="49"/>
      <c r="BH377" s="49"/>
      <c r="BI377" s="155"/>
      <c r="BJ377" s="155"/>
      <c r="BK377" s="155"/>
      <c r="BL377" s="49"/>
      <c r="BM377" s="49"/>
      <c r="BN377" s="49"/>
      <c r="BO377" s="49"/>
      <c r="BP377" s="49"/>
      <c r="BQ377" s="49"/>
      <c r="BR377" s="49"/>
      <c r="BS377" s="49"/>
      <c r="BT377" s="49"/>
      <c r="BU377" s="49"/>
      <c r="BV377" s="49"/>
      <c r="BW377" s="49"/>
      <c r="BX377" s="49"/>
      <c r="BY377" s="49"/>
      <c r="BZ377" s="49"/>
      <c r="CA377" s="49"/>
      <c r="CB377" s="49"/>
      <c r="CC377" s="49"/>
      <c r="CD377" s="49"/>
      <c r="CE377" s="49"/>
      <c r="CF377" s="49"/>
      <c r="CG377" s="49"/>
      <c r="CH377" s="49"/>
      <c r="CI377" s="49"/>
      <c r="CJ377" s="49"/>
      <c r="CK377" s="49"/>
      <c r="CL377" s="49"/>
      <c r="CM377" s="49"/>
      <c r="CN377" s="49"/>
      <c r="CO377" s="49"/>
      <c r="CP377" s="49"/>
      <c r="CQ377" s="49"/>
      <c r="CR377" s="49"/>
      <c r="CS377" s="49"/>
      <c r="CT377" s="155"/>
      <c r="CU377" s="155"/>
      <c r="CV377" s="155"/>
      <c r="CW377" s="155"/>
      <c r="CX377" s="155"/>
      <c r="CY377" s="155"/>
      <c r="CZ377" s="155"/>
      <c r="DA377" s="155"/>
      <c r="DB377" s="155"/>
      <c r="DC377" s="155"/>
      <c r="DD377" s="155"/>
      <c r="DE377" s="155"/>
      <c r="DF377" s="155"/>
      <c r="DG377" s="155"/>
      <c r="DH377" s="155"/>
      <c r="DI377" s="155"/>
      <c r="DJ377" s="155"/>
      <c r="DK377" s="155"/>
      <c r="DL377" s="155"/>
      <c r="DM377" s="155"/>
      <c r="DN377" s="155"/>
      <c r="DO377" s="155"/>
      <c r="DP377" s="155"/>
      <c r="DQ377" s="155"/>
      <c r="DR377" s="155"/>
      <c r="DS377" s="155"/>
      <c r="DT377" s="155"/>
      <c r="DU377" s="155"/>
      <c r="DV377" s="155"/>
      <c r="DW377" s="155"/>
      <c r="DX377" s="155"/>
    </row>
    <row r="378" spans="1:128" ht="18" customHeight="1">
      <c r="A378" s="155"/>
      <c r="B378" s="155"/>
      <c r="C378" s="155"/>
      <c r="D378" s="155"/>
      <c r="E378" s="49">
        <v>2136</v>
      </c>
      <c r="F378" s="49" t="str">
        <f t="shared" si="49"/>
        <v>546556778877</v>
      </c>
      <c r="G378" s="155"/>
      <c r="H378" s="155"/>
      <c r="I378" s="270"/>
      <c r="J378" s="270"/>
      <c r="K378" s="270"/>
      <c r="L378" s="270"/>
      <c r="M378" s="270"/>
      <c r="N378" s="270"/>
      <c r="O378" s="155"/>
      <c r="P378" s="155"/>
      <c r="Q378" s="155"/>
      <c r="R378" s="155"/>
      <c r="S378" s="155"/>
      <c r="T378" s="155"/>
      <c r="U378" s="158"/>
      <c r="V378" s="155"/>
      <c r="W378" s="155"/>
      <c r="X378" s="263"/>
      <c r="Y378" s="155"/>
      <c r="Z378" s="155"/>
      <c r="AA378" s="263"/>
      <c r="AB378" s="263"/>
      <c r="AC378" s="155"/>
      <c r="AD378" s="155"/>
      <c r="AE378" s="155"/>
      <c r="AF378" s="155"/>
      <c r="AG378" s="155"/>
      <c r="AH378" s="155"/>
      <c r="AI378" s="155"/>
      <c r="AJ378" s="155"/>
      <c r="AK378" s="155"/>
      <c r="AL378" s="155"/>
      <c r="AM378" s="155"/>
      <c r="AN378" s="155"/>
      <c r="AO378" s="155"/>
      <c r="AP378" s="49"/>
      <c r="AQ378" s="49"/>
      <c r="AR378" s="155"/>
      <c r="AS378" s="155"/>
      <c r="AT378" s="155"/>
      <c r="AU378" s="155"/>
      <c r="AV378" s="155"/>
      <c r="AW378" s="155"/>
      <c r="AX378" s="155"/>
      <c r="AY378" s="155"/>
      <c r="AZ378" s="49"/>
      <c r="BA378" s="49"/>
      <c r="BB378" s="49"/>
      <c r="BC378" s="49"/>
      <c r="BD378" s="49"/>
      <c r="BE378" s="49"/>
      <c r="BF378" s="49"/>
      <c r="BG378" s="49"/>
      <c r="BH378" s="49"/>
      <c r="BI378" s="155"/>
      <c r="BJ378" s="155"/>
      <c r="BK378" s="155"/>
      <c r="BL378" s="49"/>
      <c r="BM378" s="49"/>
      <c r="BN378" s="49"/>
      <c r="BO378" s="49"/>
      <c r="BP378" s="49"/>
      <c r="BQ378" s="49"/>
      <c r="BR378" s="49"/>
      <c r="BS378" s="49"/>
      <c r="BT378" s="49"/>
      <c r="BU378" s="49"/>
      <c r="BV378" s="49"/>
      <c r="BW378" s="49"/>
      <c r="BX378" s="49"/>
      <c r="BY378" s="49"/>
      <c r="BZ378" s="49"/>
      <c r="CA378" s="49"/>
      <c r="CB378" s="49"/>
      <c r="CC378" s="49"/>
      <c r="CD378" s="49"/>
      <c r="CE378" s="49"/>
      <c r="CF378" s="49"/>
      <c r="CG378" s="49"/>
      <c r="CH378" s="49"/>
      <c r="CI378" s="49"/>
      <c r="CJ378" s="49"/>
      <c r="CK378" s="49"/>
      <c r="CL378" s="49"/>
      <c r="CM378" s="49"/>
      <c r="CN378" s="49"/>
      <c r="CO378" s="49"/>
      <c r="CP378" s="49"/>
      <c r="CQ378" s="49"/>
      <c r="CR378" s="49"/>
      <c r="CS378" s="49"/>
      <c r="CT378" s="155"/>
      <c r="CU378" s="155"/>
      <c r="CV378" s="155"/>
      <c r="CW378" s="155"/>
      <c r="CX378" s="155"/>
      <c r="CY378" s="155"/>
      <c r="CZ378" s="155"/>
      <c r="DA378" s="155"/>
      <c r="DB378" s="155"/>
      <c r="DC378" s="155"/>
      <c r="DD378" s="155"/>
      <c r="DE378" s="155"/>
      <c r="DF378" s="155"/>
      <c r="DG378" s="155"/>
      <c r="DH378" s="155"/>
      <c r="DI378" s="155"/>
      <c r="DJ378" s="155"/>
      <c r="DK378" s="155"/>
      <c r="DL378" s="155"/>
      <c r="DM378" s="155"/>
      <c r="DN378" s="155"/>
      <c r="DO378" s="155"/>
      <c r="DP378" s="155"/>
      <c r="DQ378" s="155"/>
      <c r="DR378" s="155"/>
      <c r="DS378" s="155"/>
      <c r="DT378" s="155"/>
      <c r="DU378" s="155"/>
      <c r="DV378" s="155"/>
      <c r="DW378" s="155"/>
      <c r="DX378" s="155"/>
    </row>
    <row r="379" spans="1:128" ht="18" customHeight="1">
      <c r="A379" s="155"/>
      <c r="B379" s="155"/>
      <c r="C379" s="155"/>
      <c r="D379" s="155"/>
      <c r="E379" s="49">
        <v>2137</v>
      </c>
      <c r="F379" s="49" t="str">
        <f t="shared" si="49"/>
        <v>546556778877</v>
      </c>
      <c r="G379" s="155"/>
      <c r="H379" s="155"/>
      <c r="I379" s="270"/>
      <c r="J379" s="270"/>
      <c r="K379" s="270"/>
      <c r="L379" s="270"/>
      <c r="M379" s="270"/>
      <c r="N379" s="270"/>
      <c r="O379" s="155"/>
      <c r="P379" s="155"/>
      <c r="Q379" s="155"/>
      <c r="R379" s="155"/>
      <c r="S379" s="155"/>
      <c r="T379" s="155"/>
      <c r="U379" s="158"/>
      <c r="V379" s="155"/>
      <c r="W379" s="155"/>
      <c r="X379" s="263"/>
      <c r="Y379" s="155"/>
      <c r="Z379" s="155"/>
      <c r="AA379" s="263"/>
      <c r="AB379" s="263"/>
      <c r="AC379" s="155"/>
      <c r="AD379" s="155"/>
      <c r="AE379" s="155"/>
      <c r="AF379" s="155"/>
      <c r="AG379" s="155"/>
      <c r="AH379" s="155"/>
      <c r="AI379" s="155"/>
      <c r="AJ379" s="155"/>
      <c r="AK379" s="155"/>
      <c r="AL379" s="155"/>
      <c r="AM379" s="155"/>
      <c r="AN379" s="155"/>
      <c r="AO379" s="155"/>
      <c r="AP379" s="49"/>
      <c r="AQ379" s="49"/>
      <c r="AR379" s="155"/>
      <c r="AS379" s="155"/>
      <c r="AT379" s="155"/>
      <c r="AU379" s="155"/>
      <c r="AV379" s="155"/>
      <c r="AW379" s="155"/>
      <c r="AX379" s="155"/>
      <c r="AY379" s="155"/>
      <c r="AZ379" s="49"/>
      <c r="BA379" s="49"/>
      <c r="BB379" s="49"/>
      <c r="BC379" s="49"/>
      <c r="BD379" s="49"/>
      <c r="BE379" s="49"/>
      <c r="BF379" s="49"/>
      <c r="BG379" s="49"/>
      <c r="BH379" s="49"/>
      <c r="BI379" s="155"/>
      <c r="BJ379" s="155"/>
      <c r="BK379" s="155"/>
      <c r="BL379" s="49"/>
      <c r="BM379" s="49"/>
      <c r="BN379" s="49"/>
      <c r="BO379" s="49"/>
      <c r="BP379" s="49"/>
      <c r="BQ379" s="49"/>
      <c r="BR379" s="49"/>
      <c r="BS379" s="49"/>
      <c r="BT379" s="49"/>
      <c r="BU379" s="49"/>
      <c r="BV379" s="49"/>
      <c r="BW379" s="49"/>
      <c r="BX379" s="49"/>
      <c r="BY379" s="49"/>
      <c r="BZ379" s="49"/>
      <c r="CA379" s="49"/>
      <c r="CB379" s="49"/>
      <c r="CC379" s="49"/>
      <c r="CD379" s="49"/>
      <c r="CE379" s="49"/>
      <c r="CF379" s="49"/>
      <c r="CG379" s="49"/>
      <c r="CH379" s="49"/>
      <c r="CI379" s="49"/>
      <c r="CJ379" s="49"/>
      <c r="CK379" s="49"/>
      <c r="CL379" s="49"/>
      <c r="CM379" s="49"/>
      <c r="CN379" s="49"/>
      <c r="CO379" s="49"/>
      <c r="CP379" s="49"/>
      <c r="CQ379" s="49"/>
      <c r="CR379" s="49"/>
      <c r="CS379" s="49"/>
      <c r="CT379" s="155"/>
      <c r="CU379" s="155"/>
      <c r="CV379" s="155"/>
      <c r="CW379" s="155"/>
      <c r="CX379" s="155"/>
      <c r="CY379" s="155"/>
      <c r="CZ379" s="155"/>
      <c r="DA379" s="155"/>
      <c r="DB379" s="155"/>
      <c r="DC379" s="155"/>
      <c r="DD379" s="155"/>
      <c r="DE379" s="155"/>
      <c r="DF379" s="155"/>
      <c r="DG379" s="155"/>
      <c r="DH379" s="155"/>
      <c r="DI379" s="155"/>
      <c r="DJ379" s="155"/>
      <c r="DK379" s="155"/>
      <c r="DL379" s="155"/>
      <c r="DM379" s="155"/>
      <c r="DN379" s="155"/>
      <c r="DO379" s="155"/>
      <c r="DP379" s="155"/>
      <c r="DQ379" s="155"/>
      <c r="DR379" s="155"/>
      <c r="DS379" s="155"/>
      <c r="DT379" s="155"/>
      <c r="DU379" s="155"/>
      <c r="DV379" s="155"/>
      <c r="DW379" s="155"/>
      <c r="DX379" s="155"/>
    </row>
    <row r="380" spans="1:128" ht="18" customHeight="1">
      <c r="A380" s="155"/>
      <c r="B380" s="155"/>
      <c r="C380" s="155"/>
      <c r="D380" s="155"/>
      <c r="E380" s="49">
        <v>2138</v>
      </c>
      <c r="F380" s="49" t="str">
        <f t="shared" si="49"/>
        <v>546556778877</v>
      </c>
      <c r="G380" s="155"/>
      <c r="H380" s="155"/>
      <c r="I380" s="270"/>
      <c r="J380" s="270"/>
      <c r="K380" s="270"/>
      <c r="L380" s="270"/>
      <c r="M380" s="270"/>
      <c r="N380" s="270"/>
      <c r="O380" s="155"/>
      <c r="P380" s="155"/>
      <c r="Q380" s="155"/>
      <c r="R380" s="155"/>
      <c r="S380" s="155"/>
      <c r="T380" s="155"/>
      <c r="U380" s="158"/>
      <c r="V380" s="155"/>
      <c r="W380" s="155"/>
      <c r="X380" s="263"/>
      <c r="Y380" s="155"/>
      <c r="Z380" s="155"/>
      <c r="AA380" s="263"/>
      <c r="AB380" s="263"/>
      <c r="AC380" s="155"/>
      <c r="AD380" s="155"/>
      <c r="AE380" s="155"/>
      <c r="AF380" s="155"/>
      <c r="AG380" s="155"/>
      <c r="AH380" s="155"/>
      <c r="AI380" s="155"/>
      <c r="AJ380" s="155"/>
      <c r="AK380" s="155"/>
      <c r="AL380" s="155"/>
      <c r="AM380" s="155"/>
      <c r="AN380" s="155"/>
      <c r="AO380" s="155"/>
      <c r="AP380" s="49"/>
      <c r="AQ380" s="49"/>
      <c r="AR380" s="155"/>
      <c r="AS380" s="155"/>
      <c r="AT380" s="155"/>
      <c r="AU380" s="155"/>
      <c r="AV380" s="155"/>
      <c r="AW380" s="155"/>
      <c r="AX380" s="155"/>
      <c r="AY380" s="155"/>
      <c r="AZ380" s="49"/>
      <c r="BA380" s="49"/>
      <c r="BB380" s="49"/>
      <c r="BC380" s="49"/>
      <c r="BD380" s="49"/>
      <c r="BE380" s="49"/>
      <c r="BF380" s="49"/>
      <c r="BG380" s="49"/>
      <c r="BH380" s="49"/>
      <c r="BI380" s="155"/>
      <c r="BJ380" s="155"/>
      <c r="BK380" s="155"/>
      <c r="BL380" s="49"/>
      <c r="BM380" s="49"/>
      <c r="BN380" s="49"/>
      <c r="BO380" s="49"/>
      <c r="BP380" s="49"/>
      <c r="BQ380" s="49"/>
      <c r="BR380" s="49"/>
      <c r="BS380" s="49"/>
      <c r="BT380" s="49"/>
      <c r="BU380" s="49"/>
      <c r="BV380" s="49"/>
      <c r="BW380" s="49"/>
      <c r="BX380" s="49"/>
      <c r="BY380" s="49"/>
      <c r="BZ380" s="49"/>
      <c r="CA380" s="49"/>
      <c r="CB380" s="49"/>
      <c r="CC380" s="49"/>
      <c r="CD380" s="49"/>
      <c r="CE380" s="49"/>
      <c r="CF380" s="49"/>
      <c r="CG380" s="49"/>
      <c r="CH380" s="49"/>
      <c r="CI380" s="49"/>
      <c r="CJ380" s="49"/>
      <c r="CK380" s="49"/>
      <c r="CL380" s="49"/>
      <c r="CM380" s="49"/>
      <c r="CN380" s="49"/>
      <c r="CO380" s="49"/>
      <c r="CP380" s="49"/>
      <c r="CQ380" s="49"/>
      <c r="CR380" s="49"/>
      <c r="CS380" s="49"/>
      <c r="CT380" s="155"/>
      <c r="CU380" s="155"/>
      <c r="CV380" s="155"/>
      <c r="CW380" s="155"/>
      <c r="CX380" s="155"/>
      <c r="CY380" s="155"/>
      <c r="CZ380" s="155"/>
      <c r="DA380" s="155"/>
      <c r="DB380" s="155"/>
      <c r="DC380" s="155"/>
      <c r="DD380" s="155"/>
      <c r="DE380" s="155"/>
      <c r="DF380" s="155"/>
      <c r="DG380" s="155"/>
      <c r="DH380" s="155"/>
      <c r="DI380" s="155"/>
      <c r="DJ380" s="155"/>
      <c r="DK380" s="155"/>
      <c r="DL380" s="155"/>
      <c r="DM380" s="155"/>
      <c r="DN380" s="155"/>
      <c r="DO380" s="155"/>
      <c r="DP380" s="155"/>
      <c r="DQ380" s="155"/>
      <c r="DR380" s="155"/>
      <c r="DS380" s="155"/>
      <c r="DT380" s="155"/>
      <c r="DU380" s="155"/>
      <c r="DV380" s="155"/>
      <c r="DW380" s="155"/>
      <c r="DX380" s="155"/>
    </row>
    <row r="381" spans="1:128" ht="18" customHeight="1">
      <c r="A381" s="155"/>
      <c r="B381" s="155"/>
      <c r="C381" s="155"/>
      <c r="D381" s="155"/>
      <c r="E381" s="49">
        <v>2139</v>
      </c>
      <c r="F381" s="49" t="str">
        <f t="shared" si="49"/>
        <v>646566788887</v>
      </c>
      <c r="G381" s="155"/>
      <c r="H381" s="155"/>
      <c r="I381" s="270"/>
      <c r="J381" s="270"/>
      <c r="K381" s="270"/>
      <c r="L381" s="270"/>
      <c r="M381" s="270"/>
      <c r="N381" s="270"/>
      <c r="O381" s="155"/>
      <c r="P381" s="155"/>
      <c r="Q381" s="155"/>
      <c r="R381" s="155"/>
      <c r="S381" s="155"/>
      <c r="T381" s="155"/>
      <c r="U381" s="158"/>
      <c r="V381" s="155"/>
      <c r="W381" s="155"/>
      <c r="X381" s="263"/>
      <c r="Y381" s="155"/>
      <c r="Z381" s="155"/>
      <c r="AA381" s="263"/>
      <c r="AB381" s="263"/>
      <c r="AC381" s="155"/>
      <c r="AD381" s="155"/>
      <c r="AE381" s="155"/>
      <c r="AF381" s="155"/>
      <c r="AG381" s="155"/>
      <c r="AH381" s="155"/>
      <c r="AI381" s="155"/>
      <c r="AJ381" s="155"/>
      <c r="AK381" s="155"/>
      <c r="AL381" s="155"/>
      <c r="AM381" s="155"/>
      <c r="AN381" s="155"/>
      <c r="AO381" s="155"/>
      <c r="AP381" s="49"/>
      <c r="AQ381" s="49"/>
      <c r="AR381" s="155"/>
      <c r="AS381" s="155"/>
      <c r="AT381" s="155"/>
      <c r="AU381" s="155"/>
      <c r="AV381" s="155"/>
      <c r="AW381" s="155"/>
      <c r="AX381" s="155"/>
      <c r="AY381" s="155"/>
      <c r="AZ381" s="49"/>
      <c r="BA381" s="49"/>
      <c r="BB381" s="49"/>
      <c r="BC381" s="49"/>
      <c r="BD381" s="49"/>
      <c r="BE381" s="49"/>
      <c r="BF381" s="49"/>
      <c r="BG381" s="49"/>
      <c r="BH381" s="49"/>
      <c r="BI381" s="155"/>
      <c r="BJ381" s="155"/>
      <c r="BK381" s="155"/>
      <c r="BL381" s="49"/>
      <c r="BM381" s="49"/>
      <c r="BN381" s="49"/>
      <c r="BO381" s="49"/>
      <c r="BP381" s="49"/>
      <c r="BQ381" s="49"/>
      <c r="BR381" s="49"/>
      <c r="BS381" s="49"/>
      <c r="BT381" s="49"/>
      <c r="BU381" s="49"/>
      <c r="BV381" s="49"/>
      <c r="BW381" s="49"/>
      <c r="BX381" s="49"/>
      <c r="BY381" s="49"/>
      <c r="BZ381" s="49"/>
      <c r="CA381" s="49"/>
      <c r="CB381" s="49"/>
      <c r="CC381" s="49"/>
      <c r="CD381" s="49"/>
      <c r="CE381" s="49"/>
      <c r="CF381" s="49"/>
      <c r="CG381" s="49"/>
      <c r="CH381" s="49"/>
      <c r="CI381" s="49"/>
      <c r="CJ381" s="49"/>
      <c r="CK381" s="49"/>
      <c r="CL381" s="49"/>
      <c r="CM381" s="49"/>
      <c r="CN381" s="49"/>
      <c r="CO381" s="49"/>
      <c r="CP381" s="49"/>
      <c r="CQ381" s="49"/>
      <c r="CR381" s="49"/>
      <c r="CS381" s="49"/>
      <c r="CT381" s="155"/>
      <c r="CU381" s="155"/>
      <c r="CV381" s="155"/>
      <c r="CW381" s="155"/>
      <c r="CX381" s="155"/>
      <c r="CY381" s="155"/>
      <c r="CZ381" s="155"/>
      <c r="DA381" s="155"/>
      <c r="DB381" s="155"/>
      <c r="DC381" s="155"/>
      <c r="DD381" s="155"/>
      <c r="DE381" s="155"/>
      <c r="DF381" s="155"/>
      <c r="DG381" s="155"/>
      <c r="DH381" s="155"/>
      <c r="DI381" s="155"/>
      <c r="DJ381" s="155"/>
      <c r="DK381" s="155"/>
      <c r="DL381" s="155"/>
      <c r="DM381" s="155"/>
      <c r="DN381" s="155"/>
      <c r="DO381" s="155"/>
      <c r="DP381" s="155"/>
      <c r="DQ381" s="155"/>
      <c r="DR381" s="155"/>
      <c r="DS381" s="155"/>
      <c r="DT381" s="155"/>
      <c r="DU381" s="155"/>
      <c r="DV381" s="155"/>
      <c r="DW381" s="155"/>
      <c r="DX381" s="155"/>
    </row>
    <row r="382" spans="1:128" ht="18" customHeight="1">
      <c r="A382" s="155"/>
      <c r="B382" s="155"/>
      <c r="C382" s="155"/>
      <c r="D382" s="155"/>
      <c r="E382" s="49">
        <v>2140</v>
      </c>
      <c r="F382" s="49" t="str">
        <f t="shared" si="49"/>
        <v>546556778877</v>
      </c>
      <c r="G382" s="155"/>
      <c r="H382" s="155"/>
      <c r="I382" s="270"/>
      <c r="J382" s="270"/>
      <c r="K382" s="270"/>
      <c r="L382" s="270"/>
      <c r="M382" s="270"/>
      <c r="N382" s="270"/>
      <c r="O382" s="155"/>
      <c r="P382" s="155"/>
      <c r="Q382" s="155"/>
      <c r="R382" s="155"/>
      <c r="S382" s="155"/>
      <c r="T382" s="155"/>
      <c r="U382" s="158"/>
      <c r="V382" s="155"/>
      <c r="W382" s="155"/>
      <c r="X382" s="263"/>
      <c r="Y382" s="155"/>
      <c r="Z382" s="155"/>
      <c r="AA382" s="263"/>
      <c r="AB382" s="263"/>
      <c r="AC382" s="155"/>
      <c r="AD382" s="155"/>
      <c r="AE382" s="155"/>
      <c r="AF382" s="155"/>
      <c r="AG382" s="155"/>
      <c r="AH382" s="155"/>
      <c r="AI382" s="155"/>
      <c r="AJ382" s="155"/>
      <c r="AK382" s="155"/>
      <c r="AL382" s="155"/>
      <c r="AM382" s="155"/>
      <c r="AN382" s="155"/>
      <c r="AO382" s="155"/>
      <c r="AP382" s="49"/>
      <c r="AQ382" s="49"/>
      <c r="AR382" s="155"/>
      <c r="AS382" s="155"/>
      <c r="AT382" s="155"/>
      <c r="AU382" s="155"/>
      <c r="AV382" s="155"/>
      <c r="AW382" s="155"/>
      <c r="AX382" s="155"/>
      <c r="AY382" s="155"/>
      <c r="AZ382" s="49"/>
      <c r="BA382" s="49"/>
      <c r="BB382" s="49"/>
      <c r="BC382" s="49"/>
      <c r="BD382" s="49"/>
      <c r="BE382" s="49"/>
      <c r="BF382" s="49"/>
      <c r="BG382" s="49"/>
      <c r="BH382" s="49"/>
      <c r="BI382" s="155"/>
      <c r="BJ382" s="155"/>
      <c r="BK382" s="155"/>
      <c r="BL382" s="49"/>
      <c r="BM382" s="49"/>
      <c r="BN382" s="49"/>
      <c r="BO382" s="49"/>
      <c r="BP382" s="49"/>
      <c r="BQ382" s="49"/>
      <c r="BR382" s="49"/>
      <c r="BS382" s="49"/>
      <c r="BT382" s="49"/>
      <c r="BU382" s="49"/>
      <c r="BV382" s="49"/>
      <c r="BW382" s="49"/>
      <c r="BX382" s="49"/>
      <c r="BY382" s="49"/>
      <c r="BZ382" s="49"/>
      <c r="CA382" s="49"/>
      <c r="CB382" s="49"/>
      <c r="CC382" s="49"/>
      <c r="CD382" s="49"/>
      <c r="CE382" s="49"/>
      <c r="CF382" s="49"/>
      <c r="CG382" s="49"/>
      <c r="CH382" s="49"/>
      <c r="CI382" s="49"/>
      <c r="CJ382" s="49"/>
      <c r="CK382" s="49"/>
      <c r="CL382" s="49"/>
      <c r="CM382" s="49"/>
      <c r="CN382" s="49"/>
      <c r="CO382" s="49"/>
      <c r="CP382" s="49"/>
      <c r="CQ382" s="49"/>
      <c r="CR382" s="49"/>
      <c r="CS382" s="49"/>
      <c r="CT382" s="155"/>
      <c r="CU382" s="155"/>
      <c r="CV382" s="155"/>
      <c r="CW382" s="155"/>
      <c r="CX382" s="155"/>
      <c r="CY382" s="155"/>
      <c r="CZ382" s="155"/>
      <c r="DA382" s="155"/>
      <c r="DB382" s="155"/>
      <c r="DC382" s="155"/>
      <c r="DD382" s="155"/>
      <c r="DE382" s="155"/>
      <c r="DF382" s="155"/>
      <c r="DG382" s="155"/>
      <c r="DH382" s="155"/>
      <c r="DI382" s="155"/>
      <c r="DJ382" s="155"/>
      <c r="DK382" s="155"/>
      <c r="DL382" s="155"/>
      <c r="DM382" s="155"/>
      <c r="DN382" s="155"/>
      <c r="DO382" s="155"/>
      <c r="DP382" s="155"/>
      <c r="DQ382" s="155"/>
      <c r="DR382" s="155"/>
      <c r="DS382" s="155"/>
      <c r="DT382" s="155"/>
      <c r="DU382" s="155"/>
      <c r="DV382" s="155"/>
      <c r="DW382" s="155"/>
      <c r="DX382" s="155"/>
    </row>
    <row r="383" spans="1:128" ht="18" customHeight="1">
      <c r="A383" s="155"/>
      <c r="B383" s="155"/>
      <c r="C383" s="155"/>
      <c r="D383" s="155"/>
      <c r="E383" s="49">
        <v>2141</v>
      </c>
      <c r="F383" s="49" t="str">
        <f t="shared" si="49"/>
        <v>546556778877</v>
      </c>
      <c r="G383" s="155"/>
      <c r="H383" s="155"/>
      <c r="I383" s="270"/>
      <c r="J383" s="270"/>
      <c r="K383" s="270"/>
      <c r="L383" s="270"/>
      <c r="M383" s="270"/>
      <c r="N383" s="270"/>
      <c r="O383" s="155"/>
      <c r="P383" s="155"/>
      <c r="Q383" s="155"/>
      <c r="R383" s="155"/>
      <c r="S383" s="155"/>
      <c r="T383" s="155"/>
      <c r="U383" s="158"/>
      <c r="V383" s="155"/>
      <c r="W383" s="155"/>
      <c r="X383" s="263"/>
      <c r="Y383" s="155"/>
      <c r="Z383" s="155"/>
      <c r="AA383" s="263"/>
      <c r="AB383" s="263"/>
      <c r="AC383" s="155"/>
      <c r="AD383" s="155"/>
      <c r="AE383" s="155"/>
      <c r="AF383" s="155"/>
      <c r="AG383" s="155"/>
      <c r="AH383" s="155"/>
      <c r="AI383" s="155"/>
      <c r="AJ383" s="155"/>
      <c r="AK383" s="155"/>
      <c r="AL383" s="155"/>
      <c r="AM383" s="155"/>
      <c r="AN383" s="155"/>
      <c r="AO383" s="155"/>
      <c r="AP383" s="49"/>
      <c r="AQ383" s="49"/>
      <c r="AR383" s="155"/>
      <c r="AS383" s="155"/>
      <c r="AT383" s="155"/>
      <c r="AU383" s="155"/>
      <c r="AV383" s="155"/>
      <c r="AW383" s="155"/>
      <c r="AX383" s="155"/>
      <c r="AY383" s="155"/>
      <c r="AZ383" s="49"/>
      <c r="BA383" s="49"/>
      <c r="BB383" s="49"/>
      <c r="BC383" s="49"/>
      <c r="BD383" s="49"/>
      <c r="BE383" s="49"/>
      <c r="BF383" s="49"/>
      <c r="BG383" s="49"/>
      <c r="BH383" s="49"/>
      <c r="BI383" s="155"/>
      <c r="BJ383" s="155"/>
      <c r="BK383" s="155"/>
      <c r="BL383" s="49"/>
      <c r="BM383" s="49"/>
      <c r="BN383" s="49"/>
      <c r="BO383" s="49"/>
      <c r="BP383" s="49"/>
      <c r="BQ383" s="49"/>
      <c r="BR383" s="49"/>
      <c r="BS383" s="49"/>
      <c r="BT383" s="49"/>
      <c r="BU383" s="49"/>
      <c r="BV383" s="49"/>
      <c r="BW383" s="49"/>
      <c r="BX383" s="49"/>
      <c r="BY383" s="49"/>
      <c r="BZ383" s="49"/>
      <c r="CA383" s="49"/>
      <c r="CB383" s="49"/>
      <c r="CC383" s="49"/>
      <c r="CD383" s="49"/>
      <c r="CE383" s="49"/>
      <c r="CF383" s="49"/>
      <c r="CG383" s="49"/>
      <c r="CH383" s="49"/>
      <c r="CI383" s="49"/>
      <c r="CJ383" s="49"/>
      <c r="CK383" s="49"/>
      <c r="CL383" s="49"/>
      <c r="CM383" s="49"/>
      <c r="CN383" s="49"/>
      <c r="CO383" s="49"/>
      <c r="CP383" s="49"/>
      <c r="CQ383" s="49"/>
      <c r="CR383" s="49"/>
      <c r="CS383" s="49"/>
      <c r="CT383" s="155"/>
      <c r="CU383" s="155"/>
      <c r="CV383" s="155"/>
      <c r="CW383" s="155"/>
      <c r="CX383" s="155"/>
      <c r="CY383" s="155"/>
      <c r="CZ383" s="155"/>
      <c r="DA383" s="155"/>
      <c r="DB383" s="155"/>
      <c r="DC383" s="155"/>
      <c r="DD383" s="155"/>
      <c r="DE383" s="155"/>
      <c r="DF383" s="155"/>
      <c r="DG383" s="155"/>
      <c r="DH383" s="155"/>
      <c r="DI383" s="155"/>
      <c r="DJ383" s="155"/>
      <c r="DK383" s="155"/>
      <c r="DL383" s="155"/>
      <c r="DM383" s="155"/>
      <c r="DN383" s="155"/>
      <c r="DO383" s="155"/>
      <c r="DP383" s="155"/>
      <c r="DQ383" s="155"/>
      <c r="DR383" s="155"/>
      <c r="DS383" s="155"/>
      <c r="DT383" s="155"/>
      <c r="DU383" s="155"/>
      <c r="DV383" s="155"/>
      <c r="DW383" s="155"/>
      <c r="DX383" s="155"/>
    </row>
    <row r="384" spans="1:128" ht="18" customHeight="1">
      <c r="A384" s="155"/>
      <c r="B384" s="155"/>
      <c r="C384" s="155"/>
      <c r="D384" s="155"/>
      <c r="E384" s="49">
        <v>2142</v>
      </c>
      <c r="F384" s="49" t="str">
        <f t="shared" si="49"/>
        <v>546556778877</v>
      </c>
      <c r="G384" s="155"/>
      <c r="H384" s="155"/>
      <c r="I384" s="270"/>
      <c r="J384" s="270"/>
      <c r="K384" s="270"/>
      <c r="L384" s="270"/>
      <c r="M384" s="270"/>
      <c r="N384" s="270"/>
      <c r="O384" s="155"/>
      <c r="P384" s="155"/>
      <c r="Q384" s="155"/>
      <c r="R384" s="155"/>
      <c r="S384" s="155"/>
      <c r="T384" s="155"/>
      <c r="U384" s="158"/>
      <c r="V384" s="155"/>
      <c r="W384" s="155"/>
      <c r="X384" s="263"/>
      <c r="Y384" s="155"/>
      <c r="Z384" s="155"/>
      <c r="AA384" s="263"/>
      <c r="AB384" s="263"/>
      <c r="AC384" s="155"/>
      <c r="AD384" s="155"/>
      <c r="AE384" s="155"/>
      <c r="AF384" s="155"/>
      <c r="AG384" s="155"/>
      <c r="AH384" s="155"/>
      <c r="AI384" s="155"/>
      <c r="AJ384" s="155"/>
      <c r="AK384" s="155"/>
      <c r="AL384" s="155"/>
      <c r="AM384" s="155"/>
      <c r="AN384" s="155"/>
      <c r="AO384" s="155"/>
      <c r="AP384" s="49"/>
      <c r="AQ384" s="49"/>
      <c r="AR384" s="155"/>
      <c r="AS384" s="155"/>
      <c r="AT384" s="155"/>
      <c r="AU384" s="155"/>
      <c r="AV384" s="155"/>
      <c r="AW384" s="155"/>
      <c r="AX384" s="155"/>
      <c r="AY384" s="155"/>
      <c r="AZ384" s="49"/>
      <c r="BA384" s="49"/>
      <c r="BB384" s="49"/>
      <c r="BC384" s="49"/>
      <c r="BD384" s="49"/>
      <c r="BE384" s="49"/>
      <c r="BF384" s="49"/>
      <c r="BG384" s="49"/>
      <c r="BH384" s="49"/>
      <c r="BI384" s="155"/>
      <c r="BJ384" s="155"/>
      <c r="BK384" s="155"/>
      <c r="BL384" s="49"/>
      <c r="BM384" s="49"/>
      <c r="BN384" s="49"/>
      <c r="BO384" s="49"/>
      <c r="BP384" s="49"/>
      <c r="BQ384" s="49"/>
      <c r="BR384" s="49"/>
      <c r="BS384" s="49"/>
      <c r="BT384" s="49"/>
      <c r="BU384" s="49"/>
      <c r="BV384" s="49"/>
      <c r="BW384" s="49"/>
      <c r="BX384" s="49"/>
      <c r="BY384" s="49"/>
      <c r="BZ384" s="49"/>
      <c r="CA384" s="49"/>
      <c r="CB384" s="49"/>
      <c r="CC384" s="49"/>
      <c r="CD384" s="49"/>
      <c r="CE384" s="49"/>
      <c r="CF384" s="49"/>
      <c r="CG384" s="49"/>
      <c r="CH384" s="49"/>
      <c r="CI384" s="49"/>
      <c r="CJ384" s="49"/>
      <c r="CK384" s="49"/>
      <c r="CL384" s="49"/>
      <c r="CM384" s="49"/>
      <c r="CN384" s="49"/>
      <c r="CO384" s="49"/>
      <c r="CP384" s="49"/>
      <c r="CQ384" s="49"/>
      <c r="CR384" s="49"/>
      <c r="CS384" s="49"/>
      <c r="CT384" s="155"/>
      <c r="CU384" s="155"/>
      <c r="CV384" s="155"/>
      <c r="CW384" s="155"/>
      <c r="CX384" s="155"/>
      <c r="CY384" s="155"/>
      <c r="CZ384" s="155"/>
      <c r="DA384" s="155"/>
      <c r="DB384" s="155"/>
      <c r="DC384" s="155"/>
      <c r="DD384" s="155"/>
      <c r="DE384" s="155"/>
      <c r="DF384" s="155"/>
      <c r="DG384" s="155"/>
      <c r="DH384" s="155"/>
      <c r="DI384" s="155"/>
      <c r="DJ384" s="155"/>
      <c r="DK384" s="155"/>
      <c r="DL384" s="155"/>
      <c r="DM384" s="155"/>
      <c r="DN384" s="155"/>
      <c r="DO384" s="155"/>
      <c r="DP384" s="155"/>
      <c r="DQ384" s="155"/>
      <c r="DR384" s="155"/>
      <c r="DS384" s="155"/>
      <c r="DT384" s="155"/>
      <c r="DU384" s="155"/>
      <c r="DV384" s="155"/>
      <c r="DW384" s="155"/>
      <c r="DX384" s="155"/>
    </row>
    <row r="385" spans="1:128" ht="18" customHeight="1">
      <c r="A385" s="155"/>
      <c r="B385" s="155"/>
      <c r="C385" s="155"/>
      <c r="D385" s="155"/>
      <c r="E385" s="49">
        <v>2143</v>
      </c>
      <c r="F385" s="49" t="str">
        <f t="shared" si="49"/>
        <v>646566788887</v>
      </c>
      <c r="G385" s="155"/>
      <c r="H385" s="155"/>
      <c r="I385" s="270"/>
      <c r="J385" s="270"/>
      <c r="K385" s="270"/>
      <c r="L385" s="270"/>
      <c r="M385" s="270"/>
      <c r="N385" s="270"/>
      <c r="O385" s="155"/>
      <c r="P385" s="155"/>
      <c r="Q385" s="155"/>
      <c r="R385" s="155"/>
      <c r="S385" s="155"/>
      <c r="T385" s="155"/>
      <c r="U385" s="158"/>
      <c r="V385" s="155"/>
      <c r="W385" s="155"/>
      <c r="X385" s="263"/>
      <c r="Y385" s="155"/>
      <c r="Z385" s="155"/>
      <c r="AA385" s="263"/>
      <c r="AB385" s="263"/>
      <c r="AC385" s="155"/>
      <c r="AD385" s="155"/>
      <c r="AE385" s="155"/>
      <c r="AF385" s="155"/>
      <c r="AG385" s="155"/>
      <c r="AH385" s="155"/>
      <c r="AI385" s="155"/>
      <c r="AJ385" s="155"/>
      <c r="AK385" s="155"/>
      <c r="AL385" s="155"/>
      <c r="AM385" s="155"/>
      <c r="AN385" s="155"/>
      <c r="AO385" s="155"/>
      <c r="AP385" s="49"/>
      <c r="AQ385" s="49"/>
      <c r="AR385" s="155"/>
      <c r="AS385" s="155"/>
      <c r="AT385" s="155"/>
      <c r="AU385" s="155"/>
      <c r="AV385" s="155"/>
      <c r="AW385" s="155"/>
      <c r="AX385" s="155"/>
      <c r="AY385" s="155"/>
      <c r="AZ385" s="49"/>
      <c r="BA385" s="49"/>
      <c r="BB385" s="49"/>
      <c r="BC385" s="49"/>
      <c r="BD385" s="49"/>
      <c r="BE385" s="49"/>
      <c r="BF385" s="49"/>
      <c r="BG385" s="49"/>
      <c r="BH385" s="49"/>
      <c r="BI385" s="155"/>
      <c r="BJ385" s="155"/>
      <c r="BK385" s="155"/>
      <c r="BL385" s="49"/>
      <c r="BM385" s="49"/>
      <c r="BN385" s="49"/>
      <c r="BO385" s="49"/>
      <c r="BP385" s="49"/>
      <c r="BQ385" s="49"/>
      <c r="BR385" s="49"/>
      <c r="BS385" s="49"/>
      <c r="BT385" s="49"/>
      <c r="BU385" s="49"/>
      <c r="BV385" s="49"/>
      <c r="BW385" s="49"/>
      <c r="BX385" s="49"/>
      <c r="BY385" s="49"/>
      <c r="BZ385" s="49"/>
      <c r="CA385" s="49"/>
      <c r="CB385" s="49"/>
      <c r="CC385" s="49"/>
      <c r="CD385" s="49"/>
      <c r="CE385" s="49"/>
      <c r="CF385" s="49"/>
      <c r="CG385" s="49"/>
      <c r="CH385" s="49"/>
      <c r="CI385" s="49"/>
      <c r="CJ385" s="49"/>
      <c r="CK385" s="49"/>
      <c r="CL385" s="49"/>
      <c r="CM385" s="49"/>
      <c r="CN385" s="49"/>
      <c r="CO385" s="49"/>
      <c r="CP385" s="49"/>
      <c r="CQ385" s="49"/>
      <c r="CR385" s="49"/>
      <c r="CS385" s="49"/>
      <c r="CT385" s="155"/>
      <c r="CU385" s="155"/>
      <c r="CV385" s="155"/>
      <c r="CW385" s="155"/>
      <c r="CX385" s="155"/>
      <c r="CY385" s="155"/>
      <c r="CZ385" s="155"/>
      <c r="DA385" s="155"/>
      <c r="DB385" s="155"/>
      <c r="DC385" s="155"/>
      <c r="DD385" s="155"/>
      <c r="DE385" s="155"/>
      <c r="DF385" s="155"/>
      <c r="DG385" s="155"/>
      <c r="DH385" s="155"/>
      <c r="DI385" s="155"/>
      <c r="DJ385" s="155"/>
      <c r="DK385" s="155"/>
      <c r="DL385" s="155"/>
      <c r="DM385" s="155"/>
      <c r="DN385" s="155"/>
      <c r="DO385" s="155"/>
      <c r="DP385" s="155"/>
      <c r="DQ385" s="155"/>
      <c r="DR385" s="155"/>
      <c r="DS385" s="155"/>
      <c r="DT385" s="155"/>
      <c r="DU385" s="155"/>
      <c r="DV385" s="155"/>
      <c r="DW385" s="155"/>
      <c r="DX385" s="155"/>
    </row>
    <row r="386" spans="1:128" ht="18" customHeight="1">
      <c r="A386" s="155"/>
      <c r="B386" s="155"/>
      <c r="C386" s="155"/>
      <c r="D386" s="155"/>
      <c r="E386" s="49">
        <v>2144</v>
      </c>
      <c r="F386" s="49" t="str">
        <f t="shared" si="49"/>
        <v>546556778877</v>
      </c>
      <c r="G386" s="155"/>
      <c r="H386" s="155"/>
      <c r="I386" s="270"/>
      <c r="J386" s="270"/>
      <c r="K386" s="270"/>
      <c r="L386" s="270"/>
      <c r="M386" s="270"/>
      <c r="N386" s="270"/>
      <c r="O386" s="155"/>
      <c r="P386" s="155"/>
      <c r="Q386" s="155"/>
      <c r="R386" s="155"/>
      <c r="S386" s="155"/>
      <c r="T386" s="155"/>
      <c r="U386" s="158"/>
      <c r="V386" s="155"/>
      <c r="W386" s="155"/>
      <c r="X386" s="263"/>
      <c r="Y386" s="155"/>
      <c r="Z386" s="155"/>
      <c r="AA386" s="263"/>
      <c r="AB386" s="263"/>
      <c r="AC386" s="155"/>
      <c r="AD386" s="155"/>
      <c r="AE386" s="155"/>
      <c r="AF386" s="155"/>
      <c r="AG386" s="155"/>
      <c r="AH386" s="155"/>
      <c r="AI386" s="155"/>
      <c r="AJ386" s="155"/>
      <c r="AK386" s="155"/>
      <c r="AL386" s="155"/>
      <c r="AM386" s="155"/>
      <c r="AN386" s="155"/>
      <c r="AO386" s="155"/>
      <c r="AP386" s="49"/>
      <c r="AQ386" s="49"/>
      <c r="AR386" s="155"/>
      <c r="AS386" s="155"/>
      <c r="AT386" s="155"/>
      <c r="AU386" s="155"/>
      <c r="AV386" s="155"/>
      <c r="AW386" s="155"/>
      <c r="AX386" s="155"/>
      <c r="AY386" s="155"/>
      <c r="AZ386" s="49"/>
      <c r="BA386" s="49"/>
      <c r="BB386" s="49"/>
      <c r="BC386" s="49"/>
      <c r="BD386" s="49"/>
      <c r="BE386" s="49"/>
      <c r="BF386" s="49"/>
      <c r="BG386" s="49"/>
      <c r="BH386" s="49"/>
      <c r="BI386" s="155"/>
      <c r="BJ386" s="155"/>
      <c r="BK386" s="155"/>
      <c r="BL386" s="49"/>
      <c r="BM386" s="49"/>
      <c r="BN386" s="49"/>
      <c r="BO386" s="49"/>
      <c r="BP386" s="49"/>
      <c r="BQ386" s="49"/>
      <c r="BR386" s="49"/>
      <c r="BS386" s="49"/>
      <c r="BT386" s="49"/>
      <c r="BU386" s="49"/>
      <c r="BV386" s="49"/>
      <c r="BW386" s="49"/>
      <c r="BX386" s="49"/>
      <c r="BY386" s="49"/>
      <c r="BZ386" s="49"/>
      <c r="CA386" s="49"/>
      <c r="CB386" s="49"/>
      <c r="CC386" s="49"/>
      <c r="CD386" s="49"/>
      <c r="CE386" s="49"/>
      <c r="CF386" s="49"/>
      <c r="CG386" s="49"/>
      <c r="CH386" s="49"/>
      <c r="CI386" s="49"/>
      <c r="CJ386" s="49"/>
      <c r="CK386" s="49"/>
      <c r="CL386" s="49"/>
      <c r="CM386" s="49"/>
      <c r="CN386" s="49"/>
      <c r="CO386" s="49"/>
      <c r="CP386" s="49"/>
      <c r="CQ386" s="49"/>
      <c r="CR386" s="49"/>
      <c r="CS386" s="49"/>
      <c r="CT386" s="155"/>
      <c r="CU386" s="155"/>
      <c r="CV386" s="155"/>
      <c r="CW386" s="155"/>
      <c r="CX386" s="155"/>
      <c r="CY386" s="155"/>
      <c r="CZ386" s="155"/>
      <c r="DA386" s="155"/>
      <c r="DB386" s="155"/>
      <c r="DC386" s="155"/>
      <c r="DD386" s="155"/>
      <c r="DE386" s="155"/>
      <c r="DF386" s="155"/>
      <c r="DG386" s="155"/>
      <c r="DH386" s="155"/>
      <c r="DI386" s="155"/>
      <c r="DJ386" s="155"/>
      <c r="DK386" s="155"/>
      <c r="DL386" s="155"/>
      <c r="DM386" s="155"/>
      <c r="DN386" s="155"/>
      <c r="DO386" s="155"/>
      <c r="DP386" s="155"/>
      <c r="DQ386" s="155"/>
      <c r="DR386" s="155"/>
      <c r="DS386" s="155"/>
      <c r="DT386" s="155"/>
      <c r="DU386" s="155"/>
      <c r="DV386" s="155"/>
      <c r="DW386" s="155"/>
      <c r="DX386" s="155"/>
    </row>
    <row r="387" spans="1:128" ht="18" customHeight="1">
      <c r="A387" s="155"/>
      <c r="B387" s="155"/>
      <c r="C387" s="155"/>
      <c r="D387" s="155"/>
      <c r="E387" s="49">
        <v>2145</v>
      </c>
      <c r="F387" s="49" t="str">
        <f t="shared" si="49"/>
        <v>546556778877</v>
      </c>
      <c r="G387" s="155"/>
      <c r="H387" s="155"/>
      <c r="I387" s="270"/>
      <c r="J387" s="270"/>
      <c r="K387" s="270"/>
      <c r="L387" s="270"/>
      <c r="M387" s="270"/>
      <c r="N387" s="270"/>
      <c r="O387" s="155"/>
      <c r="P387" s="155"/>
      <c r="Q387" s="155"/>
      <c r="R387" s="155"/>
      <c r="S387" s="155"/>
      <c r="T387" s="155"/>
      <c r="U387" s="158"/>
      <c r="V387" s="155"/>
      <c r="W387" s="155"/>
      <c r="X387" s="263"/>
      <c r="Y387" s="155"/>
      <c r="Z387" s="155"/>
      <c r="AA387" s="263"/>
      <c r="AB387" s="263"/>
      <c r="AC387" s="155"/>
      <c r="AD387" s="155"/>
      <c r="AE387" s="155"/>
      <c r="AF387" s="155"/>
      <c r="AG387" s="155"/>
      <c r="AH387" s="155"/>
      <c r="AI387" s="155"/>
      <c r="AJ387" s="155"/>
      <c r="AK387" s="155"/>
      <c r="AL387" s="155"/>
      <c r="AM387" s="155"/>
      <c r="AN387" s="155"/>
      <c r="AO387" s="155"/>
      <c r="AP387" s="49"/>
      <c r="AQ387" s="49"/>
      <c r="AR387" s="155"/>
      <c r="AS387" s="155"/>
      <c r="AT387" s="155"/>
      <c r="AU387" s="155"/>
      <c r="AV387" s="155"/>
      <c r="AW387" s="155"/>
      <c r="AX387" s="155"/>
      <c r="AY387" s="155"/>
      <c r="AZ387" s="49"/>
      <c r="BA387" s="49"/>
      <c r="BB387" s="49"/>
      <c r="BC387" s="49"/>
      <c r="BD387" s="49"/>
      <c r="BE387" s="49"/>
      <c r="BF387" s="49"/>
      <c r="BG387" s="49"/>
      <c r="BH387" s="49"/>
      <c r="BI387" s="155"/>
      <c r="BJ387" s="155"/>
      <c r="BK387" s="155"/>
      <c r="BL387" s="49"/>
      <c r="BM387" s="49"/>
      <c r="BN387" s="49"/>
      <c r="BO387" s="49"/>
      <c r="BP387" s="49"/>
      <c r="BQ387" s="49"/>
      <c r="BR387" s="49"/>
      <c r="BS387" s="49"/>
      <c r="BT387" s="49"/>
      <c r="BU387" s="49"/>
      <c r="BV387" s="49"/>
      <c r="BW387" s="49"/>
      <c r="BX387" s="49"/>
      <c r="BY387" s="49"/>
      <c r="BZ387" s="49"/>
      <c r="CA387" s="49"/>
      <c r="CB387" s="49"/>
      <c r="CC387" s="49"/>
      <c r="CD387" s="49"/>
      <c r="CE387" s="49"/>
      <c r="CF387" s="49"/>
      <c r="CG387" s="49"/>
      <c r="CH387" s="49"/>
      <c r="CI387" s="49"/>
      <c r="CJ387" s="49"/>
      <c r="CK387" s="49"/>
      <c r="CL387" s="49"/>
      <c r="CM387" s="49"/>
      <c r="CN387" s="49"/>
      <c r="CO387" s="49"/>
      <c r="CP387" s="49"/>
      <c r="CQ387" s="49"/>
      <c r="CR387" s="49"/>
      <c r="CS387" s="49"/>
      <c r="CT387" s="155"/>
      <c r="CU387" s="155"/>
      <c r="CV387" s="155"/>
      <c r="CW387" s="155"/>
      <c r="CX387" s="155"/>
      <c r="CY387" s="155"/>
      <c r="CZ387" s="155"/>
      <c r="DA387" s="155"/>
      <c r="DB387" s="155"/>
      <c r="DC387" s="155"/>
      <c r="DD387" s="155"/>
      <c r="DE387" s="155"/>
      <c r="DF387" s="155"/>
      <c r="DG387" s="155"/>
      <c r="DH387" s="155"/>
      <c r="DI387" s="155"/>
      <c r="DJ387" s="155"/>
      <c r="DK387" s="155"/>
      <c r="DL387" s="155"/>
      <c r="DM387" s="155"/>
      <c r="DN387" s="155"/>
      <c r="DO387" s="155"/>
      <c r="DP387" s="155"/>
      <c r="DQ387" s="155"/>
      <c r="DR387" s="155"/>
      <c r="DS387" s="155"/>
      <c r="DT387" s="155"/>
      <c r="DU387" s="155"/>
      <c r="DV387" s="155"/>
      <c r="DW387" s="155"/>
      <c r="DX387" s="155"/>
    </row>
    <row r="388" spans="1:128" ht="18" customHeight="1">
      <c r="A388" s="155"/>
      <c r="B388" s="155"/>
      <c r="C388" s="155"/>
      <c r="D388" s="155"/>
      <c r="E388" s="49">
        <v>2146</v>
      </c>
      <c r="F388" s="49" t="str">
        <f t="shared" si="49"/>
        <v>546556778877</v>
      </c>
      <c r="G388" s="155"/>
      <c r="H388" s="155"/>
      <c r="I388" s="270"/>
      <c r="J388" s="270"/>
      <c r="K388" s="270"/>
      <c r="L388" s="270"/>
      <c r="M388" s="270"/>
      <c r="N388" s="270"/>
      <c r="O388" s="155"/>
      <c r="P388" s="155"/>
      <c r="Q388" s="155"/>
      <c r="R388" s="155"/>
      <c r="S388" s="155"/>
      <c r="T388" s="155"/>
      <c r="U388" s="158"/>
      <c r="V388" s="155"/>
      <c r="W388" s="155"/>
      <c r="X388" s="263"/>
      <c r="Y388" s="155"/>
      <c r="Z388" s="155"/>
      <c r="AA388" s="263"/>
      <c r="AB388" s="263"/>
      <c r="AC388" s="155"/>
      <c r="AD388" s="155"/>
      <c r="AE388" s="155"/>
      <c r="AF388" s="155"/>
      <c r="AG388" s="155"/>
      <c r="AH388" s="155"/>
      <c r="AI388" s="155"/>
      <c r="AJ388" s="155"/>
      <c r="AK388" s="155"/>
      <c r="AL388" s="155"/>
      <c r="AM388" s="155"/>
      <c r="AN388" s="155"/>
      <c r="AO388" s="155"/>
      <c r="AP388" s="49"/>
      <c r="AQ388" s="49"/>
      <c r="AR388" s="155"/>
      <c r="AS388" s="155"/>
      <c r="AT388" s="155"/>
      <c r="AU388" s="155"/>
      <c r="AV388" s="155"/>
      <c r="AW388" s="155"/>
      <c r="AX388" s="155"/>
      <c r="AY388" s="155"/>
      <c r="AZ388" s="49"/>
      <c r="BA388" s="49"/>
      <c r="BB388" s="49"/>
      <c r="BC388" s="49"/>
      <c r="BD388" s="49"/>
      <c r="BE388" s="49"/>
      <c r="BF388" s="49"/>
      <c r="BG388" s="49"/>
      <c r="BH388" s="49"/>
      <c r="BI388" s="155"/>
      <c r="BJ388" s="155"/>
      <c r="BK388" s="155"/>
      <c r="BL388" s="49"/>
      <c r="BM388" s="49"/>
      <c r="BN388" s="49"/>
      <c r="BO388" s="49"/>
      <c r="BP388" s="49"/>
      <c r="BQ388" s="49"/>
      <c r="BR388" s="49"/>
      <c r="BS388" s="49"/>
      <c r="BT388" s="49"/>
      <c r="BU388" s="49"/>
      <c r="BV388" s="49"/>
      <c r="BW388" s="49"/>
      <c r="BX388" s="49"/>
      <c r="BY388" s="49"/>
      <c r="BZ388" s="49"/>
      <c r="CA388" s="49"/>
      <c r="CB388" s="49"/>
      <c r="CC388" s="49"/>
      <c r="CD388" s="49"/>
      <c r="CE388" s="49"/>
      <c r="CF388" s="49"/>
      <c r="CG388" s="49"/>
      <c r="CH388" s="49"/>
      <c r="CI388" s="49"/>
      <c r="CJ388" s="49"/>
      <c r="CK388" s="49"/>
      <c r="CL388" s="49"/>
      <c r="CM388" s="49"/>
      <c r="CN388" s="49"/>
      <c r="CO388" s="49"/>
      <c r="CP388" s="49"/>
      <c r="CQ388" s="49"/>
      <c r="CR388" s="49"/>
      <c r="CS388" s="49"/>
      <c r="CT388" s="155"/>
      <c r="CU388" s="155"/>
      <c r="CV388" s="155"/>
      <c r="CW388" s="155"/>
      <c r="CX388" s="155"/>
      <c r="CY388" s="155"/>
      <c r="CZ388" s="155"/>
      <c r="DA388" s="155"/>
      <c r="DB388" s="155"/>
      <c r="DC388" s="155"/>
      <c r="DD388" s="155"/>
      <c r="DE388" s="155"/>
      <c r="DF388" s="155"/>
      <c r="DG388" s="155"/>
      <c r="DH388" s="155"/>
      <c r="DI388" s="155"/>
      <c r="DJ388" s="155"/>
      <c r="DK388" s="155"/>
      <c r="DL388" s="155"/>
      <c r="DM388" s="155"/>
      <c r="DN388" s="155"/>
      <c r="DO388" s="155"/>
      <c r="DP388" s="155"/>
      <c r="DQ388" s="155"/>
      <c r="DR388" s="155"/>
      <c r="DS388" s="155"/>
      <c r="DT388" s="155"/>
      <c r="DU388" s="155"/>
      <c r="DV388" s="155"/>
      <c r="DW388" s="155"/>
      <c r="DX388" s="155"/>
    </row>
    <row r="389" spans="1:128" ht="18" customHeight="1">
      <c r="A389" s="155"/>
      <c r="B389" s="155"/>
      <c r="C389" s="155"/>
      <c r="D389" s="155"/>
      <c r="E389" s="49">
        <v>2147</v>
      </c>
      <c r="F389" s="49" t="str">
        <f t="shared" si="49"/>
        <v>646566788887</v>
      </c>
      <c r="G389" s="155"/>
      <c r="H389" s="155"/>
      <c r="I389" s="270"/>
      <c r="J389" s="270"/>
      <c r="K389" s="270"/>
      <c r="L389" s="270"/>
      <c r="M389" s="270"/>
      <c r="N389" s="270"/>
      <c r="O389" s="155"/>
      <c r="P389" s="155"/>
      <c r="Q389" s="155"/>
      <c r="R389" s="155"/>
      <c r="S389" s="155"/>
      <c r="T389" s="155"/>
      <c r="U389" s="158"/>
      <c r="V389" s="155"/>
      <c r="W389" s="155"/>
      <c r="X389" s="263"/>
      <c r="Y389" s="155"/>
      <c r="Z389" s="155"/>
      <c r="AA389" s="263"/>
      <c r="AB389" s="263"/>
      <c r="AC389" s="155"/>
      <c r="AD389" s="155"/>
      <c r="AE389" s="155"/>
      <c r="AF389" s="155"/>
      <c r="AG389" s="155"/>
      <c r="AH389" s="155"/>
      <c r="AI389" s="155"/>
      <c r="AJ389" s="155"/>
      <c r="AK389" s="155"/>
      <c r="AL389" s="155"/>
      <c r="AM389" s="155"/>
      <c r="AN389" s="155"/>
      <c r="AO389" s="155"/>
      <c r="AP389" s="49"/>
      <c r="AQ389" s="49"/>
      <c r="AR389" s="155"/>
      <c r="AS389" s="155"/>
      <c r="AT389" s="155"/>
      <c r="AU389" s="155"/>
      <c r="AV389" s="155"/>
      <c r="AW389" s="155"/>
      <c r="AX389" s="155"/>
      <c r="AY389" s="155"/>
      <c r="AZ389" s="49"/>
      <c r="BA389" s="49"/>
      <c r="BB389" s="49"/>
      <c r="BC389" s="49"/>
      <c r="BD389" s="49"/>
      <c r="BE389" s="49"/>
      <c r="BF389" s="49"/>
      <c r="BG389" s="49"/>
      <c r="BH389" s="49"/>
      <c r="BI389" s="155"/>
      <c r="BJ389" s="155"/>
      <c r="BK389" s="155"/>
      <c r="BL389" s="49"/>
      <c r="BM389" s="49"/>
      <c r="BN389" s="49"/>
      <c r="BO389" s="49"/>
      <c r="BP389" s="49"/>
      <c r="BQ389" s="49"/>
      <c r="BR389" s="49"/>
      <c r="BS389" s="49"/>
      <c r="BT389" s="49"/>
      <c r="BU389" s="49"/>
      <c r="BV389" s="49"/>
      <c r="BW389" s="49"/>
      <c r="BX389" s="49"/>
      <c r="BY389" s="49"/>
      <c r="BZ389" s="49"/>
      <c r="CA389" s="49"/>
      <c r="CB389" s="49"/>
      <c r="CC389" s="49"/>
      <c r="CD389" s="49"/>
      <c r="CE389" s="49"/>
      <c r="CF389" s="49"/>
      <c r="CG389" s="49"/>
      <c r="CH389" s="49"/>
      <c r="CI389" s="49"/>
      <c r="CJ389" s="49"/>
      <c r="CK389" s="49"/>
      <c r="CL389" s="49"/>
      <c r="CM389" s="49"/>
      <c r="CN389" s="49"/>
      <c r="CO389" s="49"/>
      <c r="CP389" s="49"/>
      <c r="CQ389" s="49"/>
      <c r="CR389" s="49"/>
      <c r="CS389" s="49"/>
      <c r="CT389" s="155"/>
      <c r="CU389" s="155"/>
      <c r="CV389" s="155"/>
      <c r="CW389" s="155"/>
      <c r="CX389" s="155"/>
      <c r="CY389" s="155"/>
      <c r="CZ389" s="155"/>
      <c r="DA389" s="155"/>
      <c r="DB389" s="155"/>
      <c r="DC389" s="155"/>
      <c r="DD389" s="155"/>
      <c r="DE389" s="155"/>
      <c r="DF389" s="155"/>
      <c r="DG389" s="155"/>
      <c r="DH389" s="155"/>
      <c r="DI389" s="155"/>
      <c r="DJ389" s="155"/>
      <c r="DK389" s="155"/>
      <c r="DL389" s="155"/>
      <c r="DM389" s="155"/>
      <c r="DN389" s="155"/>
      <c r="DO389" s="155"/>
      <c r="DP389" s="155"/>
      <c r="DQ389" s="155"/>
      <c r="DR389" s="155"/>
      <c r="DS389" s="155"/>
      <c r="DT389" s="155"/>
      <c r="DU389" s="155"/>
      <c r="DV389" s="155"/>
      <c r="DW389" s="155"/>
      <c r="DX389" s="155"/>
    </row>
    <row r="390" spans="1:128" ht="18" customHeight="1">
      <c r="A390" s="155"/>
      <c r="B390" s="155"/>
      <c r="C390" s="155"/>
      <c r="D390" s="155"/>
      <c r="E390" s="49">
        <v>2148</v>
      </c>
      <c r="F390" s="49" t="str">
        <f t="shared" si="49"/>
        <v>546556778877</v>
      </c>
      <c r="G390" s="155"/>
      <c r="H390" s="155"/>
      <c r="I390" s="270"/>
      <c r="J390" s="270"/>
      <c r="K390" s="270"/>
      <c r="L390" s="270"/>
      <c r="M390" s="270"/>
      <c r="N390" s="270"/>
      <c r="O390" s="155"/>
      <c r="P390" s="155"/>
      <c r="Q390" s="155"/>
      <c r="R390" s="155"/>
      <c r="S390" s="155"/>
      <c r="T390" s="155"/>
      <c r="U390" s="158"/>
      <c r="V390" s="155"/>
      <c r="W390" s="155"/>
      <c r="X390" s="263"/>
      <c r="Y390" s="155"/>
      <c r="Z390" s="155"/>
      <c r="AA390" s="263"/>
      <c r="AB390" s="263"/>
      <c r="AC390" s="155"/>
      <c r="AD390" s="155"/>
      <c r="AE390" s="155"/>
      <c r="AF390" s="155"/>
      <c r="AG390" s="155"/>
      <c r="AH390" s="155"/>
      <c r="AI390" s="155"/>
      <c r="AJ390" s="155"/>
      <c r="AK390" s="155"/>
      <c r="AL390" s="155"/>
      <c r="AM390" s="155"/>
      <c r="AN390" s="155"/>
      <c r="AO390" s="155"/>
      <c r="AP390" s="49"/>
      <c r="AQ390" s="49"/>
      <c r="AR390" s="155"/>
      <c r="AS390" s="155"/>
      <c r="AT390" s="155"/>
      <c r="AU390" s="155"/>
      <c r="AV390" s="155"/>
      <c r="AW390" s="155"/>
      <c r="AX390" s="155"/>
      <c r="AY390" s="155"/>
      <c r="AZ390" s="49"/>
      <c r="BA390" s="49"/>
      <c r="BB390" s="49"/>
      <c r="BC390" s="49"/>
      <c r="BD390" s="49"/>
      <c r="BE390" s="49"/>
      <c r="BF390" s="49"/>
      <c r="BG390" s="49"/>
      <c r="BH390" s="49"/>
      <c r="BI390" s="155"/>
      <c r="BJ390" s="155"/>
      <c r="BK390" s="155"/>
      <c r="BL390" s="49"/>
      <c r="BM390" s="49"/>
      <c r="BN390" s="49"/>
      <c r="BO390" s="49"/>
      <c r="BP390" s="49"/>
      <c r="BQ390" s="49"/>
      <c r="BR390" s="49"/>
      <c r="BS390" s="49"/>
      <c r="BT390" s="49"/>
      <c r="BU390" s="49"/>
      <c r="BV390" s="49"/>
      <c r="BW390" s="49"/>
      <c r="BX390" s="49"/>
      <c r="BY390" s="49"/>
      <c r="BZ390" s="49"/>
      <c r="CA390" s="49"/>
      <c r="CB390" s="49"/>
      <c r="CC390" s="49"/>
      <c r="CD390" s="49"/>
      <c r="CE390" s="49"/>
      <c r="CF390" s="49"/>
      <c r="CG390" s="49"/>
      <c r="CH390" s="49"/>
      <c r="CI390" s="49"/>
      <c r="CJ390" s="49"/>
      <c r="CK390" s="49"/>
      <c r="CL390" s="49"/>
      <c r="CM390" s="49"/>
      <c r="CN390" s="49"/>
      <c r="CO390" s="49"/>
      <c r="CP390" s="49"/>
      <c r="CQ390" s="49"/>
      <c r="CR390" s="49"/>
      <c r="CS390" s="49"/>
      <c r="CT390" s="155"/>
      <c r="CU390" s="155"/>
      <c r="CV390" s="155"/>
      <c r="CW390" s="155"/>
      <c r="CX390" s="155"/>
      <c r="CY390" s="155"/>
      <c r="CZ390" s="155"/>
      <c r="DA390" s="155"/>
      <c r="DB390" s="155"/>
      <c r="DC390" s="155"/>
      <c r="DD390" s="155"/>
      <c r="DE390" s="155"/>
      <c r="DF390" s="155"/>
      <c r="DG390" s="155"/>
      <c r="DH390" s="155"/>
      <c r="DI390" s="155"/>
      <c r="DJ390" s="155"/>
      <c r="DK390" s="155"/>
      <c r="DL390" s="155"/>
      <c r="DM390" s="155"/>
      <c r="DN390" s="155"/>
      <c r="DO390" s="155"/>
      <c r="DP390" s="155"/>
      <c r="DQ390" s="155"/>
      <c r="DR390" s="155"/>
      <c r="DS390" s="155"/>
      <c r="DT390" s="155"/>
      <c r="DU390" s="155"/>
      <c r="DV390" s="155"/>
      <c r="DW390" s="155"/>
      <c r="DX390" s="155"/>
    </row>
    <row r="391" spans="1:128" ht="18" customHeight="1">
      <c r="A391" s="155"/>
      <c r="B391" s="155"/>
      <c r="C391" s="155"/>
      <c r="D391" s="155"/>
      <c r="E391" s="49">
        <v>2149</v>
      </c>
      <c r="F391" s="49" t="str">
        <f t="shared" si="49"/>
        <v>546556778877</v>
      </c>
      <c r="G391" s="155"/>
      <c r="H391" s="155"/>
      <c r="I391" s="270"/>
      <c r="J391" s="270"/>
      <c r="K391" s="270"/>
      <c r="L391" s="270"/>
      <c r="M391" s="270"/>
      <c r="N391" s="270"/>
      <c r="O391" s="155"/>
      <c r="P391" s="155"/>
      <c r="Q391" s="155"/>
      <c r="R391" s="155"/>
      <c r="S391" s="155"/>
      <c r="T391" s="155"/>
      <c r="U391" s="158"/>
      <c r="V391" s="155"/>
      <c r="W391" s="155"/>
      <c r="X391" s="263"/>
      <c r="Y391" s="155"/>
      <c r="Z391" s="155"/>
      <c r="AA391" s="263"/>
      <c r="AB391" s="263"/>
      <c r="AC391" s="155"/>
      <c r="AD391" s="155"/>
      <c r="AE391" s="155"/>
      <c r="AF391" s="155"/>
      <c r="AG391" s="155"/>
      <c r="AH391" s="155"/>
      <c r="AI391" s="155"/>
      <c r="AJ391" s="155"/>
      <c r="AK391" s="155"/>
      <c r="AL391" s="155"/>
      <c r="AM391" s="155"/>
      <c r="AN391" s="155"/>
      <c r="AO391" s="155"/>
      <c r="AP391" s="49"/>
      <c r="AQ391" s="49"/>
      <c r="AR391" s="155"/>
      <c r="AS391" s="155"/>
      <c r="AT391" s="155"/>
      <c r="AU391" s="155"/>
      <c r="AV391" s="155"/>
      <c r="AW391" s="155"/>
      <c r="AX391" s="155"/>
      <c r="AY391" s="155"/>
      <c r="AZ391" s="49"/>
      <c r="BA391" s="49"/>
      <c r="BB391" s="49"/>
      <c r="BC391" s="49"/>
      <c r="BD391" s="49"/>
      <c r="BE391" s="49"/>
      <c r="BF391" s="49"/>
      <c r="BG391" s="49"/>
      <c r="BH391" s="49"/>
      <c r="BI391" s="155"/>
      <c r="BJ391" s="155"/>
      <c r="BK391" s="155"/>
      <c r="BL391" s="49"/>
      <c r="BM391" s="49"/>
      <c r="BN391" s="49"/>
      <c r="BO391" s="49"/>
      <c r="BP391" s="49"/>
      <c r="BQ391" s="49"/>
      <c r="BR391" s="49"/>
      <c r="BS391" s="49"/>
      <c r="BT391" s="49"/>
      <c r="BU391" s="49"/>
      <c r="BV391" s="49"/>
      <c r="BW391" s="49"/>
      <c r="BX391" s="49"/>
      <c r="BY391" s="49"/>
      <c r="BZ391" s="49"/>
      <c r="CA391" s="49"/>
      <c r="CB391" s="49"/>
      <c r="CC391" s="49"/>
      <c r="CD391" s="49"/>
      <c r="CE391" s="49"/>
      <c r="CF391" s="49"/>
      <c r="CG391" s="49"/>
      <c r="CH391" s="49"/>
      <c r="CI391" s="49"/>
      <c r="CJ391" s="49"/>
      <c r="CK391" s="49"/>
      <c r="CL391" s="49"/>
      <c r="CM391" s="49"/>
      <c r="CN391" s="49"/>
      <c r="CO391" s="49"/>
      <c r="CP391" s="49"/>
      <c r="CQ391" s="49"/>
      <c r="CR391" s="49"/>
      <c r="CS391" s="49"/>
      <c r="CT391" s="155"/>
      <c r="CU391" s="155"/>
      <c r="CV391" s="155"/>
      <c r="CW391" s="155"/>
      <c r="CX391" s="155"/>
      <c r="CY391" s="155"/>
      <c r="CZ391" s="155"/>
      <c r="DA391" s="155"/>
      <c r="DB391" s="155"/>
      <c r="DC391" s="155"/>
      <c r="DD391" s="155"/>
      <c r="DE391" s="155"/>
      <c r="DF391" s="155"/>
      <c r="DG391" s="155"/>
      <c r="DH391" s="155"/>
      <c r="DI391" s="155"/>
      <c r="DJ391" s="155"/>
      <c r="DK391" s="155"/>
      <c r="DL391" s="155"/>
      <c r="DM391" s="155"/>
      <c r="DN391" s="155"/>
      <c r="DO391" s="155"/>
      <c r="DP391" s="155"/>
      <c r="DQ391" s="155"/>
      <c r="DR391" s="155"/>
      <c r="DS391" s="155"/>
      <c r="DT391" s="155"/>
      <c r="DU391" s="155"/>
      <c r="DV391" s="155"/>
      <c r="DW391" s="155"/>
      <c r="DX391" s="155"/>
    </row>
    <row r="392" spans="1:128" ht="18" customHeight="1">
      <c r="A392" s="155"/>
      <c r="B392" s="155"/>
      <c r="C392" s="155"/>
      <c r="D392" s="155"/>
      <c r="E392" s="49">
        <v>2150</v>
      </c>
      <c r="F392" s="49" t="str">
        <f t="shared" si="49"/>
        <v>546556778877</v>
      </c>
      <c r="G392" s="155"/>
      <c r="H392" s="155"/>
      <c r="I392" s="270"/>
      <c r="J392" s="270"/>
      <c r="K392" s="270"/>
      <c r="L392" s="270"/>
      <c r="M392" s="270"/>
      <c r="N392" s="270"/>
      <c r="O392" s="155"/>
      <c r="P392" s="155"/>
      <c r="Q392" s="155"/>
      <c r="R392" s="155"/>
      <c r="S392" s="155"/>
      <c r="T392" s="155"/>
      <c r="U392" s="158"/>
      <c r="V392" s="155"/>
      <c r="W392" s="155"/>
      <c r="X392" s="263"/>
      <c r="Y392" s="155"/>
      <c r="Z392" s="155"/>
      <c r="AA392" s="263"/>
      <c r="AB392" s="263"/>
      <c r="AC392" s="155"/>
      <c r="AD392" s="155"/>
      <c r="AE392" s="155"/>
      <c r="AF392" s="155"/>
      <c r="AG392" s="155"/>
      <c r="AH392" s="155"/>
      <c r="AI392" s="155"/>
      <c r="AJ392" s="155"/>
      <c r="AK392" s="155"/>
      <c r="AL392" s="155"/>
      <c r="AM392" s="155"/>
      <c r="AN392" s="155"/>
      <c r="AO392" s="155"/>
      <c r="AP392" s="49"/>
      <c r="AQ392" s="49"/>
      <c r="AR392" s="155"/>
      <c r="AS392" s="155"/>
      <c r="AT392" s="155"/>
      <c r="AU392" s="155"/>
      <c r="AV392" s="155"/>
      <c r="AW392" s="155"/>
      <c r="AX392" s="155"/>
      <c r="AY392" s="155"/>
      <c r="AZ392" s="49"/>
      <c r="BA392" s="49"/>
      <c r="BB392" s="49"/>
      <c r="BC392" s="49"/>
      <c r="BD392" s="49"/>
      <c r="BE392" s="49"/>
      <c r="BF392" s="49"/>
      <c r="BG392" s="49"/>
      <c r="BH392" s="49"/>
      <c r="BI392" s="155"/>
      <c r="BJ392" s="155"/>
      <c r="BK392" s="155"/>
      <c r="BL392" s="49"/>
      <c r="BM392" s="49"/>
      <c r="BN392" s="49"/>
      <c r="BO392" s="49"/>
      <c r="BP392" s="49"/>
      <c r="BQ392" s="49"/>
      <c r="BR392" s="49"/>
      <c r="BS392" s="49"/>
      <c r="BT392" s="49"/>
      <c r="BU392" s="49"/>
      <c r="BV392" s="49"/>
      <c r="BW392" s="49"/>
      <c r="BX392" s="49"/>
      <c r="BY392" s="49"/>
      <c r="BZ392" s="49"/>
      <c r="CA392" s="49"/>
      <c r="CB392" s="49"/>
      <c r="CC392" s="49"/>
      <c r="CD392" s="49"/>
      <c r="CE392" s="49"/>
      <c r="CF392" s="49"/>
      <c r="CG392" s="49"/>
      <c r="CH392" s="49"/>
      <c r="CI392" s="49"/>
      <c r="CJ392" s="49"/>
      <c r="CK392" s="49"/>
      <c r="CL392" s="49"/>
      <c r="CM392" s="49"/>
      <c r="CN392" s="49"/>
      <c r="CO392" s="49"/>
      <c r="CP392" s="49"/>
      <c r="CQ392" s="49"/>
      <c r="CR392" s="49"/>
      <c r="CS392" s="49"/>
      <c r="CT392" s="155"/>
      <c r="CU392" s="155"/>
      <c r="CV392" s="155"/>
      <c r="CW392" s="155"/>
      <c r="CX392" s="155"/>
      <c r="CY392" s="155"/>
      <c r="CZ392" s="155"/>
      <c r="DA392" s="155"/>
      <c r="DB392" s="155"/>
      <c r="DC392" s="155"/>
      <c r="DD392" s="155"/>
      <c r="DE392" s="155"/>
      <c r="DF392" s="155"/>
      <c r="DG392" s="155"/>
      <c r="DH392" s="155"/>
      <c r="DI392" s="155"/>
      <c r="DJ392" s="155"/>
      <c r="DK392" s="155"/>
      <c r="DL392" s="155"/>
      <c r="DM392" s="155"/>
      <c r="DN392" s="155"/>
      <c r="DO392" s="155"/>
      <c r="DP392" s="155"/>
      <c r="DQ392" s="155"/>
      <c r="DR392" s="155"/>
      <c r="DS392" s="155"/>
      <c r="DT392" s="155"/>
      <c r="DU392" s="155"/>
      <c r="DV392" s="155"/>
      <c r="DW392" s="155"/>
      <c r="DX392" s="155"/>
    </row>
    <row r="393" spans="1:128" ht="18" customHeight="1">
      <c r="A393" s="155"/>
      <c r="B393" s="155"/>
      <c r="C393" s="155"/>
      <c r="D393" s="155"/>
      <c r="E393" s="49">
        <v>2151</v>
      </c>
      <c r="F393" s="49" t="str">
        <f t="shared" si="49"/>
        <v>646566788887</v>
      </c>
      <c r="G393" s="155"/>
      <c r="H393" s="155"/>
      <c r="I393" s="270"/>
      <c r="J393" s="270"/>
      <c r="K393" s="270"/>
      <c r="L393" s="270"/>
      <c r="M393" s="270"/>
      <c r="N393" s="270"/>
      <c r="O393" s="155"/>
      <c r="P393" s="155"/>
      <c r="Q393" s="155"/>
      <c r="R393" s="155"/>
      <c r="S393" s="155"/>
      <c r="T393" s="155"/>
      <c r="U393" s="158"/>
      <c r="V393" s="155"/>
      <c r="W393" s="155"/>
      <c r="X393" s="263"/>
      <c r="Y393" s="155"/>
      <c r="Z393" s="155"/>
      <c r="AA393" s="263"/>
      <c r="AB393" s="263"/>
      <c r="AC393" s="155"/>
      <c r="AD393" s="155"/>
      <c r="AE393" s="155"/>
      <c r="AF393" s="155"/>
      <c r="AG393" s="155"/>
      <c r="AH393" s="155"/>
      <c r="AI393" s="155"/>
      <c r="AJ393" s="155"/>
      <c r="AK393" s="155"/>
      <c r="AL393" s="155"/>
      <c r="AM393" s="155"/>
      <c r="AN393" s="155"/>
      <c r="AO393" s="155"/>
      <c r="AP393" s="49"/>
      <c r="AQ393" s="49"/>
      <c r="AR393" s="155"/>
      <c r="AS393" s="155"/>
      <c r="AT393" s="155"/>
      <c r="AU393" s="155"/>
      <c r="AV393" s="155"/>
      <c r="AW393" s="155"/>
      <c r="AX393" s="155"/>
      <c r="AY393" s="155"/>
      <c r="AZ393" s="49"/>
      <c r="BA393" s="49"/>
      <c r="BB393" s="49"/>
      <c r="BC393" s="49"/>
      <c r="BD393" s="49"/>
      <c r="BE393" s="49"/>
      <c r="BF393" s="49"/>
      <c r="BG393" s="49"/>
      <c r="BH393" s="49"/>
      <c r="BI393" s="155"/>
      <c r="BJ393" s="155"/>
      <c r="BK393" s="155"/>
      <c r="BL393" s="49"/>
      <c r="BM393" s="49"/>
      <c r="BN393" s="49"/>
      <c r="BO393" s="49"/>
      <c r="BP393" s="49"/>
      <c r="BQ393" s="49"/>
      <c r="BR393" s="49"/>
      <c r="BS393" s="49"/>
      <c r="BT393" s="49"/>
      <c r="BU393" s="49"/>
      <c r="BV393" s="49"/>
      <c r="BW393" s="49"/>
      <c r="BX393" s="49"/>
      <c r="BY393" s="49"/>
      <c r="BZ393" s="49"/>
      <c r="CA393" s="49"/>
      <c r="CB393" s="49"/>
      <c r="CC393" s="49"/>
      <c r="CD393" s="49"/>
      <c r="CE393" s="49"/>
      <c r="CF393" s="49"/>
      <c r="CG393" s="49"/>
      <c r="CH393" s="49"/>
      <c r="CI393" s="49"/>
      <c r="CJ393" s="49"/>
      <c r="CK393" s="49"/>
      <c r="CL393" s="49"/>
      <c r="CM393" s="49"/>
      <c r="CN393" s="49"/>
      <c r="CO393" s="49"/>
      <c r="CP393" s="49"/>
      <c r="CQ393" s="49"/>
      <c r="CR393" s="49"/>
      <c r="CS393" s="49"/>
      <c r="CT393" s="155"/>
      <c r="CU393" s="155"/>
      <c r="CV393" s="155"/>
      <c r="CW393" s="155"/>
      <c r="CX393" s="155"/>
      <c r="CY393" s="155"/>
      <c r="CZ393" s="155"/>
      <c r="DA393" s="155"/>
      <c r="DB393" s="155"/>
      <c r="DC393" s="155"/>
      <c r="DD393" s="155"/>
      <c r="DE393" s="155"/>
      <c r="DF393" s="155"/>
      <c r="DG393" s="155"/>
      <c r="DH393" s="155"/>
      <c r="DI393" s="155"/>
      <c r="DJ393" s="155"/>
      <c r="DK393" s="155"/>
      <c r="DL393" s="155"/>
      <c r="DM393" s="155"/>
      <c r="DN393" s="155"/>
      <c r="DO393" s="155"/>
      <c r="DP393" s="155"/>
      <c r="DQ393" s="155"/>
      <c r="DR393" s="155"/>
      <c r="DS393" s="155"/>
      <c r="DT393" s="155"/>
      <c r="DU393" s="155"/>
      <c r="DV393" s="155"/>
      <c r="DW393" s="155"/>
      <c r="DX393" s="155"/>
    </row>
    <row r="394" spans="1:128" ht="18" customHeight="1">
      <c r="A394" s="155"/>
      <c r="B394" s="155"/>
      <c r="C394" s="155"/>
      <c r="D394" s="155"/>
      <c r="E394" s="49">
        <v>2152</v>
      </c>
      <c r="F394" s="49" t="str">
        <f t="shared" si="49"/>
        <v>546556778877</v>
      </c>
      <c r="G394" s="155"/>
      <c r="H394" s="155"/>
      <c r="I394" s="270"/>
      <c r="J394" s="270"/>
      <c r="K394" s="270"/>
      <c r="L394" s="270"/>
      <c r="M394" s="270"/>
      <c r="N394" s="270"/>
      <c r="O394" s="155"/>
      <c r="P394" s="155"/>
      <c r="Q394" s="155"/>
      <c r="R394" s="155"/>
      <c r="S394" s="155"/>
      <c r="T394" s="155"/>
      <c r="U394" s="158"/>
      <c r="V394" s="155"/>
      <c r="W394" s="155"/>
      <c r="X394" s="263"/>
      <c r="Y394" s="155"/>
      <c r="Z394" s="155"/>
      <c r="AA394" s="263"/>
      <c r="AB394" s="263"/>
      <c r="AC394" s="155"/>
      <c r="AD394" s="155"/>
      <c r="AE394" s="155"/>
      <c r="AF394" s="155"/>
      <c r="AG394" s="155"/>
      <c r="AH394" s="155"/>
      <c r="AI394" s="155"/>
      <c r="AJ394" s="155"/>
      <c r="AK394" s="155"/>
      <c r="AL394" s="155"/>
      <c r="AM394" s="155"/>
      <c r="AN394" s="155"/>
      <c r="AO394" s="155"/>
      <c r="AP394" s="49"/>
      <c r="AQ394" s="49"/>
      <c r="AR394" s="155"/>
      <c r="AS394" s="155"/>
      <c r="AT394" s="155"/>
      <c r="AU394" s="155"/>
      <c r="AV394" s="155"/>
      <c r="AW394" s="155"/>
      <c r="AX394" s="155"/>
      <c r="AY394" s="155"/>
      <c r="AZ394" s="49"/>
      <c r="BA394" s="49"/>
      <c r="BB394" s="49"/>
      <c r="BC394" s="49"/>
      <c r="BD394" s="49"/>
      <c r="BE394" s="49"/>
      <c r="BF394" s="49"/>
      <c r="BG394" s="49"/>
      <c r="BH394" s="49"/>
      <c r="BI394" s="155"/>
      <c r="BJ394" s="155"/>
      <c r="BK394" s="155"/>
      <c r="BL394" s="49"/>
      <c r="BM394" s="49"/>
      <c r="BN394" s="49"/>
      <c r="BO394" s="49"/>
      <c r="BP394" s="49"/>
      <c r="BQ394" s="49"/>
      <c r="BR394" s="49"/>
      <c r="BS394" s="49"/>
      <c r="BT394" s="49"/>
      <c r="BU394" s="49"/>
      <c r="BV394" s="49"/>
      <c r="BW394" s="49"/>
      <c r="BX394" s="49"/>
      <c r="BY394" s="49"/>
      <c r="BZ394" s="49"/>
      <c r="CA394" s="49"/>
      <c r="CB394" s="49"/>
      <c r="CC394" s="49"/>
      <c r="CD394" s="49"/>
      <c r="CE394" s="49"/>
      <c r="CF394" s="49"/>
      <c r="CG394" s="49"/>
      <c r="CH394" s="49"/>
      <c r="CI394" s="49"/>
      <c r="CJ394" s="49"/>
      <c r="CK394" s="49"/>
      <c r="CL394" s="49"/>
      <c r="CM394" s="49"/>
      <c r="CN394" s="49"/>
      <c r="CO394" s="49"/>
      <c r="CP394" s="49"/>
      <c r="CQ394" s="49"/>
      <c r="CR394" s="49"/>
      <c r="CS394" s="49"/>
      <c r="CT394" s="155"/>
      <c r="CU394" s="155"/>
      <c r="CV394" s="155"/>
      <c r="CW394" s="155"/>
      <c r="CX394" s="155"/>
      <c r="CY394" s="155"/>
      <c r="CZ394" s="155"/>
      <c r="DA394" s="155"/>
      <c r="DB394" s="155"/>
      <c r="DC394" s="155"/>
      <c r="DD394" s="155"/>
      <c r="DE394" s="155"/>
      <c r="DF394" s="155"/>
      <c r="DG394" s="155"/>
      <c r="DH394" s="155"/>
      <c r="DI394" s="155"/>
      <c r="DJ394" s="155"/>
      <c r="DK394" s="155"/>
      <c r="DL394" s="155"/>
      <c r="DM394" s="155"/>
      <c r="DN394" s="155"/>
      <c r="DO394" s="155"/>
      <c r="DP394" s="155"/>
      <c r="DQ394" s="155"/>
      <c r="DR394" s="155"/>
      <c r="DS394" s="155"/>
      <c r="DT394" s="155"/>
      <c r="DU394" s="155"/>
      <c r="DV394" s="155"/>
      <c r="DW394" s="155"/>
      <c r="DX394" s="155"/>
    </row>
    <row r="395" spans="1:128" ht="18" customHeight="1">
      <c r="A395" s="155"/>
      <c r="B395" s="155"/>
      <c r="C395" s="155"/>
      <c r="D395" s="155"/>
      <c r="E395" s="49">
        <v>2153</v>
      </c>
      <c r="F395" s="49" t="str">
        <f t="shared" si="49"/>
        <v>546556778877</v>
      </c>
      <c r="G395" s="155"/>
      <c r="H395" s="155"/>
      <c r="I395" s="270"/>
      <c r="J395" s="270"/>
      <c r="K395" s="270"/>
      <c r="L395" s="270"/>
      <c r="M395" s="270"/>
      <c r="N395" s="270"/>
      <c r="O395" s="155"/>
      <c r="P395" s="155"/>
      <c r="Q395" s="155"/>
      <c r="R395" s="155"/>
      <c r="S395" s="155"/>
      <c r="T395" s="155"/>
      <c r="U395" s="158"/>
      <c r="V395" s="155"/>
      <c r="W395" s="155"/>
      <c r="X395" s="263"/>
      <c r="Y395" s="155"/>
      <c r="Z395" s="155"/>
      <c r="AA395" s="263"/>
      <c r="AB395" s="263"/>
      <c r="AC395" s="155"/>
      <c r="AD395" s="155"/>
      <c r="AE395" s="155"/>
      <c r="AF395" s="155"/>
      <c r="AG395" s="155"/>
      <c r="AH395" s="155"/>
      <c r="AI395" s="155"/>
      <c r="AJ395" s="155"/>
      <c r="AK395" s="155"/>
      <c r="AL395" s="155"/>
      <c r="AM395" s="155"/>
      <c r="AN395" s="155"/>
      <c r="AO395" s="155"/>
      <c r="AP395" s="49"/>
      <c r="AQ395" s="49"/>
      <c r="AR395" s="155"/>
      <c r="AS395" s="155"/>
      <c r="AT395" s="155"/>
      <c r="AU395" s="155"/>
      <c r="AV395" s="155"/>
      <c r="AW395" s="155"/>
      <c r="AX395" s="155"/>
      <c r="AY395" s="155"/>
      <c r="AZ395" s="49"/>
      <c r="BA395" s="49"/>
      <c r="BB395" s="49"/>
      <c r="BC395" s="49"/>
      <c r="BD395" s="49"/>
      <c r="BE395" s="49"/>
      <c r="BF395" s="49"/>
      <c r="BG395" s="49"/>
      <c r="BH395" s="49"/>
      <c r="BI395" s="155"/>
      <c r="BJ395" s="155"/>
      <c r="BK395" s="155"/>
      <c r="BL395" s="49"/>
      <c r="BM395" s="49"/>
      <c r="BN395" s="49"/>
      <c r="BO395" s="49"/>
      <c r="BP395" s="49"/>
      <c r="BQ395" s="49"/>
      <c r="BR395" s="49"/>
      <c r="BS395" s="49"/>
      <c r="BT395" s="49"/>
      <c r="BU395" s="49"/>
      <c r="BV395" s="49"/>
      <c r="BW395" s="49"/>
      <c r="BX395" s="49"/>
      <c r="BY395" s="49"/>
      <c r="BZ395" s="49"/>
      <c r="CA395" s="49"/>
      <c r="CB395" s="49"/>
      <c r="CC395" s="49"/>
      <c r="CD395" s="49"/>
      <c r="CE395" s="49"/>
      <c r="CF395" s="49"/>
      <c r="CG395" s="49"/>
      <c r="CH395" s="49"/>
      <c r="CI395" s="49"/>
      <c r="CJ395" s="49"/>
      <c r="CK395" s="49"/>
      <c r="CL395" s="49"/>
      <c r="CM395" s="49"/>
      <c r="CN395" s="49"/>
      <c r="CO395" s="49"/>
      <c r="CP395" s="49"/>
      <c r="CQ395" s="49"/>
      <c r="CR395" s="49"/>
      <c r="CS395" s="49"/>
      <c r="CT395" s="155"/>
      <c r="CU395" s="155"/>
      <c r="CV395" s="155"/>
      <c r="CW395" s="155"/>
      <c r="CX395" s="155"/>
      <c r="CY395" s="155"/>
      <c r="CZ395" s="155"/>
      <c r="DA395" s="155"/>
      <c r="DB395" s="155"/>
      <c r="DC395" s="155"/>
      <c r="DD395" s="155"/>
      <c r="DE395" s="155"/>
      <c r="DF395" s="155"/>
      <c r="DG395" s="155"/>
      <c r="DH395" s="155"/>
      <c r="DI395" s="155"/>
      <c r="DJ395" s="155"/>
      <c r="DK395" s="155"/>
      <c r="DL395" s="155"/>
      <c r="DM395" s="155"/>
      <c r="DN395" s="155"/>
      <c r="DO395" s="155"/>
      <c r="DP395" s="155"/>
      <c r="DQ395" s="155"/>
      <c r="DR395" s="155"/>
      <c r="DS395" s="155"/>
      <c r="DT395" s="155"/>
      <c r="DU395" s="155"/>
      <c r="DV395" s="155"/>
      <c r="DW395" s="155"/>
      <c r="DX395" s="155"/>
    </row>
    <row r="396" spans="1:128" ht="18" customHeight="1">
      <c r="A396" s="155"/>
      <c r="B396" s="155"/>
      <c r="C396" s="155"/>
      <c r="D396" s="155"/>
      <c r="E396" s="49">
        <v>2154</v>
      </c>
      <c r="F396" s="49" t="str">
        <f t="shared" si="49"/>
        <v>546556778877</v>
      </c>
      <c r="G396" s="155"/>
      <c r="H396" s="155"/>
      <c r="I396" s="270"/>
      <c r="J396" s="270"/>
      <c r="K396" s="270"/>
      <c r="L396" s="270"/>
      <c r="M396" s="270"/>
      <c r="N396" s="270"/>
      <c r="O396" s="155"/>
      <c r="P396" s="155"/>
      <c r="Q396" s="155"/>
      <c r="R396" s="155"/>
      <c r="S396" s="155"/>
      <c r="T396" s="155"/>
      <c r="U396" s="158"/>
      <c r="V396" s="155"/>
      <c r="W396" s="155"/>
      <c r="X396" s="263"/>
      <c r="Y396" s="155"/>
      <c r="Z396" s="155"/>
      <c r="AA396" s="263"/>
      <c r="AB396" s="263"/>
      <c r="AC396" s="155"/>
      <c r="AD396" s="155"/>
      <c r="AE396" s="155"/>
      <c r="AF396" s="155"/>
      <c r="AG396" s="155"/>
      <c r="AH396" s="155"/>
      <c r="AI396" s="155"/>
      <c r="AJ396" s="155"/>
      <c r="AK396" s="155"/>
      <c r="AL396" s="155"/>
      <c r="AM396" s="155"/>
      <c r="AN396" s="155"/>
      <c r="AO396" s="155"/>
      <c r="AP396" s="49"/>
      <c r="AQ396" s="49"/>
      <c r="AR396" s="155"/>
      <c r="AS396" s="155"/>
      <c r="AT396" s="155"/>
      <c r="AU396" s="155"/>
      <c r="AV396" s="155"/>
      <c r="AW396" s="155"/>
      <c r="AX396" s="155"/>
      <c r="AY396" s="155"/>
      <c r="AZ396" s="49"/>
      <c r="BA396" s="49"/>
      <c r="BB396" s="49"/>
      <c r="BC396" s="49"/>
      <c r="BD396" s="49"/>
      <c r="BE396" s="49"/>
      <c r="BF396" s="49"/>
      <c r="BG396" s="49"/>
      <c r="BH396" s="49"/>
      <c r="BI396" s="155"/>
      <c r="BJ396" s="155"/>
      <c r="BK396" s="155"/>
      <c r="BL396" s="49"/>
      <c r="BM396" s="49"/>
      <c r="BN396" s="49"/>
      <c r="BO396" s="49"/>
      <c r="BP396" s="49"/>
      <c r="BQ396" s="49"/>
      <c r="BR396" s="49"/>
      <c r="BS396" s="49"/>
      <c r="BT396" s="49"/>
      <c r="BU396" s="49"/>
      <c r="BV396" s="49"/>
      <c r="BW396" s="49"/>
      <c r="BX396" s="49"/>
      <c r="BY396" s="49"/>
      <c r="BZ396" s="49"/>
      <c r="CA396" s="49"/>
      <c r="CB396" s="49"/>
      <c r="CC396" s="49"/>
      <c r="CD396" s="49"/>
      <c r="CE396" s="49"/>
      <c r="CF396" s="49"/>
      <c r="CG396" s="49"/>
      <c r="CH396" s="49"/>
      <c r="CI396" s="49"/>
      <c r="CJ396" s="49"/>
      <c r="CK396" s="49"/>
      <c r="CL396" s="49"/>
      <c r="CM396" s="49"/>
      <c r="CN396" s="49"/>
      <c r="CO396" s="49"/>
      <c r="CP396" s="49"/>
      <c r="CQ396" s="49"/>
      <c r="CR396" s="49"/>
      <c r="CS396" s="49"/>
      <c r="CT396" s="155"/>
      <c r="CU396" s="155"/>
      <c r="CV396" s="155"/>
      <c r="CW396" s="155"/>
      <c r="CX396" s="155"/>
      <c r="CY396" s="155"/>
      <c r="CZ396" s="155"/>
      <c r="DA396" s="155"/>
      <c r="DB396" s="155"/>
      <c r="DC396" s="155"/>
      <c r="DD396" s="155"/>
      <c r="DE396" s="155"/>
      <c r="DF396" s="155"/>
      <c r="DG396" s="155"/>
      <c r="DH396" s="155"/>
      <c r="DI396" s="155"/>
      <c r="DJ396" s="155"/>
      <c r="DK396" s="155"/>
      <c r="DL396" s="155"/>
      <c r="DM396" s="155"/>
      <c r="DN396" s="155"/>
      <c r="DO396" s="155"/>
      <c r="DP396" s="155"/>
      <c r="DQ396" s="155"/>
      <c r="DR396" s="155"/>
      <c r="DS396" s="155"/>
      <c r="DT396" s="155"/>
      <c r="DU396" s="155"/>
      <c r="DV396" s="155"/>
      <c r="DW396" s="155"/>
      <c r="DX396" s="155"/>
    </row>
    <row r="397" spans="1:128" ht="18" customHeight="1">
      <c r="A397" s="155"/>
      <c r="B397" s="155"/>
      <c r="C397" s="155"/>
      <c r="D397" s="155"/>
      <c r="E397" s="49">
        <v>2155</v>
      </c>
      <c r="F397" s="49" t="str">
        <f t="shared" si="49"/>
        <v>646566788887</v>
      </c>
      <c r="G397" s="155"/>
      <c r="H397" s="155"/>
      <c r="I397" s="270"/>
      <c r="J397" s="270"/>
      <c r="K397" s="270"/>
      <c r="L397" s="270"/>
      <c r="M397" s="270"/>
      <c r="N397" s="270"/>
      <c r="O397" s="155"/>
      <c r="P397" s="155"/>
      <c r="Q397" s="155"/>
      <c r="R397" s="155"/>
      <c r="S397" s="155"/>
      <c r="T397" s="155"/>
      <c r="U397" s="158"/>
      <c r="V397" s="155"/>
      <c r="W397" s="155"/>
      <c r="X397" s="263"/>
      <c r="Y397" s="155"/>
      <c r="Z397" s="155"/>
      <c r="AA397" s="263"/>
      <c r="AB397" s="263"/>
      <c r="AC397" s="155"/>
      <c r="AD397" s="155"/>
      <c r="AE397" s="155"/>
      <c r="AF397" s="155"/>
      <c r="AG397" s="155"/>
      <c r="AH397" s="155"/>
      <c r="AI397" s="155"/>
      <c r="AJ397" s="155"/>
      <c r="AK397" s="155"/>
      <c r="AL397" s="155"/>
      <c r="AM397" s="155"/>
      <c r="AN397" s="155"/>
      <c r="AO397" s="155"/>
      <c r="AP397" s="49"/>
      <c r="AQ397" s="49"/>
      <c r="AR397" s="155"/>
      <c r="AS397" s="155"/>
      <c r="AT397" s="155"/>
      <c r="AU397" s="155"/>
      <c r="AV397" s="155"/>
      <c r="AW397" s="155"/>
      <c r="AX397" s="155"/>
      <c r="AY397" s="155"/>
      <c r="AZ397" s="49"/>
      <c r="BA397" s="49"/>
      <c r="BB397" s="49"/>
      <c r="BC397" s="49"/>
      <c r="BD397" s="49"/>
      <c r="BE397" s="49"/>
      <c r="BF397" s="49"/>
      <c r="BG397" s="49"/>
      <c r="BH397" s="49"/>
      <c r="BI397" s="155"/>
      <c r="BJ397" s="155"/>
      <c r="BK397" s="155"/>
      <c r="BL397" s="49"/>
      <c r="BM397" s="49"/>
      <c r="BN397" s="49"/>
      <c r="BO397" s="49"/>
      <c r="BP397" s="49"/>
      <c r="BQ397" s="49"/>
      <c r="BR397" s="49"/>
      <c r="BS397" s="49"/>
      <c r="BT397" s="49"/>
      <c r="BU397" s="49"/>
      <c r="BV397" s="49"/>
      <c r="BW397" s="49"/>
      <c r="BX397" s="49"/>
      <c r="BY397" s="49"/>
      <c r="BZ397" s="49"/>
      <c r="CA397" s="49"/>
      <c r="CB397" s="49"/>
      <c r="CC397" s="49"/>
      <c r="CD397" s="49"/>
      <c r="CE397" s="49"/>
      <c r="CF397" s="49"/>
      <c r="CG397" s="49"/>
      <c r="CH397" s="49"/>
      <c r="CI397" s="49"/>
      <c r="CJ397" s="49"/>
      <c r="CK397" s="49"/>
      <c r="CL397" s="49"/>
      <c r="CM397" s="49"/>
      <c r="CN397" s="49"/>
      <c r="CO397" s="49"/>
      <c r="CP397" s="49"/>
      <c r="CQ397" s="49"/>
      <c r="CR397" s="49"/>
      <c r="CS397" s="49"/>
      <c r="CT397" s="155"/>
      <c r="CU397" s="155"/>
      <c r="CV397" s="155"/>
      <c r="CW397" s="155"/>
      <c r="CX397" s="155"/>
      <c r="CY397" s="155"/>
      <c r="CZ397" s="155"/>
      <c r="DA397" s="155"/>
      <c r="DB397" s="155"/>
      <c r="DC397" s="155"/>
      <c r="DD397" s="155"/>
      <c r="DE397" s="155"/>
      <c r="DF397" s="155"/>
      <c r="DG397" s="155"/>
      <c r="DH397" s="155"/>
      <c r="DI397" s="155"/>
      <c r="DJ397" s="155"/>
      <c r="DK397" s="155"/>
      <c r="DL397" s="155"/>
      <c r="DM397" s="155"/>
      <c r="DN397" s="155"/>
      <c r="DO397" s="155"/>
      <c r="DP397" s="155"/>
      <c r="DQ397" s="155"/>
      <c r="DR397" s="155"/>
      <c r="DS397" s="155"/>
      <c r="DT397" s="155"/>
      <c r="DU397" s="155"/>
      <c r="DV397" s="155"/>
      <c r="DW397" s="155"/>
      <c r="DX397" s="155"/>
    </row>
    <row r="398" spans="1:128" ht="18" customHeight="1">
      <c r="A398" s="155"/>
      <c r="B398" s="155"/>
      <c r="C398" s="155"/>
      <c r="D398" s="155"/>
      <c r="E398" s="49">
        <v>2156</v>
      </c>
      <c r="F398" s="49" t="str">
        <f t="shared" si="49"/>
        <v>546556778877</v>
      </c>
      <c r="G398" s="155"/>
      <c r="H398" s="155"/>
      <c r="I398" s="270"/>
      <c r="J398" s="270"/>
      <c r="K398" s="270"/>
      <c r="L398" s="270"/>
      <c r="M398" s="270"/>
      <c r="N398" s="270"/>
      <c r="O398" s="155"/>
      <c r="P398" s="155"/>
      <c r="Q398" s="155"/>
      <c r="R398" s="155"/>
      <c r="S398" s="155"/>
      <c r="T398" s="155"/>
      <c r="U398" s="158"/>
      <c r="V398" s="155"/>
      <c r="W398" s="155"/>
      <c r="X398" s="263"/>
      <c r="Y398" s="155"/>
      <c r="Z398" s="155"/>
      <c r="AA398" s="263"/>
      <c r="AB398" s="263"/>
      <c r="AC398" s="155"/>
      <c r="AD398" s="155"/>
      <c r="AE398" s="155"/>
      <c r="AF398" s="155"/>
      <c r="AG398" s="155"/>
      <c r="AH398" s="155"/>
      <c r="AI398" s="155"/>
      <c r="AJ398" s="155"/>
      <c r="AK398" s="155"/>
      <c r="AL398" s="155"/>
      <c r="AM398" s="155"/>
      <c r="AN398" s="155"/>
      <c r="AO398" s="155"/>
      <c r="AP398" s="49"/>
      <c r="AQ398" s="49"/>
      <c r="AR398" s="155"/>
      <c r="AS398" s="155"/>
      <c r="AT398" s="155"/>
      <c r="AU398" s="155"/>
      <c r="AV398" s="155"/>
      <c r="AW398" s="155"/>
      <c r="AX398" s="155"/>
      <c r="AY398" s="155"/>
      <c r="AZ398" s="49"/>
      <c r="BA398" s="49"/>
      <c r="BB398" s="49"/>
      <c r="BC398" s="49"/>
      <c r="BD398" s="49"/>
      <c r="BE398" s="49"/>
      <c r="BF398" s="49"/>
      <c r="BG398" s="49"/>
      <c r="BH398" s="49"/>
      <c r="BI398" s="155"/>
      <c r="BJ398" s="155"/>
      <c r="BK398" s="155"/>
      <c r="BL398" s="49"/>
      <c r="BM398" s="49"/>
      <c r="BN398" s="49"/>
      <c r="BO398" s="49"/>
      <c r="BP398" s="49"/>
      <c r="BQ398" s="49"/>
      <c r="BR398" s="49"/>
      <c r="BS398" s="49"/>
      <c r="BT398" s="49"/>
      <c r="BU398" s="49"/>
      <c r="BV398" s="49"/>
      <c r="BW398" s="49"/>
      <c r="BX398" s="49"/>
      <c r="BY398" s="49"/>
      <c r="BZ398" s="49"/>
      <c r="CA398" s="49"/>
      <c r="CB398" s="49"/>
      <c r="CC398" s="49"/>
      <c r="CD398" s="49"/>
      <c r="CE398" s="49"/>
      <c r="CF398" s="49"/>
      <c r="CG398" s="49"/>
      <c r="CH398" s="49"/>
      <c r="CI398" s="49"/>
      <c r="CJ398" s="49"/>
      <c r="CK398" s="49"/>
      <c r="CL398" s="49"/>
      <c r="CM398" s="49"/>
      <c r="CN398" s="49"/>
      <c r="CO398" s="49"/>
      <c r="CP398" s="49"/>
      <c r="CQ398" s="49"/>
      <c r="CR398" s="49"/>
      <c r="CS398" s="49"/>
      <c r="CT398" s="155"/>
      <c r="CU398" s="155"/>
      <c r="CV398" s="155"/>
      <c r="CW398" s="155"/>
      <c r="CX398" s="155"/>
      <c r="CY398" s="155"/>
      <c r="CZ398" s="155"/>
      <c r="DA398" s="155"/>
      <c r="DB398" s="155"/>
      <c r="DC398" s="155"/>
      <c r="DD398" s="155"/>
      <c r="DE398" s="155"/>
      <c r="DF398" s="155"/>
      <c r="DG398" s="155"/>
      <c r="DH398" s="155"/>
      <c r="DI398" s="155"/>
      <c r="DJ398" s="155"/>
      <c r="DK398" s="155"/>
      <c r="DL398" s="155"/>
      <c r="DM398" s="155"/>
      <c r="DN398" s="155"/>
      <c r="DO398" s="155"/>
      <c r="DP398" s="155"/>
      <c r="DQ398" s="155"/>
      <c r="DR398" s="155"/>
      <c r="DS398" s="155"/>
      <c r="DT398" s="155"/>
      <c r="DU398" s="155"/>
      <c r="DV398" s="155"/>
      <c r="DW398" s="155"/>
      <c r="DX398" s="155"/>
    </row>
    <row r="399" spans="1:128" ht="18" customHeight="1">
      <c r="A399" s="155"/>
      <c r="B399" s="155"/>
      <c r="C399" s="155"/>
      <c r="D399" s="155"/>
      <c r="E399" s="49">
        <v>2157</v>
      </c>
      <c r="F399" s="49" t="str">
        <f t="shared" si="49"/>
        <v>546556778877</v>
      </c>
      <c r="G399" s="155"/>
      <c r="H399" s="155"/>
      <c r="I399" s="270"/>
      <c r="J399" s="270"/>
      <c r="K399" s="270"/>
      <c r="L399" s="270"/>
      <c r="M399" s="270"/>
      <c r="N399" s="270"/>
      <c r="O399" s="155"/>
      <c r="P399" s="155"/>
      <c r="Q399" s="155"/>
      <c r="R399" s="155"/>
      <c r="S399" s="155"/>
      <c r="T399" s="155"/>
      <c r="U399" s="158"/>
      <c r="V399" s="155"/>
      <c r="W399" s="155"/>
      <c r="X399" s="263"/>
      <c r="Y399" s="155"/>
      <c r="Z399" s="155"/>
      <c r="AA399" s="263"/>
      <c r="AB399" s="263"/>
      <c r="AC399" s="155"/>
      <c r="AD399" s="155"/>
      <c r="AE399" s="155"/>
      <c r="AF399" s="155"/>
      <c r="AG399" s="155"/>
      <c r="AH399" s="155"/>
      <c r="AI399" s="155"/>
      <c r="AJ399" s="155"/>
      <c r="AK399" s="155"/>
      <c r="AL399" s="155"/>
      <c r="AM399" s="155"/>
      <c r="AN399" s="155"/>
      <c r="AO399" s="155"/>
      <c r="AP399" s="49"/>
      <c r="AQ399" s="49"/>
      <c r="AR399" s="155"/>
      <c r="AS399" s="155"/>
      <c r="AT399" s="155"/>
      <c r="AU399" s="155"/>
      <c r="AV399" s="155"/>
      <c r="AW399" s="155"/>
      <c r="AX399" s="155"/>
      <c r="AY399" s="155"/>
      <c r="AZ399" s="49"/>
      <c r="BA399" s="49"/>
      <c r="BB399" s="49"/>
      <c r="BC399" s="49"/>
      <c r="BD399" s="49"/>
      <c r="BE399" s="49"/>
      <c r="BF399" s="49"/>
      <c r="BG399" s="49"/>
      <c r="BH399" s="49"/>
      <c r="BI399" s="155"/>
      <c r="BJ399" s="155"/>
      <c r="BK399" s="155"/>
      <c r="BL399" s="49"/>
      <c r="BM399" s="49"/>
      <c r="BN399" s="49"/>
      <c r="BO399" s="49"/>
      <c r="BP399" s="49"/>
      <c r="BQ399" s="49"/>
      <c r="BR399" s="49"/>
      <c r="BS399" s="49"/>
      <c r="BT399" s="49"/>
      <c r="BU399" s="49"/>
      <c r="BV399" s="49"/>
      <c r="BW399" s="49"/>
      <c r="BX399" s="49"/>
      <c r="BY399" s="49"/>
      <c r="BZ399" s="49"/>
      <c r="CA399" s="49"/>
      <c r="CB399" s="49"/>
      <c r="CC399" s="49"/>
      <c r="CD399" s="49"/>
      <c r="CE399" s="49"/>
      <c r="CF399" s="49"/>
      <c r="CG399" s="49"/>
      <c r="CH399" s="49"/>
      <c r="CI399" s="49"/>
      <c r="CJ399" s="49"/>
      <c r="CK399" s="49"/>
      <c r="CL399" s="49"/>
      <c r="CM399" s="49"/>
      <c r="CN399" s="49"/>
      <c r="CO399" s="49"/>
      <c r="CP399" s="49"/>
      <c r="CQ399" s="49"/>
      <c r="CR399" s="49"/>
      <c r="CS399" s="49"/>
      <c r="CT399" s="155"/>
      <c r="CU399" s="155"/>
      <c r="CV399" s="155"/>
      <c r="CW399" s="155"/>
      <c r="CX399" s="155"/>
      <c r="CY399" s="155"/>
      <c r="CZ399" s="155"/>
      <c r="DA399" s="155"/>
      <c r="DB399" s="155"/>
      <c r="DC399" s="155"/>
      <c r="DD399" s="155"/>
      <c r="DE399" s="155"/>
      <c r="DF399" s="155"/>
      <c r="DG399" s="155"/>
      <c r="DH399" s="155"/>
      <c r="DI399" s="155"/>
      <c r="DJ399" s="155"/>
      <c r="DK399" s="155"/>
      <c r="DL399" s="155"/>
      <c r="DM399" s="155"/>
      <c r="DN399" s="155"/>
      <c r="DO399" s="155"/>
      <c r="DP399" s="155"/>
      <c r="DQ399" s="155"/>
      <c r="DR399" s="155"/>
      <c r="DS399" s="155"/>
      <c r="DT399" s="155"/>
      <c r="DU399" s="155"/>
      <c r="DV399" s="155"/>
      <c r="DW399" s="155"/>
      <c r="DX399" s="155"/>
    </row>
    <row r="400" spans="1:128" ht="18" customHeight="1">
      <c r="A400" s="155"/>
      <c r="B400" s="155"/>
      <c r="C400" s="155"/>
      <c r="D400" s="155"/>
      <c r="E400" s="49">
        <v>2158</v>
      </c>
      <c r="F400" s="49" t="str">
        <f t="shared" si="49"/>
        <v>546556778877</v>
      </c>
      <c r="G400" s="155"/>
      <c r="H400" s="155"/>
      <c r="I400" s="270"/>
      <c r="J400" s="270"/>
      <c r="K400" s="270"/>
      <c r="L400" s="270"/>
      <c r="M400" s="270"/>
      <c r="N400" s="270"/>
      <c r="O400" s="155"/>
      <c r="P400" s="155"/>
      <c r="Q400" s="155"/>
      <c r="R400" s="155"/>
      <c r="S400" s="155"/>
      <c r="T400" s="155"/>
      <c r="U400" s="158"/>
      <c r="V400" s="155"/>
      <c r="W400" s="155"/>
      <c r="X400" s="263"/>
      <c r="Y400" s="155"/>
      <c r="Z400" s="155"/>
      <c r="AA400" s="263"/>
      <c r="AB400" s="263"/>
      <c r="AC400" s="155"/>
      <c r="AD400" s="155"/>
      <c r="AE400" s="155"/>
      <c r="AF400" s="155"/>
      <c r="AG400" s="155"/>
      <c r="AH400" s="155"/>
      <c r="AI400" s="155"/>
      <c r="AJ400" s="155"/>
      <c r="AK400" s="155"/>
      <c r="AL400" s="155"/>
      <c r="AM400" s="155"/>
      <c r="AN400" s="155"/>
      <c r="AO400" s="155"/>
      <c r="AP400" s="49"/>
      <c r="AQ400" s="49"/>
      <c r="AR400" s="155"/>
      <c r="AS400" s="155"/>
      <c r="AT400" s="155"/>
      <c r="AU400" s="155"/>
      <c r="AV400" s="155"/>
      <c r="AW400" s="155"/>
      <c r="AX400" s="155"/>
      <c r="AY400" s="155"/>
      <c r="AZ400" s="49"/>
      <c r="BA400" s="49"/>
      <c r="BB400" s="49"/>
      <c r="BC400" s="49"/>
      <c r="BD400" s="49"/>
      <c r="BE400" s="49"/>
      <c r="BF400" s="49"/>
      <c r="BG400" s="49"/>
      <c r="BH400" s="49"/>
      <c r="BI400" s="155"/>
      <c r="BJ400" s="155"/>
      <c r="BK400" s="155"/>
      <c r="BL400" s="49"/>
      <c r="BM400" s="49"/>
      <c r="BN400" s="49"/>
      <c r="BO400" s="49"/>
      <c r="BP400" s="49"/>
      <c r="BQ400" s="49"/>
      <c r="BR400" s="49"/>
      <c r="BS400" s="49"/>
      <c r="BT400" s="49"/>
      <c r="BU400" s="49"/>
      <c r="BV400" s="49"/>
      <c r="BW400" s="49"/>
      <c r="BX400" s="49"/>
      <c r="BY400" s="49"/>
      <c r="BZ400" s="49"/>
      <c r="CA400" s="49"/>
      <c r="CB400" s="49"/>
      <c r="CC400" s="49"/>
      <c r="CD400" s="49"/>
      <c r="CE400" s="49"/>
      <c r="CF400" s="49"/>
      <c r="CG400" s="49"/>
      <c r="CH400" s="49"/>
      <c r="CI400" s="49"/>
      <c r="CJ400" s="49"/>
      <c r="CK400" s="49"/>
      <c r="CL400" s="49"/>
      <c r="CM400" s="49"/>
      <c r="CN400" s="49"/>
      <c r="CO400" s="49"/>
      <c r="CP400" s="49"/>
      <c r="CQ400" s="49"/>
      <c r="CR400" s="49"/>
      <c r="CS400" s="49"/>
      <c r="CT400" s="155"/>
      <c r="CU400" s="155"/>
      <c r="CV400" s="155"/>
      <c r="CW400" s="155"/>
      <c r="CX400" s="155"/>
      <c r="CY400" s="155"/>
      <c r="CZ400" s="155"/>
      <c r="DA400" s="155"/>
      <c r="DB400" s="155"/>
      <c r="DC400" s="155"/>
      <c r="DD400" s="155"/>
      <c r="DE400" s="155"/>
      <c r="DF400" s="155"/>
      <c r="DG400" s="155"/>
      <c r="DH400" s="155"/>
      <c r="DI400" s="155"/>
      <c r="DJ400" s="155"/>
      <c r="DK400" s="155"/>
      <c r="DL400" s="155"/>
      <c r="DM400" s="155"/>
      <c r="DN400" s="155"/>
      <c r="DO400" s="155"/>
      <c r="DP400" s="155"/>
      <c r="DQ400" s="155"/>
      <c r="DR400" s="155"/>
      <c r="DS400" s="155"/>
      <c r="DT400" s="155"/>
      <c r="DU400" s="155"/>
      <c r="DV400" s="155"/>
      <c r="DW400" s="155"/>
      <c r="DX400" s="155"/>
    </row>
    <row r="401" spans="1:128" ht="18" customHeight="1">
      <c r="A401" s="155"/>
      <c r="B401" s="155"/>
      <c r="C401" s="155"/>
      <c r="D401" s="155"/>
      <c r="E401" s="49">
        <v>2159</v>
      </c>
      <c r="F401" s="49" t="str">
        <f t="shared" si="49"/>
        <v>646566788887</v>
      </c>
      <c r="G401" s="155"/>
      <c r="H401" s="155"/>
      <c r="I401" s="270"/>
      <c r="J401" s="270"/>
      <c r="K401" s="270"/>
      <c r="L401" s="270"/>
      <c r="M401" s="270"/>
      <c r="N401" s="270"/>
      <c r="O401" s="155"/>
      <c r="P401" s="155"/>
      <c r="Q401" s="155"/>
      <c r="R401" s="155"/>
      <c r="S401" s="155"/>
      <c r="T401" s="155"/>
      <c r="U401" s="158"/>
      <c r="V401" s="155"/>
      <c r="W401" s="155"/>
      <c r="X401" s="263"/>
      <c r="Y401" s="155"/>
      <c r="Z401" s="155"/>
      <c r="AA401" s="263"/>
      <c r="AB401" s="263"/>
      <c r="AC401" s="155"/>
      <c r="AD401" s="155"/>
      <c r="AE401" s="155"/>
      <c r="AF401" s="155"/>
      <c r="AG401" s="155"/>
      <c r="AH401" s="155"/>
      <c r="AI401" s="155"/>
      <c r="AJ401" s="155"/>
      <c r="AK401" s="155"/>
      <c r="AL401" s="155"/>
      <c r="AM401" s="155"/>
      <c r="AN401" s="155"/>
      <c r="AO401" s="155"/>
      <c r="AP401" s="49"/>
      <c r="AQ401" s="49"/>
      <c r="AR401" s="155"/>
      <c r="AS401" s="155"/>
      <c r="AT401" s="155"/>
      <c r="AU401" s="155"/>
      <c r="AV401" s="155"/>
      <c r="AW401" s="155"/>
      <c r="AX401" s="155"/>
      <c r="AY401" s="155"/>
      <c r="AZ401" s="49"/>
      <c r="BA401" s="49"/>
      <c r="BB401" s="49"/>
      <c r="BC401" s="49"/>
      <c r="BD401" s="49"/>
      <c r="BE401" s="49"/>
      <c r="BF401" s="49"/>
      <c r="BG401" s="49"/>
      <c r="BH401" s="49"/>
      <c r="BI401" s="155"/>
      <c r="BJ401" s="155"/>
      <c r="BK401" s="155"/>
      <c r="BL401" s="49"/>
      <c r="BM401" s="49"/>
      <c r="BN401" s="49"/>
      <c r="BO401" s="49"/>
      <c r="BP401" s="49"/>
      <c r="BQ401" s="49"/>
      <c r="BR401" s="49"/>
      <c r="BS401" s="49"/>
      <c r="BT401" s="49"/>
      <c r="BU401" s="49"/>
      <c r="BV401" s="49"/>
      <c r="BW401" s="49"/>
      <c r="BX401" s="49"/>
      <c r="BY401" s="49"/>
      <c r="BZ401" s="49"/>
      <c r="CA401" s="49"/>
      <c r="CB401" s="49"/>
      <c r="CC401" s="49"/>
      <c r="CD401" s="49"/>
      <c r="CE401" s="49"/>
      <c r="CF401" s="49"/>
      <c r="CG401" s="49"/>
      <c r="CH401" s="49"/>
      <c r="CI401" s="49"/>
      <c r="CJ401" s="49"/>
      <c r="CK401" s="49"/>
      <c r="CL401" s="49"/>
      <c r="CM401" s="49"/>
      <c r="CN401" s="49"/>
      <c r="CO401" s="49"/>
      <c r="CP401" s="49"/>
      <c r="CQ401" s="49"/>
      <c r="CR401" s="49"/>
      <c r="CS401" s="49"/>
      <c r="CT401" s="155"/>
      <c r="CU401" s="155"/>
      <c r="CV401" s="155"/>
      <c r="CW401" s="155"/>
      <c r="CX401" s="155"/>
      <c r="CY401" s="155"/>
      <c r="CZ401" s="155"/>
      <c r="DA401" s="155"/>
      <c r="DB401" s="155"/>
      <c r="DC401" s="155"/>
      <c r="DD401" s="155"/>
      <c r="DE401" s="155"/>
      <c r="DF401" s="155"/>
      <c r="DG401" s="155"/>
      <c r="DH401" s="155"/>
      <c r="DI401" s="155"/>
      <c r="DJ401" s="155"/>
      <c r="DK401" s="155"/>
      <c r="DL401" s="155"/>
      <c r="DM401" s="155"/>
      <c r="DN401" s="155"/>
      <c r="DO401" s="155"/>
      <c r="DP401" s="155"/>
      <c r="DQ401" s="155"/>
      <c r="DR401" s="155"/>
      <c r="DS401" s="155"/>
      <c r="DT401" s="155"/>
      <c r="DU401" s="155"/>
      <c r="DV401" s="155"/>
      <c r="DW401" s="155"/>
      <c r="DX401" s="155"/>
    </row>
    <row r="402" spans="1:128" ht="18" customHeight="1">
      <c r="A402" s="155"/>
      <c r="B402" s="155"/>
      <c r="C402" s="155"/>
      <c r="D402" s="155"/>
      <c r="E402" s="49">
        <v>2160</v>
      </c>
      <c r="F402" s="49" t="str">
        <f t="shared" si="49"/>
        <v>546556778877</v>
      </c>
      <c r="G402" s="155"/>
      <c r="H402" s="155"/>
      <c r="I402" s="270"/>
      <c r="J402" s="270"/>
      <c r="K402" s="270"/>
      <c r="L402" s="270"/>
      <c r="M402" s="270"/>
      <c r="N402" s="270"/>
      <c r="O402" s="155"/>
      <c r="P402" s="155"/>
      <c r="Q402" s="155"/>
      <c r="R402" s="155"/>
      <c r="S402" s="155"/>
      <c r="T402" s="155"/>
      <c r="U402" s="158"/>
      <c r="V402" s="155"/>
      <c r="W402" s="155"/>
      <c r="X402" s="263"/>
      <c r="Y402" s="155"/>
      <c r="Z402" s="155"/>
      <c r="AA402" s="263"/>
      <c r="AB402" s="263"/>
      <c r="AC402" s="155"/>
      <c r="AD402" s="155"/>
      <c r="AE402" s="155"/>
      <c r="AF402" s="155"/>
      <c r="AG402" s="155"/>
      <c r="AH402" s="155"/>
      <c r="AI402" s="155"/>
      <c r="AJ402" s="155"/>
      <c r="AK402" s="155"/>
      <c r="AL402" s="155"/>
      <c r="AM402" s="155"/>
      <c r="AN402" s="155"/>
      <c r="AO402" s="155"/>
      <c r="AP402" s="49"/>
      <c r="AQ402" s="49"/>
      <c r="AR402" s="155"/>
      <c r="AS402" s="155"/>
      <c r="AT402" s="155"/>
      <c r="AU402" s="155"/>
      <c r="AV402" s="155"/>
      <c r="AW402" s="155"/>
      <c r="AX402" s="155"/>
      <c r="AY402" s="155"/>
      <c r="AZ402" s="49"/>
      <c r="BA402" s="49"/>
      <c r="BB402" s="49"/>
      <c r="BC402" s="49"/>
      <c r="BD402" s="49"/>
      <c r="BE402" s="49"/>
      <c r="BF402" s="49"/>
      <c r="BG402" s="49"/>
      <c r="BH402" s="49"/>
      <c r="BI402" s="155"/>
      <c r="BJ402" s="155"/>
      <c r="BK402" s="155"/>
      <c r="BL402" s="49"/>
      <c r="BM402" s="49"/>
      <c r="BN402" s="49"/>
      <c r="BO402" s="49"/>
      <c r="BP402" s="49"/>
      <c r="BQ402" s="49"/>
      <c r="BR402" s="49"/>
      <c r="BS402" s="49"/>
      <c r="BT402" s="49"/>
      <c r="BU402" s="49"/>
      <c r="BV402" s="49"/>
      <c r="BW402" s="49"/>
      <c r="BX402" s="49"/>
      <c r="BY402" s="49"/>
      <c r="BZ402" s="49"/>
      <c r="CA402" s="49"/>
      <c r="CB402" s="49"/>
      <c r="CC402" s="49"/>
      <c r="CD402" s="49"/>
      <c r="CE402" s="49"/>
      <c r="CF402" s="49"/>
      <c r="CG402" s="49"/>
      <c r="CH402" s="49"/>
      <c r="CI402" s="49"/>
      <c r="CJ402" s="49"/>
      <c r="CK402" s="49"/>
      <c r="CL402" s="49"/>
      <c r="CM402" s="49"/>
      <c r="CN402" s="49"/>
      <c r="CO402" s="49"/>
      <c r="CP402" s="49"/>
      <c r="CQ402" s="49"/>
      <c r="CR402" s="49"/>
      <c r="CS402" s="49"/>
      <c r="CT402" s="155"/>
      <c r="CU402" s="155"/>
      <c r="CV402" s="155"/>
      <c r="CW402" s="155"/>
      <c r="CX402" s="155"/>
      <c r="CY402" s="155"/>
      <c r="CZ402" s="155"/>
      <c r="DA402" s="155"/>
      <c r="DB402" s="155"/>
      <c r="DC402" s="155"/>
      <c r="DD402" s="155"/>
      <c r="DE402" s="155"/>
      <c r="DF402" s="155"/>
      <c r="DG402" s="155"/>
      <c r="DH402" s="155"/>
      <c r="DI402" s="155"/>
      <c r="DJ402" s="155"/>
      <c r="DK402" s="155"/>
      <c r="DL402" s="155"/>
      <c r="DM402" s="155"/>
      <c r="DN402" s="155"/>
      <c r="DO402" s="155"/>
      <c r="DP402" s="155"/>
      <c r="DQ402" s="155"/>
      <c r="DR402" s="155"/>
      <c r="DS402" s="155"/>
      <c r="DT402" s="155"/>
      <c r="DU402" s="155"/>
      <c r="DV402" s="155"/>
      <c r="DW402" s="155"/>
      <c r="DX402" s="155"/>
    </row>
    <row r="403" spans="1:128" ht="18" customHeight="1">
      <c r="A403" s="155"/>
      <c r="B403" s="155"/>
      <c r="C403" s="155"/>
      <c r="D403" s="155"/>
      <c r="E403" s="49">
        <v>2161</v>
      </c>
      <c r="F403" s="49" t="str">
        <f t="shared" si="49"/>
        <v>546556778877</v>
      </c>
      <c r="G403" s="155"/>
      <c r="H403" s="155"/>
      <c r="I403" s="270"/>
      <c r="J403" s="270"/>
      <c r="K403" s="270"/>
      <c r="L403" s="270"/>
      <c r="M403" s="270"/>
      <c r="N403" s="270"/>
      <c r="O403" s="155"/>
      <c r="P403" s="155"/>
      <c r="Q403" s="155"/>
      <c r="R403" s="155"/>
      <c r="S403" s="155"/>
      <c r="T403" s="155"/>
      <c r="U403" s="158"/>
      <c r="V403" s="155"/>
      <c r="W403" s="155"/>
      <c r="X403" s="263"/>
      <c r="Y403" s="155"/>
      <c r="Z403" s="155"/>
      <c r="AA403" s="263"/>
      <c r="AB403" s="263"/>
      <c r="AC403" s="155"/>
      <c r="AD403" s="155"/>
      <c r="AE403" s="155"/>
      <c r="AF403" s="155"/>
      <c r="AG403" s="155"/>
      <c r="AH403" s="155"/>
      <c r="AI403" s="155"/>
      <c r="AJ403" s="155"/>
      <c r="AK403" s="155"/>
      <c r="AL403" s="155"/>
      <c r="AM403" s="155"/>
      <c r="AN403" s="155"/>
      <c r="AO403" s="155"/>
      <c r="AP403" s="49"/>
      <c r="AQ403" s="49"/>
      <c r="AR403" s="155"/>
      <c r="AS403" s="155"/>
      <c r="AT403" s="155"/>
      <c r="AU403" s="155"/>
      <c r="AV403" s="155"/>
      <c r="AW403" s="155"/>
      <c r="AX403" s="155"/>
      <c r="AY403" s="155"/>
      <c r="AZ403" s="49"/>
      <c r="BA403" s="49"/>
      <c r="BB403" s="49"/>
      <c r="BC403" s="49"/>
      <c r="BD403" s="49"/>
      <c r="BE403" s="49"/>
      <c r="BF403" s="49"/>
      <c r="BG403" s="49"/>
      <c r="BH403" s="49"/>
      <c r="BI403" s="155"/>
      <c r="BJ403" s="155"/>
      <c r="BK403" s="155"/>
      <c r="BL403" s="49"/>
      <c r="BM403" s="49"/>
      <c r="BN403" s="49"/>
      <c r="BO403" s="49"/>
      <c r="BP403" s="49"/>
      <c r="BQ403" s="49"/>
      <c r="BR403" s="49"/>
      <c r="BS403" s="49"/>
      <c r="BT403" s="49"/>
      <c r="BU403" s="49"/>
      <c r="BV403" s="49"/>
      <c r="BW403" s="49"/>
      <c r="BX403" s="49"/>
      <c r="BY403" s="49"/>
      <c r="BZ403" s="49"/>
      <c r="CA403" s="49"/>
      <c r="CB403" s="49"/>
      <c r="CC403" s="49"/>
      <c r="CD403" s="49"/>
      <c r="CE403" s="49"/>
      <c r="CF403" s="49"/>
      <c r="CG403" s="49"/>
      <c r="CH403" s="49"/>
      <c r="CI403" s="49"/>
      <c r="CJ403" s="49"/>
      <c r="CK403" s="49"/>
      <c r="CL403" s="49"/>
      <c r="CM403" s="49"/>
      <c r="CN403" s="49"/>
      <c r="CO403" s="49"/>
      <c r="CP403" s="49"/>
      <c r="CQ403" s="49"/>
      <c r="CR403" s="49"/>
      <c r="CS403" s="49"/>
      <c r="CT403" s="155"/>
      <c r="CU403" s="155"/>
      <c r="CV403" s="155"/>
      <c r="CW403" s="155"/>
      <c r="CX403" s="155"/>
      <c r="CY403" s="155"/>
      <c r="CZ403" s="155"/>
      <c r="DA403" s="155"/>
      <c r="DB403" s="155"/>
      <c r="DC403" s="155"/>
      <c r="DD403" s="155"/>
      <c r="DE403" s="155"/>
      <c r="DF403" s="155"/>
      <c r="DG403" s="155"/>
      <c r="DH403" s="155"/>
      <c r="DI403" s="155"/>
      <c r="DJ403" s="155"/>
      <c r="DK403" s="155"/>
      <c r="DL403" s="155"/>
      <c r="DM403" s="155"/>
      <c r="DN403" s="155"/>
      <c r="DO403" s="155"/>
      <c r="DP403" s="155"/>
      <c r="DQ403" s="155"/>
      <c r="DR403" s="155"/>
      <c r="DS403" s="155"/>
      <c r="DT403" s="155"/>
      <c r="DU403" s="155"/>
      <c r="DV403" s="155"/>
      <c r="DW403" s="155"/>
      <c r="DX403" s="155"/>
    </row>
    <row r="404" spans="1:128" ht="18" customHeight="1">
      <c r="A404" s="155"/>
      <c r="B404" s="155"/>
      <c r="C404" s="155"/>
      <c r="D404" s="155"/>
      <c r="E404" s="49">
        <v>2162</v>
      </c>
      <c r="F404" s="49" t="str">
        <f t="shared" si="49"/>
        <v>546556778877</v>
      </c>
      <c r="G404" s="155"/>
      <c r="H404" s="155"/>
      <c r="I404" s="270"/>
      <c r="J404" s="270"/>
      <c r="K404" s="270"/>
      <c r="L404" s="270"/>
      <c r="M404" s="270"/>
      <c r="N404" s="270"/>
      <c r="O404" s="155"/>
      <c r="P404" s="155"/>
      <c r="Q404" s="155"/>
      <c r="R404" s="155"/>
      <c r="S404" s="155"/>
      <c r="T404" s="155"/>
      <c r="U404" s="158"/>
      <c r="V404" s="155"/>
      <c r="W404" s="155"/>
      <c r="X404" s="263"/>
      <c r="Y404" s="155"/>
      <c r="Z404" s="155"/>
      <c r="AA404" s="263"/>
      <c r="AB404" s="263"/>
      <c r="AC404" s="155"/>
      <c r="AD404" s="155"/>
      <c r="AE404" s="155"/>
      <c r="AF404" s="155"/>
      <c r="AG404" s="155"/>
      <c r="AH404" s="155"/>
      <c r="AI404" s="155"/>
      <c r="AJ404" s="155"/>
      <c r="AK404" s="155"/>
      <c r="AL404" s="155"/>
      <c r="AM404" s="155"/>
      <c r="AN404" s="155"/>
      <c r="AO404" s="155"/>
      <c r="AP404" s="49"/>
      <c r="AQ404" s="49"/>
      <c r="AR404" s="155"/>
      <c r="AS404" s="155"/>
      <c r="AT404" s="155"/>
      <c r="AU404" s="155"/>
      <c r="AV404" s="155"/>
      <c r="AW404" s="155"/>
      <c r="AX404" s="155"/>
      <c r="AY404" s="155"/>
      <c r="AZ404" s="49"/>
      <c r="BA404" s="49"/>
      <c r="BB404" s="49"/>
      <c r="BC404" s="49"/>
      <c r="BD404" s="49"/>
      <c r="BE404" s="49"/>
      <c r="BF404" s="49"/>
      <c r="BG404" s="49"/>
      <c r="BH404" s="49"/>
      <c r="BI404" s="155"/>
      <c r="BJ404" s="155"/>
      <c r="BK404" s="155"/>
      <c r="BL404" s="49"/>
      <c r="BM404" s="49"/>
      <c r="BN404" s="49"/>
      <c r="BO404" s="49"/>
      <c r="BP404" s="49"/>
      <c r="BQ404" s="49"/>
      <c r="BR404" s="49"/>
      <c r="BS404" s="49"/>
      <c r="BT404" s="49"/>
      <c r="BU404" s="49"/>
      <c r="BV404" s="49"/>
      <c r="BW404" s="49"/>
      <c r="BX404" s="49"/>
      <c r="BY404" s="49"/>
      <c r="BZ404" s="49"/>
      <c r="CA404" s="49"/>
      <c r="CB404" s="49"/>
      <c r="CC404" s="49"/>
      <c r="CD404" s="49"/>
      <c r="CE404" s="49"/>
      <c r="CF404" s="49"/>
      <c r="CG404" s="49"/>
      <c r="CH404" s="49"/>
      <c r="CI404" s="49"/>
      <c r="CJ404" s="49"/>
      <c r="CK404" s="49"/>
      <c r="CL404" s="49"/>
      <c r="CM404" s="49"/>
      <c r="CN404" s="49"/>
      <c r="CO404" s="49"/>
      <c r="CP404" s="49"/>
      <c r="CQ404" s="49"/>
      <c r="CR404" s="49"/>
      <c r="CS404" s="49"/>
      <c r="CT404" s="155"/>
      <c r="CU404" s="155"/>
      <c r="CV404" s="155"/>
      <c r="CW404" s="155"/>
      <c r="CX404" s="155"/>
      <c r="CY404" s="155"/>
      <c r="CZ404" s="155"/>
      <c r="DA404" s="155"/>
      <c r="DB404" s="155"/>
      <c r="DC404" s="155"/>
      <c r="DD404" s="155"/>
      <c r="DE404" s="155"/>
      <c r="DF404" s="155"/>
      <c r="DG404" s="155"/>
      <c r="DH404" s="155"/>
      <c r="DI404" s="155"/>
      <c r="DJ404" s="155"/>
      <c r="DK404" s="155"/>
      <c r="DL404" s="155"/>
      <c r="DM404" s="155"/>
      <c r="DN404" s="155"/>
      <c r="DO404" s="155"/>
      <c r="DP404" s="155"/>
      <c r="DQ404" s="155"/>
      <c r="DR404" s="155"/>
      <c r="DS404" s="155"/>
      <c r="DT404" s="155"/>
      <c r="DU404" s="155"/>
      <c r="DV404" s="155"/>
      <c r="DW404" s="155"/>
      <c r="DX404" s="155"/>
    </row>
    <row r="405" spans="1:128" ht="18" customHeight="1">
      <c r="A405" s="155"/>
      <c r="B405" s="155"/>
      <c r="C405" s="155"/>
      <c r="D405" s="155"/>
      <c r="E405" s="49">
        <v>2163</v>
      </c>
      <c r="F405" s="49" t="str">
        <f t="shared" si="49"/>
        <v>646566788887</v>
      </c>
      <c r="G405" s="155"/>
      <c r="H405" s="155"/>
      <c r="I405" s="270"/>
      <c r="J405" s="270"/>
      <c r="K405" s="270"/>
      <c r="L405" s="270"/>
      <c r="M405" s="270"/>
      <c r="N405" s="270"/>
      <c r="O405" s="155"/>
      <c r="P405" s="155"/>
      <c r="Q405" s="155"/>
      <c r="R405" s="155"/>
      <c r="S405" s="155"/>
      <c r="T405" s="155"/>
      <c r="U405" s="158"/>
      <c r="V405" s="155"/>
      <c r="W405" s="155"/>
      <c r="X405" s="263"/>
      <c r="Y405" s="155"/>
      <c r="Z405" s="155"/>
      <c r="AA405" s="263"/>
      <c r="AB405" s="263"/>
      <c r="AC405" s="155"/>
      <c r="AD405" s="155"/>
      <c r="AE405" s="155"/>
      <c r="AF405" s="155"/>
      <c r="AG405" s="155"/>
      <c r="AH405" s="155"/>
      <c r="AI405" s="155"/>
      <c r="AJ405" s="155"/>
      <c r="AK405" s="155"/>
      <c r="AL405" s="155"/>
      <c r="AM405" s="155"/>
      <c r="AN405" s="155"/>
      <c r="AO405" s="155"/>
      <c r="AP405" s="49"/>
      <c r="AQ405" s="49"/>
      <c r="AR405" s="155"/>
      <c r="AS405" s="155"/>
      <c r="AT405" s="155"/>
      <c r="AU405" s="155"/>
      <c r="AV405" s="155"/>
      <c r="AW405" s="155"/>
      <c r="AX405" s="155"/>
      <c r="AY405" s="155"/>
      <c r="AZ405" s="49"/>
      <c r="BA405" s="49"/>
      <c r="BB405" s="49"/>
      <c r="BC405" s="49"/>
      <c r="BD405" s="49"/>
      <c r="BE405" s="49"/>
      <c r="BF405" s="49"/>
      <c r="BG405" s="49"/>
      <c r="BH405" s="49"/>
      <c r="BI405" s="155"/>
      <c r="BJ405" s="155"/>
      <c r="BK405" s="155"/>
      <c r="BL405" s="49"/>
      <c r="BM405" s="49"/>
      <c r="BN405" s="49"/>
      <c r="BO405" s="49"/>
      <c r="BP405" s="49"/>
      <c r="BQ405" s="49"/>
      <c r="BR405" s="49"/>
      <c r="BS405" s="49"/>
      <c r="BT405" s="49"/>
      <c r="BU405" s="49"/>
      <c r="BV405" s="49"/>
      <c r="BW405" s="49"/>
      <c r="BX405" s="49"/>
      <c r="BY405" s="49"/>
      <c r="BZ405" s="49"/>
      <c r="CA405" s="49"/>
      <c r="CB405" s="49"/>
      <c r="CC405" s="49"/>
      <c r="CD405" s="49"/>
      <c r="CE405" s="49"/>
      <c r="CF405" s="49"/>
      <c r="CG405" s="49"/>
      <c r="CH405" s="49"/>
      <c r="CI405" s="49"/>
      <c r="CJ405" s="49"/>
      <c r="CK405" s="49"/>
      <c r="CL405" s="49"/>
      <c r="CM405" s="49"/>
      <c r="CN405" s="49"/>
      <c r="CO405" s="49"/>
      <c r="CP405" s="49"/>
      <c r="CQ405" s="49"/>
      <c r="CR405" s="49"/>
      <c r="CS405" s="49"/>
      <c r="CT405" s="155"/>
      <c r="CU405" s="155"/>
      <c r="CV405" s="155"/>
      <c r="CW405" s="155"/>
      <c r="CX405" s="155"/>
      <c r="CY405" s="155"/>
      <c r="CZ405" s="155"/>
      <c r="DA405" s="155"/>
      <c r="DB405" s="155"/>
      <c r="DC405" s="155"/>
      <c r="DD405" s="155"/>
      <c r="DE405" s="155"/>
      <c r="DF405" s="155"/>
      <c r="DG405" s="155"/>
      <c r="DH405" s="155"/>
      <c r="DI405" s="155"/>
      <c r="DJ405" s="155"/>
      <c r="DK405" s="155"/>
      <c r="DL405" s="155"/>
      <c r="DM405" s="155"/>
      <c r="DN405" s="155"/>
      <c r="DO405" s="155"/>
      <c r="DP405" s="155"/>
      <c r="DQ405" s="155"/>
      <c r="DR405" s="155"/>
      <c r="DS405" s="155"/>
      <c r="DT405" s="155"/>
      <c r="DU405" s="155"/>
      <c r="DV405" s="155"/>
      <c r="DW405" s="155"/>
      <c r="DX405" s="155"/>
    </row>
    <row r="406" spans="1:128" ht="18" customHeight="1">
      <c r="A406" s="155"/>
      <c r="B406" s="155"/>
      <c r="C406" s="155"/>
      <c r="D406" s="155"/>
      <c r="E406" s="49">
        <v>2164</v>
      </c>
      <c r="F406" s="49" t="str">
        <f t="shared" si="49"/>
        <v>546556778877</v>
      </c>
      <c r="G406" s="155"/>
      <c r="H406" s="155"/>
      <c r="I406" s="270"/>
      <c r="J406" s="270"/>
      <c r="K406" s="270"/>
      <c r="L406" s="270"/>
      <c r="M406" s="270"/>
      <c r="N406" s="270"/>
      <c r="O406" s="155"/>
      <c r="P406" s="155"/>
      <c r="Q406" s="155"/>
      <c r="R406" s="155"/>
      <c r="S406" s="155"/>
      <c r="T406" s="155"/>
      <c r="U406" s="158"/>
      <c r="V406" s="155"/>
      <c r="W406" s="155"/>
      <c r="X406" s="263"/>
      <c r="Y406" s="155"/>
      <c r="Z406" s="155"/>
      <c r="AA406" s="263"/>
      <c r="AB406" s="263"/>
      <c r="AC406" s="155"/>
      <c r="AD406" s="155"/>
      <c r="AE406" s="155"/>
      <c r="AF406" s="155"/>
      <c r="AG406" s="155"/>
      <c r="AH406" s="155"/>
      <c r="AI406" s="155"/>
      <c r="AJ406" s="155"/>
      <c r="AK406" s="155"/>
      <c r="AL406" s="155"/>
      <c r="AM406" s="155"/>
      <c r="AN406" s="155"/>
      <c r="AO406" s="155"/>
      <c r="AP406" s="49"/>
      <c r="AQ406" s="49"/>
      <c r="AR406" s="155"/>
      <c r="AS406" s="155"/>
      <c r="AT406" s="155"/>
      <c r="AU406" s="155"/>
      <c r="AV406" s="155"/>
      <c r="AW406" s="155"/>
      <c r="AX406" s="155"/>
      <c r="AY406" s="155"/>
      <c r="AZ406" s="49"/>
      <c r="BA406" s="49"/>
      <c r="BB406" s="49"/>
      <c r="BC406" s="49"/>
      <c r="BD406" s="49"/>
      <c r="BE406" s="49"/>
      <c r="BF406" s="49"/>
      <c r="BG406" s="49"/>
      <c r="BH406" s="49"/>
      <c r="BI406" s="155"/>
      <c r="BJ406" s="155"/>
      <c r="BK406" s="155"/>
      <c r="BL406" s="49"/>
      <c r="BM406" s="49"/>
      <c r="BN406" s="49"/>
      <c r="BO406" s="49"/>
      <c r="BP406" s="49"/>
      <c r="BQ406" s="49"/>
      <c r="BR406" s="49"/>
      <c r="BS406" s="49"/>
      <c r="BT406" s="49"/>
      <c r="BU406" s="49"/>
      <c r="BV406" s="49"/>
      <c r="BW406" s="49"/>
      <c r="BX406" s="49"/>
      <c r="BY406" s="49"/>
      <c r="BZ406" s="49"/>
      <c r="CA406" s="49"/>
      <c r="CB406" s="49"/>
      <c r="CC406" s="49"/>
      <c r="CD406" s="49"/>
      <c r="CE406" s="49"/>
      <c r="CF406" s="49"/>
      <c r="CG406" s="49"/>
      <c r="CH406" s="49"/>
      <c r="CI406" s="49"/>
      <c r="CJ406" s="49"/>
      <c r="CK406" s="49"/>
      <c r="CL406" s="49"/>
      <c r="CM406" s="49"/>
      <c r="CN406" s="49"/>
      <c r="CO406" s="49"/>
      <c r="CP406" s="49"/>
      <c r="CQ406" s="49"/>
      <c r="CR406" s="49"/>
      <c r="CS406" s="49"/>
      <c r="CT406" s="155"/>
      <c r="CU406" s="155"/>
      <c r="CV406" s="155"/>
      <c r="CW406" s="155"/>
      <c r="CX406" s="155"/>
      <c r="CY406" s="155"/>
      <c r="CZ406" s="155"/>
      <c r="DA406" s="155"/>
      <c r="DB406" s="155"/>
      <c r="DC406" s="155"/>
      <c r="DD406" s="155"/>
      <c r="DE406" s="155"/>
      <c r="DF406" s="155"/>
      <c r="DG406" s="155"/>
      <c r="DH406" s="155"/>
      <c r="DI406" s="155"/>
      <c r="DJ406" s="155"/>
      <c r="DK406" s="155"/>
      <c r="DL406" s="155"/>
      <c r="DM406" s="155"/>
      <c r="DN406" s="155"/>
      <c r="DO406" s="155"/>
      <c r="DP406" s="155"/>
      <c r="DQ406" s="155"/>
      <c r="DR406" s="155"/>
      <c r="DS406" s="155"/>
      <c r="DT406" s="155"/>
      <c r="DU406" s="155"/>
      <c r="DV406" s="155"/>
      <c r="DW406" s="155"/>
      <c r="DX406" s="155"/>
    </row>
    <row r="407" spans="1:128" ht="18" customHeight="1">
      <c r="A407" s="155"/>
      <c r="B407" s="155"/>
      <c r="C407" s="155"/>
      <c r="D407" s="155"/>
      <c r="E407" s="49">
        <v>2165</v>
      </c>
      <c r="F407" s="49" t="str">
        <f t="shared" si="49"/>
        <v>546556778877</v>
      </c>
      <c r="G407" s="155"/>
      <c r="H407" s="155"/>
      <c r="I407" s="270"/>
      <c r="J407" s="270"/>
      <c r="K407" s="270"/>
      <c r="L407" s="270"/>
      <c r="M407" s="270"/>
      <c r="N407" s="270"/>
      <c r="O407" s="155"/>
      <c r="P407" s="155"/>
      <c r="Q407" s="155"/>
      <c r="R407" s="155"/>
      <c r="S407" s="155"/>
      <c r="T407" s="155"/>
      <c r="U407" s="158"/>
      <c r="V407" s="155"/>
      <c r="W407" s="155"/>
      <c r="X407" s="263"/>
      <c r="Y407" s="155"/>
      <c r="Z407" s="155"/>
      <c r="AA407" s="263"/>
      <c r="AB407" s="263"/>
      <c r="AC407" s="155"/>
      <c r="AD407" s="155"/>
      <c r="AE407" s="155"/>
      <c r="AF407" s="155"/>
      <c r="AG407" s="155"/>
      <c r="AH407" s="155"/>
      <c r="AI407" s="155"/>
      <c r="AJ407" s="155"/>
      <c r="AK407" s="155"/>
      <c r="AL407" s="155"/>
      <c r="AM407" s="155"/>
      <c r="AN407" s="155"/>
      <c r="AO407" s="155"/>
      <c r="AP407" s="49"/>
      <c r="AQ407" s="49"/>
      <c r="AR407" s="155"/>
      <c r="AS407" s="155"/>
      <c r="AT407" s="155"/>
      <c r="AU407" s="155"/>
      <c r="AV407" s="155"/>
      <c r="AW407" s="155"/>
      <c r="AX407" s="155"/>
      <c r="AY407" s="155"/>
      <c r="AZ407" s="49"/>
      <c r="BA407" s="49"/>
      <c r="BB407" s="49"/>
      <c r="BC407" s="49"/>
      <c r="BD407" s="49"/>
      <c r="BE407" s="49"/>
      <c r="BF407" s="49"/>
      <c r="BG407" s="49"/>
      <c r="BH407" s="49"/>
      <c r="BI407" s="155"/>
      <c r="BJ407" s="155"/>
      <c r="BK407" s="155"/>
      <c r="BL407" s="49"/>
      <c r="BM407" s="49"/>
      <c r="BN407" s="49"/>
      <c r="BO407" s="49"/>
      <c r="BP407" s="49"/>
      <c r="BQ407" s="49"/>
      <c r="BR407" s="49"/>
      <c r="BS407" s="49"/>
      <c r="BT407" s="49"/>
      <c r="BU407" s="49"/>
      <c r="BV407" s="49"/>
      <c r="BW407" s="49"/>
      <c r="BX407" s="49"/>
      <c r="BY407" s="49"/>
      <c r="BZ407" s="49"/>
      <c r="CA407" s="49"/>
      <c r="CB407" s="49"/>
      <c r="CC407" s="49"/>
      <c r="CD407" s="49"/>
      <c r="CE407" s="49"/>
      <c r="CF407" s="49"/>
      <c r="CG407" s="49"/>
      <c r="CH407" s="49"/>
      <c r="CI407" s="49"/>
      <c r="CJ407" s="49"/>
      <c r="CK407" s="49"/>
      <c r="CL407" s="49"/>
      <c r="CM407" s="49"/>
      <c r="CN407" s="49"/>
      <c r="CO407" s="49"/>
      <c r="CP407" s="49"/>
      <c r="CQ407" s="49"/>
      <c r="CR407" s="49"/>
      <c r="CS407" s="49"/>
      <c r="CT407" s="155"/>
      <c r="CU407" s="155"/>
      <c r="CV407" s="155"/>
      <c r="CW407" s="155"/>
      <c r="CX407" s="155"/>
      <c r="CY407" s="155"/>
      <c r="CZ407" s="155"/>
      <c r="DA407" s="155"/>
      <c r="DB407" s="155"/>
      <c r="DC407" s="155"/>
      <c r="DD407" s="155"/>
      <c r="DE407" s="155"/>
      <c r="DF407" s="155"/>
      <c r="DG407" s="155"/>
      <c r="DH407" s="155"/>
      <c r="DI407" s="155"/>
      <c r="DJ407" s="155"/>
      <c r="DK407" s="155"/>
      <c r="DL407" s="155"/>
      <c r="DM407" s="155"/>
      <c r="DN407" s="155"/>
      <c r="DO407" s="155"/>
      <c r="DP407" s="155"/>
      <c r="DQ407" s="155"/>
      <c r="DR407" s="155"/>
      <c r="DS407" s="155"/>
      <c r="DT407" s="155"/>
      <c r="DU407" s="155"/>
      <c r="DV407" s="155"/>
      <c r="DW407" s="155"/>
      <c r="DX407" s="155"/>
    </row>
    <row r="408" spans="1:128" ht="18" customHeight="1">
      <c r="A408" s="155"/>
      <c r="B408" s="155"/>
      <c r="C408" s="155"/>
      <c r="D408" s="155"/>
      <c r="E408" s="49">
        <v>2166</v>
      </c>
      <c r="F408" s="49" t="str">
        <f t="shared" si="49"/>
        <v>546556778877</v>
      </c>
      <c r="G408" s="155"/>
      <c r="H408" s="155"/>
      <c r="I408" s="270"/>
      <c r="J408" s="270"/>
      <c r="K408" s="270"/>
      <c r="L408" s="270"/>
      <c r="M408" s="270"/>
      <c r="N408" s="270"/>
      <c r="O408" s="155"/>
      <c r="P408" s="155"/>
      <c r="Q408" s="155"/>
      <c r="R408" s="155"/>
      <c r="S408" s="155"/>
      <c r="T408" s="155"/>
      <c r="U408" s="158"/>
      <c r="V408" s="155"/>
      <c r="W408" s="155"/>
      <c r="X408" s="263"/>
      <c r="Y408" s="155"/>
      <c r="Z408" s="155"/>
      <c r="AA408" s="263"/>
      <c r="AB408" s="263"/>
      <c r="AC408" s="155"/>
      <c r="AD408" s="155"/>
      <c r="AE408" s="155"/>
      <c r="AF408" s="155"/>
      <c r="AG408" s="155"/>
      <c r="AH408" s="155"/>
      <c r="AI408" s="155"/>
      <c r="AJ408" s="155"/>
      <c r="AK408" s="155"/>
      <c r="AL408" s="155"/>
      <c r="AM408" s="155"/>
      <c r="AN408" s="155"/>
      <c r="AO408" s="155"/>
      <c r="AP408" s="49"/>
      <c r="AQ408" s="49"/>
      <c r="AR408" s="155"/>
      <c r="AS408" s="155"/>
      <c r="AT408" s="155"/>
      <c r="AU408" s="155"/>
      <c r="AV408" s="155"/>
      <c r="AW408" s="155"/>
      <c r="AX408" s="155"/>
      <c r="AY408" s="155"/>
      <c r="AZ408" s="49"/>
      <c r="BA408" s="49"/>
      <c r="BB408" s="49"/>
      <c r="BC408" s="49"/>
      <c r="BD408" s="49"/>
      <c r="BE408" s="49"/>
      <c r="BF408" s="49"/>
      <c r="BG408" s="49"/>
      <c r="BH408" s="49"/>
      <c r="BI408" s="155"/>
      <c r="BJ408" s="155"/>
      <c r="BK408" s="155"/>
      <c r="BL408" s="49"/>
      <c r="BM408" s="49"/>
      <c r="BN408" s="49"/>
      <c r="BO408" s="49"/>
      <c r="BP408" s="49"/>
      <c r="BQ408" s="49"/>
      <c r="BR408" s="49"/>
      <c r="BS408" s="49"/>
      <c r="BT408" s="49"/>
      <c r="BU408" s="49"/>
      <c r="BV408" s="49"/>
      <c r="BW408" s="49"/>
      <c r="BX408" s="49"/>
      <c r="BY408" s="49"/>
      <c r="BZ408" s="49"/>
      <c r="CA408" s="49"/>
      <c r="CB408" s="49"/>
      <c r="CC408" s="49"/>
      <c r="CD408" s="49"/>
      <c r="CE408" s="49"/>
      <c r="CF408" s="49"/>
      <c r="CG408" s="49"/>
      <c r="CH408" s="49"/>
      <c r="CI408" s="49"/>
      <c r="CJ408" s="49"/>
      <c r="CK408" s="49"/>
      <c r="CL408" s="49"/>
      <c r="CM408" s="49"/>
      <c r="CN408" s="49"/>
      <c r="CO408" s="49"/>
      <c r="CP408" s="49"/>
      <c r="CQ408" s="49"/>
      <c r="CR408" s="49"/>
      <c r="CS408" s="49"/>
      <c r="CT408" s="155"/>
      <c r="CU408" s="155"/>
      <c r="CV408" s="155"/>
      <c r="CW408" s="155"/>
      <c r="CX408" s="155"/>
      <c r="CY408" s="155"/>
      <c r="CZ408" s="155"/>
      <c r="DA408" s="155"/>
      <c r="DB408" s="155"/>
      <c r="DC408" s="155"/>
      <c r="DD408" s="155"/>
      <c r="DE408" s="155"/>
      <c r="DF408" s="155"/>
      <c r="DG408" s="155"/>
      <c r="DH408" s="155"/>
      <c r="DI408" s="155"/>
      <c r="DJ408" s="155"/>
      <c r="DK408" s="155"/>
      <c r="DL408" s="155"/>
      <c r="DM408" s="155"/>
      <c r="DN408" s="155"/>
      <c r="DO408" s="155"/>
      <c r="DP408" s="155"/>
      <c r="DQ408" s="155"/>
      <c r="DR408" s="155"/>
      <c r="DS408" s="155"/>
      <c r="DT408" s="155"/>
      <c r="DU408" s="155"/>
      <c r="DV408" s="155"/>
      <c r="DW408" s="155"/>
      <c r="DX408" s="155"/>
    </row>
    <row r="409" spans="1:128" ht="18" customHeight="1">
      <c r="A409" s="155"/>
      <c r="B409" s="155"/>
      <c r="C409" s="155"/>
      <c r="D409" s="155"/>
      <c r="E409" s="49">
        <v>2167</v>
      </c>
      <c r="F409" s="49" t="str">
        <f t="shared" si="49"/>
        <v>646566788887</v>
      </c>
      <c r="G409" s="155"/>
      <c r="H409" s="155"/>
      <c r="I409" s="270"/>
      <c r="J409" s="270"/>
      <c r="K409" s="270"/>
      <c r="L409" s="270"/>
      <c r="M409" s="270"/>
      <c r="N409" s="270"/>
      <c r="O409" s="155"/>
      <c r="P409" s="155"/>
      <c r="Q409" s="155"/>
      <c r="R409" s="155"/>
      <c r="S409" s="155"/>
      <c r="T409" s="155"/>
      <c r="U409" s="158"/>
      <c r="V409" s="155"/>
      <c r="W409" s="155"/>
      <c r="X409" s="263"/>
      <c r="Y409" s="155"/>
      <c r="Z409" s="155"/>
      <c r="AA409" s="263"/>
      <c r="AB409" s="263"/>
      <c r="AC409" s="155"/>
      <c r="AD409" s="155"/>
      <c r="AE409" s="155"/>
      <c r="AF409" s="155"/>
      <c r="AG409" s="155"/>
      <c r="AH409" s="155"/>
      <c r="AI409" s="155"/>
      <c r="AJ409" s="155"/>
      <c r="AK409" s="155"/>
      <c r="AL409" s="155"/>
      <c r="AM409" s="155"/>
      <c r="AN409" s="155"/>
      <c r="AO409" s="155"/>
      <c r="AP409" s="49"/>
      <c r="AQ409" s="49"/>
      <c r="AR409" s="155"/>
      <c r="AS409" s="155"/>
      <c r="AT409" s="155"/>
      <c r="AU409" s="155"/>
      <c r="AV409" s="155"/>
      <c r="AW409" s="155"/>
      <c r="AX409" s="155"/>
      <c r="AY409" s="155"/>
      <c r="AZ409" s="49"/>
      <c r="BA409" s="49"/>
      <c r="BB409" s="49"/>
      <c r="BC409" s="49"/>
      <c r="BD409" s="49"/>
      <c r="BE409" s="49"/>
      <c r="BF409" s="49"/>
      <c r="BG409" s="49"/>
      <c r="BH409" s="49"/>
      <c r="BI409" s="155"/>
      <c r="BJ409" s="155"/>
      <c r="BK409" s="155"/>
      <c r="BL409" s="49"/>
      <c r="BM409" s="49"/>
      <c r="BN409" s="49"/>
      <c r="BO409" s="49"/>
      <c r="BP409" s="49"/>
      <c r="BQ409" s="49"/>
      <c r="BR409" s="49"/>
      <c r="BS409" s="49"/>
      <c r="BT409" s="49"/>
      <c r="BU409" s="49"/>
      <c r="BV409" s="49"/>
      <c r="BW409" s="49"/>
      <c r="BX409" s="49"/>
      <c r="BY409" s="49"/>
      <c r="BZ409" s="49"/>
      <c r="CA409" s="49"/>
      <c r="CB409" s="49"/>
      <c r="CC409" s="49"/>
      <c r="CD409" s="49"/>
      <c r="CE409" s="49"/>
      <c r="CF409" s="49"/>
      <c r="CG409" s="49"/>
      <c r="CH409" s="49"/>
      <c r="CI409" s="49"/>
      <c r="CJ409" s="49"/>
      <c r="CK409" s="49"/>
      <c r="CL409" s="49"/>
      <c r="CM409" s="49"/>
      <c r="CN409" s="49"/>
      <c r="CO409" s="49"/>
      <c r="CP409" s="49"/>
      <c r="CQ409" s="49"/>
      <c r="CR409" s="49"/>
      <c r="CS409" s="49"/>
      <c r="CT409" s="155"/>
      <c r="CU409" s="155"/>
      <c r="CV409" s="155"/>
      <c r="CW409" s="155"/>
      <c r="CX409" s="155"/>
      <c r="CY409" s="155"/>
      <c r="CZ409" s="155"/>
      <c r="DA409" s="155"/>
      <c r="DB409" s="155"/>
      <c r="DC409" s="155"/>
      <c r="DD409" s="155"/>
      <c r="DE409" s="155"/>
      <c r="DF409" s="155"/>
      <c r="DG409" s="155"/>
      <c r="DH409" s="155"/>
      <c r="DI409" s="155"/>
      <c r="DJ409" s="155"/>
      <c r="DK409" s="155"/>
      <c r="DL409" s="155"/>
      <c r="DM409" s="155"/>
      <c r="DN409" s="155"/>
      <c r="DO409" s="155"/>
      <c r="DP409" s="155"/>
      <c r="DQ409" s="155"/>
      <c r="DR409" s="155"/>
      <c r="DS409" s="155"/>
      <c r="DT409" s="155"/>
      <c r="DU409" s="155"/>
      <c r="DV409" s="155"/>
      <c r="DW409" s="155"/>
      <c r="DX409" s="155"/>
    </row>
    <row r="410" spans="1:128" ht="18" customHeight="1">
      <c r="A410" s="155"/>
      <c r="B410" s="155"/>
      <c r="C410" s="155"/>
      <c r="D410" s="155"/>
      <c r="E410" s="49">
        <v>2168</v>
      </c>
      <c r="F410" s="49" t="str">
        <f t="shared" si="49"/>
        <v>546556778877</v>
      </c>
      <c r="G410" s="155"/>
      <c r="H410" s="155"/>
      <c r="I410" s="270"/>
      <c r="J410" s="270"/>
      <c r="K410" s="270"/>
      <c r="L410" s="270"/>
      <c r="M410" s="270"/>
      <c r="N410" s="270"/>
      <c r="O410" s="155"/>
      <c r="P410" s="155"/>
      <c r="Q410" s="155"/>
      <c r="R410" s="155"/>
      <c r="S410" s="155"/>
      <c r="T410" s="155"/>
      <c r="U410" s="158"/>
      <c r="V410" s="155"/>
      <c r="W410" s="155"/>
      <c r="X410" s="263"/>
      <c r="Y410" s="155"/>
      <c r="Z410" s="155"/>
      <c r="AA410" s="263"/>
      <c r="AB410" s="263"/>
      <c r="AC410" s="155"/>
      <c r="AD410" s="155"/>
      <c r="AE410" s="155"/>
      <c r="AF410" s="155"/>
      <c r="AG410" s="155"/>
      <c r="AH410" s="155"/>
      <c r="AI410" s="155"/>
      <c r="AJ410" s="155"/>
      <c r="AK410" s="155"/>
      <c r="AL410" s="155"/>
      <c r="AM410" s="155"/>
      <c r="AN410" s="155"/>
      <c r="AO410" s="155"/>
      <c r="AP410" s="49"/>
      <c r="AQ410" s="49"/>
      <c r="AR410" s="155"/>
      <c r="AS410" s="155"/>
      <c r="AT410" s="155"/>
      <c r="AU410" s="155"/>
      <c r="AV410" s="155"/>
      <c r="AW410" s="155"/>
      <c r="AX410" s="155"/>
      <c r="AY410" s="155"/>
      <c r="AZ410" s="49"/>
      <c r="BA410" s="49"/>
      <c r="BB410" s="49"/>
      <c r="BC410" s="49"/>
      <c r="BD410" s="49"/>
      <c r="BE410" s="49"/>
      <c r="BF410" s="49"/>
      <c r="BG410" s="49"/>
      <c r="BH410" s="49"/>
      <c r="BI410" s="155"/>
      <c r="BJ410" s="155"/>
      <c r="BK410" s="155"/>
      <c r="BL410" s="49"/>
      <c r="BM410" s="49"/>
      <c r="BN410" s="49"/>
      <c r="BO410" s="49"/>
      <c r="BP410" s="49"/>
      <c r="BQ410" s="49"/>
      <c r="BR410" s="49"/>
      <c r="BS410" s="49"/>
      <c r="BT410" s="49"/>
      <c r="BU410" s="49"/>
      <c r="BV410" s="49"/>
      <c r="BW410" s="49"/>
      <c r="BX410" s="49"/>
      <c r="BY410" s="49"/>
      <c r="BZ410" s="49"/>
      <c r="CA410" s="49"/>
      <c r="CB410" s="49"/>
      <c r="CC410" s="49"/>
      <c r="CD410" s="49"/>
      <c r="CE410" s="49"/>
      <c r="CF410" s="49"/>
      <c r="CG410" s="49"/>
      <c r="CH410" s="49"/>
      <c r="CI410" s="49"/>
      <c r="CJ410" s="49"/>
      <c r="CK410" s="49"/>
      <c r="CL410" s="49"/>
      <c r="CM410" s="49"/>
      <c r="CN410" s="49"/>
      <c r="CO410" s="49"/>
      <c r="CP410" s="49"/>
      <c r="CQ410" s="49"/>
      <c r="CR410" s="49"/>
      <c r="CS410" s="49"/>
      <c r="CT410" s="155"/>
      <c r="CU410" s="155"/>
      <c r="CV410" s="155"/>
      <c r="CW410" s="155"/>
      <c r="CX410" s="155"/>
      <c r="CY410" s="155"/>
      <c r="CZ410" s="155"/>
      <c r="DA410" s="155"/>
      <c r="DB410" s="155"/>
      <c r="DC410" s="155"/>
      <c r="DD410" s="155"/>
      <c r="DE410" s="155"/>
      <c r="DF410" s="155"/>
      <c r="DG410" s="155"/>
      <c r="DH410" s="155"/>
      <c r="DI410" s="155"/>
      <c r="DJ410" s="155"/>
      <c r="DK410" s="155"/>
      <c r="DL410" s="155"/>
      <c r="DM410" s="155"/>
      <c r="DN410" s="155"/>
      <c r="DO410" s="155"/>
      <c r="DP410" s="155"/>
      <c r="DQ410" s="155"/>
      <c r="DR410" s="155"/>
      <c r="DS410" s="155"/>
      <c r="DT410" s="155"/>
      <c r="DU410" s="155"/>
      <c r="DV410" s="155"/>
      <c r="DW410" s="155"/>
      <c r="DX410" s="155"/>
    </row>
    <row r="411" spans="1:128" ht="18" customHeight="1">
      <c r="A411" s="155"/>
      <c r="B411" s="155"/>
      <c r="C411" s="155"/>
      <c r="D411" s="155"/>
      <c r="E411" s="49">
        <v>2169</v>
      </c>
      <c r="F411" s="49" t="str">
        <f t="shared" si="49"/>
        <v>546556778877</v>
      </c>
      <c r="G411" s="155"/>
      <c r="H411" s="155"/>
      <c r="I411" s="270"/>
      <c r="J411" s="270"/>
      <c r="K411" s="270"/>
      <c r="L411" s="270"/>
      <c r="M411" s="270"/>
      <c r="N411" s="270"/>
      <c r="O411" s="155"/>
      <c r="P411" s="155"/>
      <c r="Q411" s="155"/>
      <c r="R411" s="155"/>
      <c r="S411" s="155"/>
      <c r="T411" s="155"/>
      <c r="U411" s="158"/>
      <c r="V411" s="155"/>
      <c r="W411" s="155"/>
      <c r="X411" s="263"/>
      <c r="Y411" s="155"/>
      <c r="Z411" s="155"/>
      <c r="AA411" s="263"/>
      <c r="AB411" s="263"/>
      <c r="AC411" s="155"/>
      <c r="AD411" s="155"/>
      <c r="AE411" s="155"/>
      <c r="AF411" s="155"/>
      <c r="AG411" s="155"/>
      <c r="AH411" s="155"/>
      <c r="AI411" s="155"/>
      <c r="AJ411" s="155"/>
      <c r="AK411" s="155"/>
      <c r="AL411" s="155"/>
      <c r="AM411" s="155"/>
      <c r="AN411" s="155"/>
      <c r="AO411" s="155"/>
      <c r="AP411" s="49"/>
      <c r="AQ411" s="49"/>
      <c r="AR411" s="155"/>
      <c r="AS411" s="155"/>
      <c r="AT411" s="155"/>
      <c r="AU411" s="155"/>
      <c r="AV411" s="155"/>
      <c r="AW411" s="155"/>
      <c r="AX411" s="155"/>
      <c r="AY411" s="155"/>
      <c r="AZ411" s="49"/>
      <c r="BA411" s="49"/>
      <c r="BB411" s="49"/>
      <c r="BC411" s="49"/>
      <c r="BD411" s="49"/>
      <c r="BE411" s="49"/>
      <c r="BF411" s="49"/>
      <c r="BG411" s="49"/>
      <c r="BH411" s="49"/>
      <c r="BI411" s="155"/>
      <c r="BJ411" s="155"/>
      <c r="BK411" s="155"/>
      <c r="BL411" s="49"/>
      <c r="BM411" s="49"/>
      <c r="BN411" s="49"/>
      <c r="BO411" s="49"/>
      <c r="BP411" s="49"/>
      <c r="BQ411" s="49"/>
      <c r="BR411" s="49"/>
      <c r="BS411" s="49"/>
      <c r="BT411" s="49"/>
      <c r="BU411" s="49"/>
      <c r="BV411" s="49"/>
      <c r="BW411" s="49"/>
      <c r="BX411" s="49"/>
      <c r="BY411" s="49"/>
      <c r="BZ411" s="49"/>
      <c r="CA411" s="49"/>
      <c r="CB411" s="49"/>
      <c r="CC411" s="49"/>
      <c r="CD411" s="49"/>
      <c r="CE411" s="49"/>
      <c r="CF411" s="49"/>
      <c r="CG411" s="49"/>
      <c r="CH411" s="49"/>
      <c r="CI411" s="49"/>
      <c r="CJ411" s="49"/>
      <c r="CK411" s="49"/>
      <c r="CL411" s="49"/>
      <c r="CM411" s="49"/>
      <c r="CN411" s="49"/>
      <c r="CO411" s="49"/>
      <c r="CP411" s="49"/>
      <c r="CQ411" s="49"/>
      <c r="CR411" s="49"/>
      <c r="CS411" s="49"/>
      <c r="CT411" s="155"/>
      <c r="CU411" s="155"/>
      <c r="CV411" s="155"/>
      <c r="CW411" s="155"/>
      <c r="CX411" s="155"/>
      <c r="CY411" s="155"/>
      <c r="CZ411" s="155"/>
      <c r="DA411" s="155"/>
      <c r="DB411" s="155"/>
      <c r="DC411" s="155"/>
      <c r="DD411" s="155"/>
      <c r="DE411" s="155"/>
      <c r="DF411" s="155"/>
      <c r="DG411" s="155"/>
      <c r="DH411" s="155"/>
      <c r="DI411" s="155"/>
      <c r="DJ411" s="155"/>
      <c r="DK411" s="155"/>
      <c r="DL411" s="155"/>
      <c r="DM411" s="155"/>
      <c r="DN411" s="155"/>
      <c r="DO411" s="155"/>
      <c r="DP411" s="155"/>
      <c r="DQ411" s="155"/>
      <c r="DR411" s="155"/>
      <c r="DS411" s="155"/>
      <c r="DT411" s="155"/>
      <c r="DU411" s="155"/>
      <c r="DV411" s="155"/>
      <c r="DW411" s="155"/>
      <c r="DX411" s="155"/>
    </row>
    <row r="412" spans="1:128" ht="18" customHeight="1">
      <c r="A412" s="155"/>
      <c r="B412" s="155"/>
      <c r="C412" s="155"/>
      <c r="D412" s="155"/>
      <c r="E412" s="49">
        <v>2170</v>
      </c>
      <c r="F412" s="49" t="str">
        <f t="shared" si="49"/>
        <v>546556778877</v>
      </c>
      <c r="G412" s="155"/>
      <c r="H412" s="155"/>
      <c r="I412" s="270"/>
      <c r="J412" s="270"/>
      <c r="K412" s="270"/>
      <c r="L412" s="270"/>
      <c r="M412" s="270"/>
      <c r="N412" s="270"/>
      <c r="O412" s="155"/>
      <c r="P412" s="155"/>
      <c r="Q412" s="155"/>
      <c r="R412" s="155"/>
      <c r="S412" s="155"/>
      <c r="T412" s="155"/>
      <c r="U412" s="158"/>
      <c r="V412" s="155"/>
      <c r="W412" s="155"/>
      <c r="X412" s="263"/>
      <c r="Y412" s="155"/>
      <c r="Z412" s="155"/>
      <c r="AA412" s="263"/>
      <c r="AB412" s="263"/>
      <c r="AC412" s="155"/>
      <c r="AD412" s="155"/>
      <c r="AE412" s="155"/>
      <c r="AF412" s="155"/>
      <c r="AG412" s="155"/>
      <c r="AH412" s="155"/>
      <c r="AI412" s="155"/>
      <c r="AJ412" s="155"/>
      <c r="AK412" s="155"/>
      <c r="AL412" s="155"/>
      <c r="AM412" s="155"/>
      <c r="AN412" s="155"/>
      <c r="AO412" s="155"/>
      <c r="AP412" s="49"/>
      <c r="AQ412" s="49"/>
      <c r="AR412" s="155"/>
      <c r="AS412" s="155"/>
      <c r="AT412" s="155"/>
      <c r="AU412" s="155"/>
      <c r="AV412" s="155"/>
      <c r="AW412" s="155"/>
      <c r="AX412" s="155"/>
      <c r="AY412" s="155"/>
      <c r="AZ412" s="49"/>
      <c r="BA412" s="49"/>
      <c r="BB412" s="49"/>
      <c r="BC412" s="49"/>
      <c r="BD412" s="49"/>
      <c r="BE412" s="49"/>
      <c r="BF412" s="49"/>
      <c r="BG412" s="49"/>
      <c r="BH412" s="49"/>
      <c r="BI412" s="155"/>
      <c r="BJ412" s="155"/>
      <c r="BK412" s="155"/>
      <c r="BL412" s="49"/>
      <c r="BM412" s="49"/>
      <c r="BN412" s="49"/>
      <c r="BO412" s="49"/>
      <c r="BP412" s="49"/>
      <c r="BQ412" s="49"/>
      <c r="BR412" s="49"/>
      <c r="BS412" s="49"/>
      <c r="BT412" s="49"/>
      <c r="BU412" s="49"/>
      <c r="BV412" s="49"/>
      <c r="BW412" s="49"/>
      <c r="BX412" s="49"/>
      <c r="BY412" s="49"/>
      <c r="BZ412" s="49"/>
      <c r="CA412" s="49"/>
      <c r="CB412" s="49"/>
      <c r="CC412" s="49"/>
      <c r="CD412" s="49"/>
      <c r="CE412" s="49"/>
      <c r="CF412" s="49"/>
      <c r="CG412" s="49"/>
      <c r="CH412" s="49"/>
      <c r="CI412" s="49"/>
      <c r="CJ412" s="49"/>
      <c r="CK412" s="49"/>
      <c r="CL412" s="49"/>
      <c r="CM412" s="49"/>
      <c r="CN412" s="49"/>
      <c r="CO412" s="49"/>
      <c r="CP412" s="49"/>
      <c r="CQ412" s="49"/>
      <c r="CR412" s="49"/>
      <c r="CS412" s="49"/>
      <c r="CT412" s="155"/>
      <c r="CU412" s="155"/>
      <c r="CV412" s="155"/>
      <c r="CW412" s="155"/>
      <c r="CX412" s="155"/>
      <c r="CY412" s="155"/>
      <c r="CZ412" s="155"/>
      <c r="DA412" s="155"/>
      <c r="DB412" s="155"/>
      <c r="DC412" s="155"/>
      <c r="DD412" s="155"/>
      <c r="DE412" s="155"/>
      <c r="DF412" s="155"/>
      <c r="DG412" s="155"/>
      <c r="DH412" s="155"/>
      <c r="DI412" s="155"/>
      <c r="DJ412" s="155"/>
      <c r="DK412" s="155"/>
      <c r="DL412" s="155"/>
      <c r="DM412" s="155"/>
      <c r="DN412" s="155"/>
      <c r="DO412" s="155"/>
      <c r="DP412" s="155"/>
      <c r="DQ412" s="155"/>
      <c r="DR412" s="155"/>
      <c r="DS412" s="155"/>
      <c r="DT412" s="155"/>
      <c r="DU412" s="155"/>
      <c r="DV412" s="155"/>
      <c r="DW412" s="155"/>
      <c r="DX412" s="155"/>
    </row>
    <row r="413" spans="1:128" ht="18" customHeight="1">
      <c r="A413" s="155"/>
      <c r="B413" s="155"/>
      <c r="C413" s="155"/>
      <c r="D413" s="155"/>
      <c r="E413" s="49">
        <v>2171</v>
      </c>
      <c r="F413" s="49" t="str">
        <f t="shared" si="49"/>
        <v>646566788887</v>
      </c>
      <c r="G413" s="155"/>
      <c r="H413" s="155"/>
      <c r="I413" s="270"/>
      <c r="J413" s="270"/>
      <c r="K413" s="270"/>
      <c r="L413" s="270"/>
      <c r="M413" s="270"/>
      <c r="N413" s="270"/>
      <c r="O413" s="155"/>
      <c r="P413" s="155"/>
      <c r="Q413" s="155"/>
      <c r="R413" s="155"/>
      <c r="S413" s="155"/>
      <c r="T413" s="155"/>
      <c r="U413" s="158"/>
      <c r="V413" s="155"/>
      <c r="W413" s="155"/>
      <c r="X413" s="263"/>
      <c r="Y413" s="155"/>
      <c r="Z413" s="155"/>
      <c r="AA413" s="263"/>
      <c r="AB413" s="263"/>
      <c r="AC413" s="155"/>
      <c r="AD413" s="155"/>
      <c r="AE413" s="155"/>
      <c r="AF413" s="155"/>
      <c r="AG413" s="155"/>
      <c r="AH413" s="155"/>
      <c r="AI413" s="155"/>
      <c r="AJ413" s="155"/>
      <c r="AK413" s="155"/>
      <c r="AL413" s="155"/>
      <c r="AM413" s="155"/>
      <c r="AN413" s="155"/>
      <c r="AO413" s="155"/>
      <c r="AP413" s="49"/>
      <c r="AQ413" s="49"/>
      <c r="AR413" s="155"/>
      <c r="AS413" s="155"/>
      <c r="AT413" s="155"/>
      <c r="AU413" s="155"/>
      <c r="AV413" s="155"/>
      <c r="AW413" s="155"/>
      <c r="AX413" s="155"/>
      <c r="AY413" s="155"/>
      <c r="AZ413" s="49"/>
      <c r="BA413" s="49"/>
      <c r="BB413" s="49"/>
      <c r="BC413" s="49"/>
      <c r="BD413" s="49"/>
      <c r="BE413" s="49"/>
      <c r="BF413" s="49"/>
      <c r="BG413" s="49"/>
      <c r="BH413" s="49"/>
      <c r="BI413" s="155"/>
      <c r="BJ413" s="155"/>
      <c r="BK413" s="155"/>
      <c r="BL413" s="49"/>
      <c r="BM413" s="49"/>
      <c r="BN413" s="49"/>
      <c r="BO413" s="49"/>
      <c r="BP413" s="49"/>
      <c r="BQ413" s="49"/>
      <c r="BR413" s="49"/>
      <c r="BS413" s="49"/>
      <c r="BT413" s="49"/>
      <c r="BU413" s="49"/>
      <c r="BV413" s="49"/>
      <c r="BW413" s="49"/>
      <c r="BX413" s="49"/>
      <c r="BY413" s="49"/>
      <c r="BZ413" s="49"/>
      <c r="CA413" s="49"/>
      <c r="CB413" s="49"/>
      <c r="CC413" s="49"/>
      <c r="CD413" s="49"/>
      <c r="CE413" s="49"/>
      <c r="CF413" s="49"/>
      <c r="CG413" s="49"/>
      <c r="CH413" s="49"/>
      <c r="CI413" s="49"/>
      <c r="CJ413" s="49"/>
      <c r="CK413" s="49"/>
      <c r="CL413" s="49"/>
      <c r="CM413" s="49"/>
      <c r="CN413" s="49"/>
      <c r="CO413" s="49"/>
      <c r="CP413" s="49"/>
      <c r="CQ413" s="49"/>
      <c r="CR413" s="49"/>
      <c r="CS413" s="49"/>
      <c r="CT413" s="155"/>
      <c r="CU413" s="155"/>
      <c r="CV413" s="155"/>
      <c r="CW413" s="155"/>
      <c r="CX413" s="155"/>
      <c r="CY413" s="155"/>
      <c r="CZ413" s="155"/>
      <c r="DA413" s="155"/>
      <c r="DB413" s="155"/>
      <c r="DC413" s="155"/>
      <c r="DD413" s="155"/>
      <c r="DE413" s="155"/>
      <c r="DF413" s="155"/>
      <c r="DG413" s="155"/>
      <c r="DH413" s="155"/>
      <c r="DI413" s="155"/>
      <c r="DJ413" s="155"/>
      <c r="DK413" s="155"/>
      <c r="DL413" s="155"/>
      <c r="DM413" s="155"/>
      <c r="DN413" s="155"/>
      <c r="DO413" s="155"/>
      <c r="DP413" s="155"/>
      <c r="DQ413" s="155"/>
      <c r="DR413" s="155"/>
      <c r="DS413" s="155"/>
      <c r="DT413" s="155"/>
      <c r="DU413" s="155"/>
      <c r="DV413" s="155"/>
      <c r="DW413" s="155"/>
      <c r="DX413" s="155"/>
    </row>
    <row r="414" spans="1:128" ht="18" customHeight="1">
      <c r="A414" s="155"/>
      <c r="B414" s="155"/>
      <c r="C414" s="155"/>
      <c r="D414" s="155"/>
      <c r="E414" s="49">
        <v>2172</v>
      </c>
      <c r="F414" s="49" t="str">
        <f t="shared" si="49"/>
        <v>546556778877</v>
      </c>
      <c r="G414" s="155"/>
      <c r="H414" s="155"/>
      <c r="I414" s="270"/>
      <c r="J414" s="270"/>
      <c r="K414" s="270"/>
      <c r="L414" s="270"/>
      <c r="M414" s="270"/>
      <c r="N414" s="270"/>
      <c r="O414" s="155"/>
      <c r="P414" s="155"/>
      <c r="Q414" s="155"/>
      <c r="R414" s="155"/>
      <c r="S414" s="155"/>
      <c r="T414" s="155"/>
      <c r="U414" s="158"/>
      <c r="V414" s="155"/>
      <c r="W414" s="155"/>
      <c r="X414" s="263"/>
      <c r="Y414" s="155"/>
      <c r="Z414" s="155"/>
      <c r="AA414" s="263"/>
      <c r="AB414" s="263"/>
      <c r="AC414" s="155"/>
      <c r="AD414" s="155"/>
      <c r="AE414" s="155"/>
      <c r="AF414" s="155"/>
      <c r="AG414" s="155"/>
      <c r="AH414" s="155"/>
      <c r="AI414" s="155"/>
      <c r="AJ414" s="155"/>
      <c r="AK414" s="155"/>
      <c r="AL414" s="155"/>
      <c r="AM414" s="155"/>
      <c r="AN414" s="155"/>
      <c r="AO414" s="155"/>
      <c r="AP414" s="49"/>
      <c r="AQ414" s="49"/>
      <c r="AR414" s="155"/>
      <c r="AS414" s="155"/>
      <c r="AT414" s="155"/>
      <c r="AU414" s="155"/>
      <c r="AV414" s="155"/>
      <c r="AW414" s="155"/>
      <c r="AX414" s="155"/>
      <c r="AY414" s="155"/>
      <c r="AZ414" s="49"/>
      <c r="BA414" s="49"/>
      <c r="BB414" s="49"/>
      <c r="BC414" s="49"/>
      <c r="BD414" s="49"/>
      <c r="BE414" s="49"/>
      <c r="BF414" s="49"/>
      <c r="BG414" s="49"/>
      <c r="BH414" s="49"/>
      <c r="BI414" s="155"/>
      <c r="BJ414" s="155"/>
      <c r="BK414" s="155"/>
      <c r="BL414" s="49"/>
      <c r="BM414" s="49"/>
      <c r="BN414" s="49"/>
      <c r="BO414" s="49"/>
      <c r="BP414" s="49"/>
      <c r="BQ414" s="49"/>
      <c r="BR414" s="49"/>
      <c r="BS414" s="49"/>
      <c r="BT414" s="49"/>
      <c r="BU414" s="49"/>
      <c r="BV414" s="49"/>
      <c r="BW414" s="49"/>
      <c r="BX414" s="49"/>
      <c r="BY414" s="49"/>
      <c r="BZ414" s="49"/>
      <c r="CA414" s="49"/>
      <c r="CB414" s="49"/>
      <c r="CC414" s="49"/>
      <c r="CD414" s="49"/>
      <c r="CE414" s="49"/>
      <c r="CF414" s="49"/>
      <c r="CG414" s="49"/>
      <c r="CH414" s="49"/>
      <c r="CI414" s="49"/>
      <c r="CJ414" s="49"/>
      <c r="CK414" s="49"/>
      <c r="CL414" s="49"/>
      <c r="CM414" s="49"/>
      <c r="CN414" s="49"/>
      <c r="CO414" s="49"/>
      <c r="CP414" s="49"/>
      <c r="CQ414" s="49"/>
      <c r="CR414" s="49"/>
      <c r="CS414" s="49"/>
      <c r="CT414" s="155"/>
      <c r="CU414" s="155"/>
      <c r="CV414" s="155"/>
      <c r="CW414" s="155"/>
      <c r="CX414" s="155"/>
      <c r="CY414" s="155"/>
      <c r="CZ414" s="155"/>
      <c r="DA414" s="155"/>
      <c r="DB414" s="155"/>
      <c r="DC414" s="155"/>
      <c r="DD414" s="155"/>
      <c r="DE414" s="155"/>
      <c r="DF414" s="155"/>
      <c r="DG414" s="155"/>
      <c r="DH414" s="155"/>
      <c r="DI414" s="155"/>
      <c r="DJ414" s="155"/>
      <c r="DK414" s="155"/>
      <c r="DL414" s="155"/>
      <c r="DM414" s="155"/>
      <c r="DN414" s="155"/>
      <c r="DO414" s="155"/>
      <c r="DP414" s="155"/>
      <c r="DQ414" s="155"/>
      <c r="DR414" s="155"/>
      <c r="DS414" s="155"/>
      <c r="DT414" s="155"/>
      <c r="DU414" s="155"/>
      <c r="DV414" s="155"/>
      <c r="DW414" s="155"/>
      <c r="DX414" s="155"/>
    </row>
    <row r="415" spans="1:128" ht="18" customHeight="1">
      <c r="A415" s="155"/>
      <c r="B415" s="155"/>
      <c r="C415" s="155"/>
      <c r="D415" s="155"/>
      <c r="E415" s="49">
        <v>2173</v>
      </c>
      <c r="F415" s="49" t="str">
        <f t="shared" si="49"/>
        <v>546556778877</v>
      </c>
      <c r="G415" s="155"/>
      <c r="H415" s="155"/>
      <c r="I415" s="270"/>
      <c r="J415" s="270"/>
      <c r="K415" s="270"/>
      <c r="L415" s="270"/>
      <c r="M415" s="270"/>
      <c r="N415" s="270"/>
      <c r="O415" s="155"/>
      <c r="P415" s="155"/>
      <c r="Q415" s="155"/>
      <c r="R415" s="155"/>
      <c r="S415" s="155"/>
      <c r="T415" s="155"/>
      <c r="U415" s="158"/>
      <c r="V415" s="155"/>
      <c r="W415" s="155"/>
      <c r="X415" s="263"/>
      <c r="Y415" s="155"/>
      <c r="Z415" s="155"/>
      <c r="AA415" s="263"/>
      <c r="AB415" s="263"/>
      <c r="AC415" s="155"/>
      <c r="AD415" s="155"/>
      <c r="AE415" s="155"/>
      <c r="AF415" s="155"/>
      <c r="AG415" s="155"/>
      <c r="AH415" s="155"/>
      <c r="AI415" s="155"/>
      <c r="AJ415" s="155"/>
      <c r="AK415" s="155"/>
      <c r="AL415" s="155"/>
      <c r="AM415" s="155"/>
      <c r="AN415" s="155"/>
      <c r="AO415" s="155"/>
      <c r="AP415" s="49"/>
      <c r="AQ415" s="49"/>
      <c r="AR415" s="155"/>
      <c r="AS415" s="155"/>
      <c r="AT415" s="155"/>
      <c r="AU415" s="155"/>
      <c r="AV415" s="155"/>
      <c r="AW415" s="155"/>
      <c r="AX415" s="155"/>
      <c r="AY415" s="155"/>
      <c r="AZ415" s="49"/>
      <c r="BA415" s="49"/>
      <c r="BB415" s="49"/>
      <c r="BC415" s="49"/>
      <c r="BD415" s="49"/>
      <c r="BE415" s="49"/>
      <c r="BF415" s="49"/>
      <c r="BG415" s="49"/>
      <c r="BH415" s="49"/>
      <c r="BI415" s="155"/>
      <c r="BJ415" s="155"/>
      <c r="BK415" s="155"/>
      <c r="BL415" s="49"/>
      <c r="BM415" s="49"/>
      <c r="BN415" s="49"/>
      <c r="BO415" s="49"/>
      <c r="BP415" s="49"/>
      <c r="BQ415" s="49"/>
      <c r="BR415" s="49"/>
      <c r="BS415" s="49"/>
      <c r="BT415" s="49"/>
      <c r="BU415" s="49"/>
      <c r="BV415" s="49"/>
      <c r="BW415" s="49"/>
      <c r="BX415" s="49"/>
      <c r="BY415" s="49"/>
      <c r="BZ415" s="49"/>
      <c r="CA415" s="49"/>
      <c r="CB415" s="49"/>
      <c r="CC415" s="49"/>
      <c r="CD415" s="49"/>
      <c r="CE415" s="49"/>
      <c r="CF415" s="49"/>
      <c r="CG415" s="49"/>
      <c r="CH415" s="49"/>
      <c r="CI415" s="49"/>
      <c r="CJ415" s="49"/>
      <c r="CK415" s="49"/>
      <c r="CL415" s="49"/>
      <c r="CM415" s="49"/>
      <c r="CN415" s="49"/>
      <c r="CO415" s="49"/>
      <c r="CP415" s="49"/>
      <c r="CQ415" s="49"/>
      <c r="CR415" s="49"/>
      <c r="CS415" s="49"/>
      <c r="CT415" s="155"/>
      <c r="CU415" s="155"/>
      <c r="CV415" s="155"/>
      <c r="CW415" s="155"/>
      <c r="CX415" s="155"/>
      <c r="CY415" s="155"/>
      <c r="CZ415" s="155"/>
      <c r="DA415" s="155"/>
      <c r="DB415" s="155"/>
      <c r="DC415" s="155"/>
      <c r="DD415" s="155"/>
      <c r="DE415" s="155"/>
      <c r="DF415" s="155"/>
      <c r="DG415" s="155"/>
      <c r="DH415" s="155"/>
      <c r="DI415" s="155"/>
      <c r="DJ415" s="155"/>
      <c r="DK415" s="155"/>
      <c r="DL415" s="155"/>
      <c r="DM415" s="155"/>
      <c r="DN415" s="155"/>
      <c r="DO415" s="155"/>
      <c r="DP415" s="155"/>
      <c r="DQ415" s="155"/>
      <c r="DR415" s="155"/>
      <c r="DS415" s="155"/>
      <c r="DT415" s="155"/>
      <c r="DU415" s="155"/>
      <c r="DV415" s="155"/>
      <c r="DW415" s="155"/>
      <c r="DX415" s="155"/>
    </row>
    <row r="416" spans="1:128" ht="18" customHeight="1">
      <c r="A416" s="155"/>
      <c r="B416" s="155"/>
      <c r="C416" s="155"/>
      <c r="D416" s="155"/>
      <c r="E416" s="49">
        <v>2174</v>
      </c>
      <c r="F416" s="49" t="str">
        <f t="shared" si="49"/>
        <v>546556778877</v>
      </c>
      <c r="G416" s="155"/>
      <c r="H416" s="155"/>
      <c r="I416" s="270"/>
      <c r="J416" s="270"/>
      <c r="K416" s="270"/>
      <c r="L416" s="270"/>
      <c r="M416" s="270"/>
      <c r="N416" s="270"/>
      <c r="O416" s="155"/>
      <c r="P416" s="155"/>
      <c r="Q416" s="155"/>
      <c r="R416" s="155"/>
      <c r="S416" s="155"/>
      <c r="T416" s="155"/>
      <c r="U416" s="158"/>
      <c r="V416" s="155"/>
      <c r="W416" s="155"/>
      <c r="X416" s="263"/>
      <c r="Y416" s="155"/>
      <c r="Z416" s="155"/>
      <c r="AA416" s="263"/>
      <c r="AB416" s="263"/>
      <c r="AC416" s="155"/>
      <c r="AD416" s="155"/>
      <c r="AE416" s="155"/>
      <c r="AF416" s="155"/>
      <c r="AG416" s="155"/>
      <c r="AH416" s="155"/>
      <c r="AI416" s="155"/>
      <c r="AJ416" s="155"/>
      <c r="AK416" s="155"/>
      <c r="AL416" s="155"/>
      <c r="AM416" s="155"/>
      <c r="AN416" s="155"/>
      <c r="AO416" s="155"/>
      <c r="AP416" s="49"/>
      <c r="AQ416" s="49"/>
      <c r="AR416" s="155"/>
      <c r="AS416" s="155"/>
      <c r="AT416" s="155"/>
      <c r="AU416" s="155"/>
      <c r="AV416" s="155"/>
      <c r="AW416" s="155"/>
      <c r="AX416" s="155"/>
      <c r="AY416" s="155"/>
      <c r="AZ416" s="49"/>
      <c r="BA416" s="49"/>
      <c r="BB416" s="49"/>
      <c r="BC416" s="49"/>
      <c r="BD416" s="49"/>
      <c r="BE416" s="49"/>
      <c r="BF416" s="49"/>
      <c r="BG416" s="49"/>
      <c r="BH416" s="49"/>
      <c r="BI416" s="155"/>
      <c r="BJ416" s="155"/>
      <c r="BK416" s="155"/>
      <c r="BL416" s="49"/>
      <c r="BM416" s="49"/>
      <c r="BN416" s="49"/>
      <c r="BO416" s="49"/>
      <c r="BP416" s="49"/>
      <c r="BQ416" s="49"/>
      <c r="BR416" s="49"/>
      <c r="BS416" s="49"/>
      <c r="BT416" s="49"/>
      <c r="BU416" s="49"/>
      <c r="BV416" s="49"/>
      <c r="BW416" s="49"/>
      <c r="BX416" s="49"/>
      <c r="BY416" s="49"/>
      <c r="BZ416" s="49"/>
      <c r="CA416" s="49"/>
      <c r="CB416" s="49"/>
      <c r="CC416" s="49"/>
      <c r="CD416" s="49"/>
      <c r="CE416" s="49"/>
      <c r="CF416" s="49"/>
      <c r="CG416" s="49"/>
      <c r="CH416" s="49"/>
      <c r="CI416" s="49"/>
      <c r="CJ416" s="49"/>
      <c r="CK416" s="49"/>
      <c r="CL416" s="49"/>
      <c r="CM416" s="49"/>
      <c r="CN416" s="49"/>
      <c r="CO416" s="49"/>
      <c r="CP416" s="49"/>
      <c r="CQ416" s="49"/>
      <c r="CR416" s="49"/>
      <c r="CS416" s="49"/>
      <c r="CT416" s="155"/>
      <c r="CU416" s="155"/>
      <c r="CV416" s="155"/>
      <c r="CW416" s="155"/>
      <c r="CX416" s="155"/>
      <c r="CY416" s="155"/>
      <c r="CZ416" s="155"/>
      <c r="DA416" s="155"/>
      <c r="DB416" s="155"/>
      <c r="DC416" s="155"/>
      <c r="DD416" s="155"/>
      <c r="DE416" s="155"/>
      <c r="DF416" s="155"/>
      <c r="DG416" s="155"/>
      <c r="DH416" s="155"/>
      <c r="DI416" s="155"/>
      <c r="DJ416" s="155"/>
      <c r="DK416" s="155"/>
      <c r="DL416" s="155"/>
      <c r="DM416" s="155"/>
      <c r="DN416" s="155"/>
      <c r="DO416" s="155"/>
      <c r="DP416" s="155"/>
      <c r="DQ416" s="155"/>
      <c r="DR416" s="155"/>
      <c r="DS416" s="155"/>
      <c r="DT416" s="155"/>
      <c r="DU416" s="155"/>
      <c r="DV416" s="155"/>
      <c r="DW416" s="155"/>
      <c r="DX416" s="155"/>
    </row>
    <row r="417" spans="1:128" ht="18" customHeight="1">
      <c r="A417" s="155"/>
      <c r="B417" s="155"/>
      <c r="C417" s="155"/>
      <c r="D417" s="155"/>
      <c r="E417" s="49">
        <v>2175</v>
      </c>
      <c r="F417" s="49" t="str">
        <f t="shared" si="49"/>
        <v>646566788887</v>
      </c>
      <c r="G417" s="155"/>
      <c r="H417" s="155"/>
      <c r="I417" s="270"/>
      <c r="J417" s="270"/>
      <c r="K417" s="270"/>
      <c r="L417" s="270"/>
      <c r="M417" s="270"/>
      <c r="N417" s="270"/>
      <c r="O417" s="155"/>
      <c r="P417" s="155"/>
      <c r="Q417" s="155"/>
      <c r="R417" s="155"/>
      <c r="S417" s="155"/>
      <c r="T417" s="155"/>
      <c r="U417" s="158"/>
      <c r="V417" s="155"/>
      <c r="W417" s="155"/>
      <c r="X417" s="263"/>
      <c r="Y417" s="155"/>
      <c r="Z417" s="155"/>
      <c r="AA417" s="263"/>
      <c r="AB417" s="263"/>
      <c r="AC417" s="155"/>
      <c r="AD417" s="155"/>
      <c r="AE417" s="155"/>
      <c r="AF417" s="155"/>
      <c r="AG417" s="155"/>
      <c r="AH417" s="155"/>
      <c r="AI417" s="155"/>
      <c r="AJ417" s="155"/>
      <c r="AK417" s="155"/>
      <c r="AL417" s="155"/>
      <c r="AM417" s="155"/>
      <c r="AN417" s="155"/>
      <c r="AO417" s="155"/>
      <c r="AP417" s="49"/>
      <c r="AQ417" s="49"/>
      <c r="AR417" s="155"/>
      <c r="AS417" s="155"/>
      <c r="AT417" s="155"/>
      <c r="AU417" s="155"/>
      <c r="AV417" s="155"/>
      <c r="AW417" s="155"/>
      <c r="AX417" s="155"/>
      <c r="AY417" s="155"/>
      <c r="AZ417" s="49"/>
      <c r="BA417" s="49"/>
      <c r="BB417" s="49"/>
      <c r="BC417" s="49"/>
      <c r="BD417" s="49"/>
      <c r="BE417" s="49"/>
      <c r="BF417" s="49"/>
      <c r="BG417" s="49"/>
      <c r="BH417" s="49"/>
      <c r="BI417" s="155"/>
      <c r="BJ417" s="155"/>
      <c r="BK417" s="155"/>
      <c r="BL417" s="49"/>
      <c r="BM417" s="49"/>
      <c r="BN417" s="49"/>
      <c r="BO417" s="49"/>
      <c r="BP417" s="49"/>
      <c r="BQ417" s="49"/>
      <c r="BR417" s="49"/>
      <c r="BS417" s="49"/>
      <c r="BT417" s="49"/>
      <c r="BU417" s="49"/>
      <c r="BV417" s="49"/>
      <c r="BW417" s="49"/>
      <c r="BX417" s="49"/>
      <c r="BY417" s="49"/>
      <c r="BZ417" s="49"/>
      <c r="CA417" s="49"/>
      <c r="CB417" s="49"/>
      <c r="CC417" s="49"/>
      <c r="CD417" s="49"/>
      <c r="CE417" s="49"/>
      <c r="CF417" s="49"/>
      <c r="CG417" s="49"/>
      <c r="CH417" s="49"/>
      <c r="CI417" s="49"/>
      <c r="CJ417" s="49"/>
      <c r="CK417" s="49"/>
      <c r="CL417" s="49"/>
      <c r="CM417" s="49"/>
      <c r="CN417" s="49"/>
      <c r="CO417" s="49"/>
      <c r="CP417" s="49"/>
      <c r="CQ417" s="49"/>
      <c r="CR417" s="49"/>
      <c r="CS417" s="49"/>
      <c r="CT417" s="155"/>
      <c r="CU417" s="155"/>
      <c r="CV417" s="155"/>
      <c r="CW417" s="155"/>
      <c r="CX417" s="155"/>
      <c r="CY417" s="155"/>
      <c r="CZ417" s="155"/>
      <c r="DA417" s="155"/>
      <c r="DB417" s="155"/>
      <c r="DC417" s="155"/>
      <c r="DD417" s="155"/>
      <c r="DE417" s="155"/>
      <c r="DF417" s="155"/>
      <c r="DG417" s="155"/>
      <c r="DH417" s="155"/>
      <c r="DI417" s="155"/>
      <c r="DJ417" s="155"/>
      <c r="DK417" s="155"/>
      <c r="DL417" s="155"/>
      <c r="DM417" s="155"/>
      <c r="DN417" s="155"/>
      <c r="DO417" s="155"/>
      <c r="DP417" s="155"/>
      <c r="DQ417" s="155"/>
      <c r="DR417" s="155"/>
      <c r="DS417" s="155"/>
      <c r="DT417" s="155"/>
      <c r="DU417" s="155"/>
      <c r="DV417" s="155"/>
      <c r="DW417" s="155"/>
      <c r="DX417" s="155"/>
    </row>
    <row r="418" spans="1:128" ht="18" customHeight="1">
      <c r="A418" s="155"/>
      <c r="B418" s="155"/>
      <c r="C418" s="155"/>
      <c r="D418" s="155"/>
      <c r="E418" s="49">
        <v>2176</v>
      </c>
      <c r="F418" s="49" t="str">
        <f t="shared" si="49"/>
        <v>546556778877</v>
      </c>
      <c r="G418" s="155"/>
      <c r="H418" s="155"/>
      <c r="I418" s="270"/>
      <c r="J418" s="270"/>
      <c r="K418" s="270"/>
      <c r="L418" s="270"/>
      <c r="M418" s="270"/>
      <c r="N418" s="270"/>
      <c r="O418" s="155"/>
      <c r="P418" s="155"/>
      <c r="Q418" s="155"/>
      <c r="R418" s="155"/>
      <c r="S418" s="155"/>
      <c r="T418" s="155"/>
      <c r="U418" s="158"/>
      <c r="V418" s="155"/>
      <c r="W418" s="155"/>
      <c r="X418" s="263"/>
      <c r="Y418" s="155"/>
      <c r="Z418" s="155"/>
      <c r="AA418" s="263"/>
      <c r="AB418" s="263"/>
      <c r="AC418" s="155"/>
      <c r="AD418" s="155"/>
      <c r="AE418" s="155"/>
      <c r="AF418" s="155"/>
      <c r="AG418" s="155"/>
      <c r="AH418" s="155"/>
      <c r="AI418" s="155"/>
      <c r="AJ418" s="155"/>
      <c r="AK418" s="155"/>
      <c r="AL418" s="155"/>
      <c r="AM418" s="155"/>
      <c r="AN418" s="155"/>
      <c r="AO418" s="155"/>
      <c r="AP418" s="49"/>
      <c r="AQ418" s="49"/>
      <c r="AR418" s="155"/>
      <c r="AS418" s="155"/>
      <c r="AT418" s="155"/>
      <c r="AU418" s="155"/>
      <c r="AV418" s="155"/>
      <c r="AW418" s="155"/>
      <c r="AX418" s="155"/>
      <c r="AY418" s="155"/>
      <c r="AZ418" s="49"/>
      <c r="BA418" s="49"/>
      <c r="BB418" s="49"/>
      <c r="BC418" s="49"/>
      <c r="BD418" s="49"/>
      <c r="BE418" s="49"/>
      <c r="BF418" s="49"/>
      <c r="BG418" s="49"/>
      <c r="BH418" s="49"/>
      <c r="BI418" s="155"/>
      <c r="BJ418" s="155"/>
      <c r="BK418" s="155"/>
      <c r="BL418" s="49"/>
      <c r="BM418" s="49"/>
      <c r="BN418" s="49"/>
      <c r="BO418" s="49"/>
      <c r="BP418" s="49"/>
      <c r="BQ418" s="49"/>
      <c r="BR418" s="49"/>
      <c r="BS418" s="49"/>
      <c r="BT418" s="49"/>
      <c r="BU418" s="49"/>
      <c r="BV418" s="49"/>
      <c r="BW418" s="49"/>
      <c r="BX418" s="49"/>
      <c r="BY418" s="49"/>
      <c r="BZ418" s="49"/>
      <c r="CA418" s="49"/>
      <c r="CB418" s="49"/>
      <c r="CC418" s="49"/>
      <c r="CD418" s="49"/>
      <c r="CE418" s="49"/>
      <c r="CF418" s="49"/>
      <c r="CG418" s="49"/>
      <c r="CH418" s="49"/>
      <c r="CI418" s="49"/>
      <c r="CJ418" s="49"/>
      <c r="CK418" s="49"/>
      <c r="CL418" s="49"/>
      <c r="CM418" s="49"/>
      <c r="CN418" s="49"/>
      <c r="CO418" s="49"/>
      <c r="CP418" s="49"/>
      <c r="CQ418" s="49"/>
      <c r="CR418" s="49"/>
      <c r="CS418" s="49"/>
      <c r="CT418" s="155"/>
      <c r="CU418" s="155"/>
      <c r="CV418" s="155"/>
      <c r="CW418" s="155"/>
      <c r="CX418" s="155"/>
      <c r="CY418" s="155"/>
      <c r="CZ418" s="155"/>
      <c r="DA418" s="155"/>
      <c r="DB418" s="155"/>
      <c r="DC418" s="155"/>
      <c r="DD418" s="155"/>
      <c r="DE418" s="155"/>
      <c r="DF418" s="155"/>
      <c r="DG418" s="155"/>
      <c r="DH418" s="155"/>
      <c r="DI418" s="155"/>
      <c r="DJ418" s="155"/>
      <c r="DK418" s="155"/>
      <c r="DL418" s="155"/>
      <c r="DM418" s="155"/>
      <c r="DN418" s="155"/>
      <c r="DO418" s="155"/>
      <c r="DP418" s="155"/>
      <c r="DQ418" s="155"/>
      <c r="DR418" s="155"/>
      <c r="DS418" s="155"/>
      <c r="DT418" s="155"/>
      <c r="DU418" s="155"/>
      <c r="DV418" s="155"/>
      <c r="DW418" s="155"/>
      <c r="DX418" s="155"/>
    </row>
    <row r="419" spans="1:128" ht="18" customHeight="1">
      <c r="A419" s="155"/>
      <c r="B419" s="155"/>
      <c r="C419" s="155"/>
      <c r="D419" s="155"/>
      <c r="E419" s="49">
        <v>2177</v>
      </c>
      <c r="F419" s="49" t="str">
        <f t="shared" si="49"/>
        <v>546556778877</v>
      </c>
      <c r="G419" s="155"/>
      <c r="H419" s="155"/>
      <c r="I419" s="270"/>
      <c r="J419" s="270"/>
      <c r="K419" s="270"/>
      <c r="L419" s="270"/>
      <c r="M419" s="270"/>
      <c r="N419" s="270"/>
      <c r="O419" s="155"/>
      <c r="P419" s="155"/>
      <c r="Q419" s="155"/>
      <c r="R419" s="155"/>
      <c r="S419" s="155"/>
      <c r="T419" s="155"/>
      <c r="U419" s="158"/>
      <c r="V419" s="155"/>
      <c r="W419" s="155"/>
      <c r="X419" s="263"/>
      <c r="Y419" s="155"/>
      <c r="Z419" s="155"/>
      <c r="AA419" s="263"/>
      <c r="AB419" s="263"/>
      <c r="AC419" s="155"/>
      <c r="AD419" s="155"/>
      <c r="AE419" s="155"/>
      <c r="AF419" s="155"/>
      <c r="AG419" s="155"/>
      <c r="AH419" s="155"/>
      <c r="AI419" s="155"/>
      <c r="AJ419" s="155"/>
      <c r="AK419" s="155"/>
      <c r="AL419" s="155"/>
      <c r="AM419" s="155"/>
      <c r="AN419" s="155"/>
      <c r="AO419" s="155"/>
      <c r="AP419" s="49"/>
      <c r="AQ419" s="49"/>
      <c r="AR419" s="155"/>
      <c r="AS419" s="155"/>
      <c r="AT419" s="155"/>
      <c r="AU419" s="155"/>
      <c r="AV419" s="155"/>
      <c r="AW419" s="155"/>
      <c r="AX419" s="155"/>
      <c r="AY419" s="155"/>
      <c r="AZ419" s="49"/>
      <c r="BA419" s="49"/>
      <c r="BB419" s="49"/>
      <c r="BC419" s="49"/>
      <c r="BD419" s="49"/>
      <c r="BE419" s="49"/>
      <c r="BF419" s="49"/>
      <c r="BG419" s="49"/>
      <c r="BH419" s="49"/>
      <c r="BI419" s="155"/>
      <c r="BJ419" s="155"/>
      <c r="BK419" s="155"/>
      <c r="BL419" s="49"/>
      <c r="BM419" s="49"/>
      <c r="BN419" s="49"/>
      <c r="BO419" s="49"/>
      <c r="BP419" s="49"/>
      <c r="BQ419" s="49"/>
      <c r="BR419" s="49"/>
      <c r="BS419" s="49"/>
      <c r="BT419" s="49"/>
      <c r="BU419" s="49"/>
      <c r="BV419" s="49"/>
      <c r="BW419" s="49"/>
      <c r="BX419" s="49"/>
      <c r="BY419" s="49"/>
      <c r="BZ419" s="49"/>
      <c r="CA419" s="49"/>
      <c r="CB419" s="49"/>
      <c r="CC419" s="49"/>
      <c r="CD419" s="49"/>
      <c r="CE419" s="49"/>
      <c r="CF419" s="49"/>
      <c r="CG419" s="49"/>
      <c r="CH419" s="49"/>
      <c r="CI419" s="49"/>
      <c r="CJ419" s="49"/>
      <c r="CK419" s="49"/>
      <c r="CL419" s="49"/>
      <c r="CM419" s="49"/>
      <c r="CN419" s="49"/>
      <c r="CO419" s="49"/>
      <c r="CP419" s="49"/>
      <c r="CQ419" s="49"/>
      <c r="CR419" s="49"/>
      <c r="CS419" s="49"/>
      <c r="CT419" s="155"/>
      <c r="CU419" s="155"/>
      <c r="CV419" s="155"/>
      <c r="CW419" s="155"/>
      <c r="CX419" s="155"/>
      <c r="CY419" s="155"/>
      <c r="CZ419" s="155"/>
      <c r="DA419" s="155"/>
      <c r="DB419" s="155"/>
      <c r="DC419" s="155"/>
      <c r="DD419" s="155"/>
      <c r="DE419" s="155"/>
      <c r="DF419" s="155"/>
      <c r="DG419" s="155"/>
      <c r="DH419" s="155"/>
      <c r="DI419" s="155"/>
      <c r="DJ419" s="155"/>
      <c r="DK419" s="155"/>
      <c r="DL419" s="155"/>
      <c r="DM419" s="155"/>
      <c r="DN419" s="155"/>
      <c r="DO419" s="155"/>
      <c r="DP419" s="155"/>
      <c r="DQ419" s="155"/>
      <c r="DR419" s="155"/>
      <c r="DS419" s="155"/>
      <c r="DT419" s="155"/>
      <c r="DU419" s="155"/>
      <c r="DV419" s="155"/>
      <c r="DW419" s="155"/>
      <c r="DX419" s="155"/>
    </row>
    <row r="420" spans="1:128" ht="18" customHeight="1">
      <c r="A420" s="155"/>
      <c r="B420" s="155"/>
      <c r="C420" s="155"/>
      <c r="D420" s="155"/>
      <c r="E420" s="49">
        <v>2178</v>
      </c>
      <c r="F420" s="49" t="str">
        <f t="shared" si="49"/>
        <v>546556778877</v>
      </c>
      <c r="G420" s="155"/>
      <c r="H420" s="155"/>
      <c r="I420" s="270"/>
      <c r="J420" s="270"/>
      <c r="K420" s="270"/>
      <c r="L420" s="270"/>
      <c r="M420" s="270"/>
      <c r="N420" s="270"/>
      <c r="O420" s="155"/>
      <c r="P420" s="155"/>
      <c r="Q420" s="155"/>
      <c r="R420" s="155"/>
      <c r="S420" s="155"/>
      <c r="T420" s="155"/>
      <c r="U420" s="158"/>
      <c r="V420" s="155"/>
      <c r="W420" s="155"/>
      <c r="X420" s="263"/>
      <c r="Y420" s="155"/>
      <c r="Z420" s="155"/>
      <c r="AA420" s="263"/>
      <c r="AB420" s="263"/>
      <c r="AC420" s="155"/>
      <c r="AD420" s="155"/>
      <c r="AE420" s="155"/>
      <c r="AF420" s="155"/>
      <c r="AG420" s="155"/>
      <c r="AH420" s="155"/>
      <c r="AI420" s="155"/>
      <c r="AJ420" s="155"/>
      <c r="AK420" s="155"/>
      <c r="AL420" s="155"/>
      <c r="AM420" s="155"/>
      <c r="AN420" s="155"/>
      <c r="AO420" s="155"/>
      <c r="AP420" s="49"/>
      <c r="AQ420" s="49"/>
      <c r="AR420" s="155"/>
      <c r="AS420" s="155"/>
      <c r="AT420" s="155"/>
      <c r="AU420" s="155"/>
      <c r="AV420" s="155"/>
      <c r="AW420" s="155"/>
      <c r="AX420" s="155"/>
      <c r="AY420" s="155"/>
      <c r="AZ420" s="49"/>
      <c r="BA420" s="49"/>
      <c r="BB420" s="49"/>
      <c r="BC420" s="49"/>
      <c r="BD420" s="49"/>
      <c r="BE420" s="49"/>
      <c r="BF420" s="49"/>
      <c r="BG420" s="49"/>
      <c r="BH420" s="49"/>
      <c r="BI420" s="155"/>
      <c r="BJ420" s="155"/>
      <c r="BK420" s="155"/>
      <c r="BL420" s="49"/>
      <c r="BM420" s="49"/>
      <c r="BN420" s="49"/>
      <c r="BO420" s="49"/>
      <c r="BP420" s="49"/>
      <c r="BQ420" s="49"/>
      <c r="BR420" s="49"/>
      <c r="BS420" s="49"/>
      <c r="BT420" s="49"/>
      <c r="BU420" s="49"/>
      <c r="BV420" s="49"/>
      <c r="BW420" s="49"/>
      <c r="BX420" s="49"/>
      <c r="BY420" s="49"/>
      <c r="BZ420" s="49"/>
      <c r="CA420" s="49"/>
      <c r="CB420" s="49"/>
      <c r="CC420" s="49"/>
      <c r="CD420" s="49"/>
      <c r="CE420" s="49"/>
      <c r="CF420" s="49"/>
      <c r="CG420" s="49"/>
      <c r="CH420" s="49"/>
      <c r="CI420" s="49"/>
      <c r="CJ420" s="49"/>
      <c r="CK420" s="49"/>
      <c r="CL420" s="49"/>
      <c r="CM420" s="49"/>
      <c r="CN420" s="49"/>
      <c r="CO420" s="49"/>
      <c r="CP420" s="49"/>
      <c r="CQ420" s="49"/>
      <c r="CR420" s="49"/>
      <c r="CS420" s="49"/>
      <c r="CT420" s="155"/>
      <c r="CU420" s="155"/>
      <c r="CV420" s="155"/>
      <c r="CW420" s="155"/>
      <c r="CX420" s="155"/>
      <c r="CY420" s="155"/>
      <c r="CZ420" s="155"/>
      <c r="DA420" s="155"/>
      <c r="DB420" s="155"/>
      <c r="DC420" s="155"/>
      <c r="DD420" s="155"/>
      <c r="DE420" s="155"/>
      <c r="DF420" s="155"/>
      <c r="DG420" s="155"/>
      <c r="DH420" s="155"/>
      <c r="DI420" s="155"/>
      <c r="DJ420" s="155"/>
      <c r="DK420" s="155"/>
      <c r="DL420" s="155"/>
      <c r="DM420" s="155"/>
      <c r="DN420" s="155"/>
      <c r="DO420" s="155"/>
      <c r="DP420" s="155"/>
      <c r="DQ420" s="155"/>
      <c r="DR420" s="155"/>
      <c r="DS420" s="155"/>
      <c r="DT420" s="155"/>
      <c r="DU420" s="155"/>
      <c r="DV420" s="155"/>
      <c r="DW420" s="155"/>
      <c r="DX420" s="155"/>
    </row>
    <row r="421" spans="1:128" ht="18" customHeight="1">
      <c r="A421" s="155"/>
      <c r="B421" s="155"/>
      <c r="C421" s="155"/>
      <c r="D421" s="155"/>
      <c r="E421" s="49">
        <v>2179</v>
      </c>
      <c r="F421" s="49" t="str">
        <f t="shared" si="49"/>
        <v>646566788887</v>
      </c>
      <c r="G421" s="155"/>
      <c r="H421" s="155"/>
      <c r="I421" s="270"/>
      <c r="J421" s="270"/>
      <c r="K421" s="270"/>
      <c r="L421" s="270"/>
      <c r="M421" s="270"/>
      <c r="N421" s="270"/>
      <c r="O421" s="155"/>
      <c r="P421" s="155"/>
      <c r="Q421" s="155"/>
      <c r="R421" s="155"/>
      <c r="S421" s="155"/>
      <c r="T421" s="155"/>
      <c r="U421" s="158"/>
      <c r="V421" s="155"/>
      <c r="W421" s="155"/>
      <c r="X421" s="263"/>
      <c r="Y421" s="155"/>
      <c r="Z421" s="155"/>
      <c r="AA421" s="263"/>
      <c r="AB421" s="263"/>
      <c r="AC421" s="155"/>
      <c r="AD421" s="155"/>
      <c r="AE421" s="155"/>
      <c r="AF421" s="155"/>
      <c r="AG421" s="155"/>
      <c r="AH421" s="155"/>
      <c r="AI421" s="155"/>
      <c r="AJ421" s="155"/>
      <c r="AK421" s="155"/>
      <c r="AL421" s="155"/>
      <c r="AM421" s="155"/>
      <c r="AN421" s="155"/>
      <c r="AO421" s="155"/>
      <c r="AP421" s="49"/>
      <c r="AQ421" s="49"/>
      <c r="AR421" s="155"/>
      <c r="AS421" s="155"/>
      <c r="AT421" s="155"/>
      <c r="AU421" s="155"/>
      <c r="AV421" s="155"/>
      <c r="AW421" s="155"/>
      <c r="AX421" s="155"/>
      <c r="AY421" s="155"/>
      <c r="AZ421" s="49"/>
      <c r="BA421" s="49"/>
      <c r="BB421" s="49"/>
      <c r="BC421" s="49"/>
      <c r="BD421" s="49"/>
      <c r="BE421" s="49"/>
      <c r="BF421" s="49"/>
      <c r="BG421" s="49"/>
      <c r="BH421" s="49"/>
      <c r="BI421" s="155"/>
      <c r="BJ421" s="155"/>
      <c r="BK421" s="155"/>
      <c r="BL421" s="49"/>
      <c r="BM421" s="49"/>
      <c r="BN421" s="49"/>
      <c r="BO421" s="49"/>
      <c r="BP421" s="49"/>
      <c r="BQ421" s="49"/>
      <c r="BR421" s="49"/>
      <c r="BS421" s="49"/>
      <c r="BT421" s="49"/>
      <c r="BU421" s="49"/>
      <c r="BV421" s="49"/>
      <c r="BW421" s="49"/>
      <c r="BX421" s="49"/>
      <c r="BY421" s="49"/>
      <c r="BZ421" s="49"/>
      <c r="CA421" s="49"/>
      <c r="CB421" s="49"/>
      <c r="CC421" s="49"/>
      <c r="CD421" s="49"/>
      <c r="CE421" s="49"/>
      <c r="CF421" s="49"/>
      <c r="CG421" s="49"/>
      <c r="CH421" s="49"/>
      <c r="CI421" s="49"/>
      <c r="CJ421" s="49"/>
      <c r="CK421" s="49"/>
      <c r="CL421" s="49"/>
      <c r="CM421" s="49"/>
      <c r="CN421" s="49"/>
      <c r="CO421" s="49"/>
      <c r="CP421" s="49"/>
      <c r="CQ421" s="49"/>
      <c r="CR421" s="49"/>
      <c r="CS421" s="49"/>
      <c r="CT421" s="155"/>
      <c r="CU421" s="155"/>
      <c r="CV421" s="155"/>
      <c r="CW421" s="155"/>
      <c r="CX421" s="155"/>
      <c r="CY421" s="155"/>
      <c r="CZ421" s="155"/>
      <c r="DA421" s="155"/>
      <c r="DB421" s="155"/>
      <c r="DC421" s="155"/>
      <c r="DD421" s="155"/>
      <c r="DE421" s="155"/>
      <c r="DF421" s="155"/>
      <c r="DG421" s="155"/>
      <c r="DH421" s="155"/>
      <c r="DI421" s="155"/>
      <c r="DJ421" s="155"/>
      <c r="DK421" s="155"/>
      <c r="DL421" s="155"/>
      <c r="DM421" s="155"/>
      <c r="DN421" s="155"/>
      <c r="DO421" s="155"/>
      <c r="DP421" s="155"/>
      <c r="DQ421" s="155"/>
      <c r="DR421" s="155"/>
      <c r="DS421" s="155"/>
      <c r="DT421" s="155"/>
      <c r="DU421" s="155"/>
      <c r="DV421" s="155"/>
      <c r="DW421" s="155"/>
      <c r="DX421" s="155"/>
    </row>
    <row r="422" spans="1:128" ht="18" customHeight="1">
      <c r="A422" s="155"/>
      <c r="B422" s="155"/>
      <c r="C422" s="155"/>
      <c r="D422" s="155"/>
      <c r="E422" s="49">
        <v>2180</v>
      </c>
      <c r="F422" s="49" t="str">
        <f t="shared" si="49"/>
        <v>546556778877</v>
      </c>
      <c r="G422" s="155"/>
      <c r="H422" s="155"/>
      <c r="I422" s="270"/>
      <c r="J422" s="270"/>
      <c r="K422" s="270"/>
      <c r="L422" s="270"/>
      <c r="M422" s="270"/>
      <c r="N422" s="270"/>
      <c r="O422" s="155"/>
      <c r="P422" s="155"/>
      <c r="Q422" s="155"/>
      <c r="R422" s="155"/>
      <c r="S422" s="155"/>
      <c r="T422" s="155"/>
      <c r="U422" s="158"/>
      <c r="V422" s="155"/>
      <c r="W422" s="155"/>
      <c r="X422" s="263"/>
      <c r="Y422" s="155"/>
      <c r="Z422" s="155"/>
      <c r="AA422" s="263"/>
      <c r="AB422" s="263"/>
      <c r="AC422" s="155"/>
      <c r="AD422" s="155"/>
      <c r="AE422" s="155"/>
      <c r="AF422" s="155"/>
      <c r="AG422" s="155"/>
      <c r="AH422" s="155"/>
      <c r="AI422" s="155"/>
      <c r="AJ422" s="155"/>
      <c r="AK422" s="155"/>
      <c r="AL422" s="155"/>
      <c r="AM422" s="155"/>
      <c r="AN422" s="155"/>
      <c r="AO422" s="155"/>
      <c r="AP422" s="49"/>
      <c r="AQ422" s="49"/>
      <c r="AR422" s="155"/>
      <c r="AS422" s="155"/>
      <c r="AT422" s="155"/>
      <c r="AU422" s="155"/>
      <c r="AV422" s="155"/>
      <c r="AW422" s="155"/>
      <c r="AX422" s="155"/>
      <c r="AY422" s="155"/>
      <c r="AZ422" s="49"/>
      <c r="BA422" s="49"/>
      <c r="BB422" s="49"/>
      <c r="BC422" s="49"/>
      <c r="BD422" s="49"/>
      <c r="BE422" s="49"/>
      <c r="BF422" s="49"/>
      <c r="BG422" s="49"/>
      <c r="BH422" s="49"/>
      <c r="BI422" s="155"/>
      <c r="BJ422" s="155"/>
      <c r="BK422" s="155"/>
      <c r="BL422" s="49"/>
      <c r="BM422" s="49"/>
      <c r="BN422" s="49"/>
      <c r="BO422" s="49"/>
      <c r="BP422" s="49"/>
      <c r="BQ422" s="49"/>
      <c r="BR422" s="49"/>
      <c r="BS422" s="49"/>
      <c r="BT422" s="49"/>
      <c r="BU422" s="49"/>
      <c r="BV422" s="49"/>
      <c r="BW422" s="49"/>
      <c r="BX422" s="49"/>
      <c r="BY422" s="49"/>
      <c r="BZ422" s="49"/>
      <c r="CA422" s="49"/>
      <c r="CB422" s="49"/>
      <c r="CC422" s="49"/>
      <c r="CD422" s="49"/>
      <c r="CE422" s="49"/>
      <c r="CF422" s="49"/>
      <c r="CG422" s="49"/>
      <c r="CH422" s="49"/>
      <c r="CI422" s="49"/>
      <c r="CJ422" s="49"/>
      <c r="CK422" s="49"/>
      <c r="CL422" s="49"/>
      <c r="CM422" s="49"/>
      <c r="CN422" s="49"/>
      <c r="CO422" s="49"/>
      <c r="CP422" s="49"/>
      <c r="CQ422" s="49"/>
      <c r="CR422" s="49"/>
      <c r="CS422" s="49"/>
      <c r="CT422" s="155"/>
      <c r="CU422" s="155"/>
      <c r="CV422" s="155"/>
      <c r="CW422" s="155"/>
      <c r="CX422" s="155"/>
      <c r="CY422" s="155"/>
      <c r="CZ422" s="155"/>
      <c r="DA422" s="155"/>
      <c r="DB422" s="155"/>
      <c r="DC422" s="155"/>
      <c r="DD422" s="155"/>
      <c r="DE422" s="155"/>
      <c r="DF422" s="155"/>
      <c r="DG422" s="155"/>
      <c r="DH422" s="155"/>
      <c r="DI422" s="155"/>
      <c r="DJ422" s="155"/>
      <c r="DK422" s="155"/>
      <c r="DL422" s="155"/>
      <c r="DM422" s="155"/>
      <c r="DN422" s="155"/>
      <c r="DO422" s="155"/>
      <c r="DP422" s="155"/>
      <c r="DQ422" s="155"/>
      <c r="DR422" s="155"/>
      <c r="DS422" s="155"/>
      <c r="DT422" s="155"/>
      <c r="DU422" s="155"/>
      <c r="DV422" s="155"/>
      <c r="DW422" s="155"/>
      <c r="DX422" s="155"/>
    </row>
    <row r="423" spans="1:128" ht="18" customHeight="1">
      <c r="A423" s="155"/>
      <c r="B423" s="155"/>
      <c r="C423" s="155"/>
      <c r="D423" s="155"/>
      <c r="E423" s="49">
        <v>2181</v>
      </c>
      <c r="F423" s="49" t="str">
        <f t="shared" si="49"/>
        <v>546556778877</v>
      </c>
      <c r="G423" s="155"/>
      <c r="H423" s="155"/>
      <c r="I423" s="270"/>
      <c r="J423" s="270"/>
      <c r="K423" s="270"/>
      <c r="L423" s="270"/>
      <c r="M423" s="270"/>
      <c r="N423" s="270"/>
      <c r="O423" s="155"/>
      <c r="P423" s="155"/>
      <c r="Q423" s="155"/>
      <c r="R423" s="155"/>
      <c r="S423" s="155"/>
      <c r="T423" s="155"/>
      <c r="U423" s="158"/>
      <c r="V423" s="155"/>
      <c r="W423" s="155"/>
      <c r="X423" s="263"/>
      <c r="Y423" s="155"/>
      <c r="Z423" s="155"/>
      <c r="AA423" s="263"/>
      <c r="AB423" s="263"/>
      <c r="AC423" s="155"/>
      <c r="AD423" s="155"/>
      <c r="AE423" s="155"/>
      <c r="AF423" s="155"/>
      <c r="AG423" s="155"/>
      <c r="AH423" s="155"/>
      <c r="AI423" s="155"/>
      <c r="AJ423" s="155"/>
      <c r="AK423" s="155"/>
      <c r="AL423" s="155"/>
      <c r="AM423" s="155"/>
      <c r="AN423" s="155"/>
      <c r="AO423" s="155"/>
      <c r="AP423" s="49"/>
      <c r="AQ423" s="49"/>
      <c r="AR423" s="155"/>
      <c r="AS423" s="155"/>
      <c r="AT423" s="155"/>
      <c r="AU423" s="155"/>
      <c r="AV423" s="155"/>
      <c r="AW423" s="155"/>
      <c r="AX423" s="155"/>
      <c r="AY423" s="155"/>
      <c r="AZ423" s="49"/>
      <c r="BA423" s="49"/>
      <c r="BB423" s="49"/>
      <c r="BC423" s="49"/>
      <c r="BD423" s="49"/>
      <c r="BE423" s="49"/>
      <c r="BF423" s="49"/>
      <c r="BG423" s="49"/>
      <c r="BH423" s="49"/>
      <c r="BI423" s="155"/>
      <c r="BJ423" s="155"/>
      <c r="BK423" s="155"/>
      <c r="BL423" s="49"/>
      <c r="BM423" s="49"/>
      <c r="BN423" s="49"/>
      <c r="BO423" s="49"/>
      <c r="BP423" s="49"/>
      <c r="BQ423" s="49"/>
      <c r="BR423" s="49"/>
      <c r="BS423" s="49"/>
      <c r="BT423" s="49"/>
      <c r="BU423" s="49"/>
      <c r="BV423" s="49"/>
      <c r="BW423" s="49"/>
      <c r="BX423" s="49"/>
      <c r="BY423" s="49"/>
      <c r="BZ423" s="49"/>
      <c r="CA423" s="49"/>
      <c r="CB423" s="49"/>
      <c r="CC423" s="49"/>
      <c r="CD423" s="49"/>
      <c r="CE423" s="49"/>
      <c r="CF423" s="49"/>
      <c r="CG423" s="49"/>
      <c r="CH423" s="49"/>
      <c r="CI423" s="49"/>
      <c r="CJ423" s="49"/>
      <c r="CK423" s="49"/>
      <c r="CL423" s="49"/>
      <c r="CM423" s="49"/>
      <c r="CN423" s="49"/>
      <c r="CO423" s="49"/>
      <c r="CP423" s="49"/>
      <c r="CQ423" s="49"/>
      <c r="CR423" s="49"/>
      <c r="CS423" s="49"/>
      <c r="CT423" s="155"/>
      <c r="CU423" s="155"/>
      <c r="CV423" s="155"/>
      <c r="CW423" s="155"/>
      <c r="CX423" s="155"/>
      <c r="CY423" s="155"/>
      <c r="CZ423" s="155"/>
      <c r="DA423" s="155"/>
      <c r="DB423" s="155"/>
      <c r="DC423" s="155"/>
      <c r="DD423" s="155"/>
      <c r="DE423" s="155"/>
      <c r="DF423" s="155"/>
      <c r="DG423" s="155"/>
      <c r="DH423" s="155"/>
      <c r="DI423" s="155"/>
      <c r="DJ423" s="155"/>
      <c r="DK423" s="155"/>
      <c r="DL423" s="155"/>
      <c r="DM423" s="155"/>
      <c r="DN423" s="155"/>
      <c r="DO423" s="155"/>
      <c r="DP423" s="155"/>
      <c r="DQ423" s="155"/>
      <c r="DR423" s="155"/>
      <c r="DS423" s="155"/>
      <c r="DT423" s="155"/>
      <c r="DU423" s="155"/>
      <c r="DV423" s="155"/>
      <c r="DW423" s="155"/>
      <c r="DX423" s="155"/>
    </row>
    <row r="424" spans="1:128" ht="18" customHeight="1">
      <c r="A424" s="155"/>
      <c r="B424" s="155"/>
      <c r="C424" s="155"/>
      <c r="D424" s="155"/>
      <c r="E424" s="49">
        <v>2182</v>
      </c>
      <c r="F424" s="49" t="str">
        <f t="shared" si="49"/>
        <v>546556778877</v>
      </c>
      <c r="G424" s="155"/>
      <c r="H424" s="155"/>
      <c r="I424" s="270"/>
      <c r="J424" s="270"/>
      <c r="K424" s="270"/>
      <c r="L424" s="270"/>
      <c r="M424" s="270"/>
      <c r="N424" s="270"/>
      <c r="O424" s="155"/>
      <c r="P424" s="155"/>
      <c r="Q424" s="155"/>
      <c r="R424" s="155"/>
      <c r="S424" s="155"/>
      <c r="T424" s="155"/>
      <c r="U424" s="158"/>
      <c r="V424" s="155"/>
      <c r="W424" s="155"/>
      <c r="X424" s="263"/>
      <c r="Y424" s="155"/>
      <c r="Z424" s="155"/>
      <c r="AA424" s="263"/>
      <c r="AB424" s="263"/>
      <c r="AC424" s="155"/>
      <c r="AD424" s="155"/>
      <c r="AE424" s="155"/>
      <c r="AF424" s="155"/>
      <c r="AG424" s="155"/>
      <c r="AH424" s="155"/>
      <c r="AI424" s="155"/>
      <c r="AJ424" s="155"/>
      <c r="AK424" s="155"/>
      <c r="AL424" s="155"/>
      <c r="AM424" s="155"/>
      <c r="AN424" s="155"/>
      <c r="AO424" s="155"/>
      <c r="AP424" s="49"/>
      <c r="AQ424" s="49"/>
      <c r="AR424" s="155"/>
      <c r="AS424" s="155"/>
      <c r="AT424" s="155"/>
      <c r="AU424" s="155"/>
      <c r="AV424" s="155"/>
      <c r="AW424" s="155"/>
      <c r="AX424" s="155"/>
      <c r="AY424" s="155"/>
      <c r="AZ424" s="49"/>
      <c r="BA424" s="49"/>
      <c r="BB424" s="49"/>
      <c r="BC424" s="49"/>
      <c r="BD424" s="49"/>
      <c r="BE424" s="49"/>
      <c r="BF424" s="49"/>
      <c r="BG424" s="49"/>
      <c r="BH424" s="49"/>
      <c r="BI424" s="155"/>
      <c r="BJ424" s="155"/>
      <c r="BK424" s="155"/>
      <c r="BL424" s="49"/>
      <c r="BM424" s="49"/>
      <c r="BN424" s="49"/>
      <c r="BO424" s="49"/>
      <c r="BP424" s="49"/>
      <c r="BQ424" s="49"/>
      <c r="BR424" s="49"/>
      <c r="BS424" s="49"/>
      <c r="BT424" s="49"/>
      <c r="BU424" s="49"/>
      <c r="BV424" s="49"/>
      <c r="BW424" s="49"/>
      <c r="BX424" s="49"/>
      <c r="BY424" s="49"/>
      <c r="BZ424" s="49"/>
      <c r="CA424" s="49"/>
      <c r="CB424" s="49"/>
      <c r="CC424" s="49"/>
      <c r="CD424" s="49"/>
      <c r="CE424" s="49"/>
      <c r="CF424" s="49"/>
      <c r="CG424" s="49"/>
      <c r="CH424" s="49"/>
      <c r="CI424" s="49"/>
      <c r="CJ424" s="49"/>
      <c r="CK424" s="49"/>
      <c r="CL424" s="49"/>
      <c r="CM424" s="49"/>
      <c r="CN424" s="49"/>
      <c r="CO424" s="49"/>
      <c r="CP424" s="49"/>
      <c r="CQ424" s="49"/>
      <c r="CR424" s="49"/>
      <c r="CS424" s="49"/>
      <c r="CT424" s="155"/>
      <c r="CU424" s="155"/>
      <c r="CV424" s="155"/>
      <c r="CW424" s="155"/>
      <c r="CX424" s="155"/>
      <c r="CY424" s="155"/>
      <c r="CZ424" s="155"/>
      <c r="DA424" s="155"/>
      <c r="DB424" s="155"/>
      <c r="DC424" s="155"/>
      <c r="DD424" s="155"/>
      <c r="DE424" s="155"/>
      <c r="DF424" s="155"/>
      <c r="DG424" s="155"/>
      <c r="DH424" s="155"/>
      <c r="DI424" s="155"/>
      <c r="DJ424" s="155"/>
      <c r="DK424" s="155"/>
      <c r="DL424" s="155"/>
      <c r="DM424" s="155"/>
      <c r="DN424" s="155"/>
      <c r="DO424" s="155"/>
      <c r="DP424" s="155"/>
      <c r="DQ424" s="155"/>
      <c r="DR424" s="155"/>
      <c r="DS424" s="155"/>
      <c r="DT424" s="155"/>
      <c r="DU424" s="155"/>
      <c r="DV424" s="155"/>
      <c r="DW424" s="155"/>
      <c r="DX424" s="155"/>
    </row>
    <row r="425" spans="1:128" ht="18" customHeight="1">
      <c r="A425" s="155"/>
      <c r="B425" s="155"/>
      <c r="C425" s="155"/>
      <c r="D425" s="155"/>
      <c r="E425" s="49">
        <v>2183</v>
      </c>
      <c r="F425" s="49" t="str">
        <f t="shared" si="49"/>
        <v>646566788887</v>
      </c>
      <c r="G425" s="155"/>
      <c r="H425" s="155"/>
      <c r="I425" s="270"/>
      <c r="J425" s="270"/>
      <c r="K425" s="270"/>
      <c r="L425" s="270"/>
      <c r="M425" s="270"/>
      <c r="N425" s="270"/>
      <c r="O425" s="155"/>
      <c r="P425" s="155"/>
      <c r="Q425" s="155"/>
      <c r="R425" s="155"/>
      <c r="S425" s="155"/>
      <c r="T425" s="155"/>
      <c r="U425" s="158"/>
      <c r="V425" s="155"/>
      <c r="W425" s="155"/>
      <c r="X425" s="263"/>
      <c r="Y425" s="155"/>
      <c r="Z425" s="155"/>
      <c r="AA425" s="263"/>
      <c r="AB425" s="263"/>
      <c r="AC425" s="155"/>
      <c r="AD425" s="155"/>
      <c r="AE425" s="155"/>
      <c r="AF425" s="155"/>
      <c r="AG425" s="155"/>
      <c r="AH425" s="155"/>
      <c r="AI425" s="155"/>
      <c r="AJ425" s="155"/>
      <c r="AK425" s="155"/>
      <c r="AL425" s="155"/>
      <c r="AM425" s="155"/>
      <c r="AN425" s="155"/>
      <c r="AO425" s="155"/>
      <c r="AP425" s="49"/>
      <c r="AQ425" s="49"/>
      <c r="AR425" s="155"/>
      <c r="AS425" s="155"/>
      <c r="AT425" s="155"/>
      <c r="AU425" s="155"/>
      <c r="AV425" s="155"/>
      <c r="AW425" s="155"/>
      <c r="AX425" s="155"/>
      <c r="AY425" s="155"/>
      <c r="AZ425" s="49"/>
      <c r="BA425" s="49"/>
      <c r="BB425" s="49"/>
      <c r="BC425" s="49"/>
      <c r="BD425" s="49"/>
      <c r="BE425" s="49"/>
      <c r="BF425" s="49"/>
      <c r="BG425" s="49"/>
      <c r="BH425" s="49"/>
      <c r="BI425" s="155"/>
      <c r="BJ425" s="155"/>
      <c r="BK425" s="155"/>
      <c r="BL425" s="49"/>
      <c r="BM425" s="49"/>
      <c r="BN425" s="49"/>
      <c r="BO425" s="49"/>
      <c r="BP425" s="49"/>
      <c r="BQ425" s="49"/>
      <c r="BR425" s="49"/>
      <c r="BS425" s="49"/>
      <c r="BT425" s="49"/>
      <c r="BU425" s="49"/>
      <c r="BV425" s="49"/>
      <c r="BW425" s="49"/>
      <c r="BX425" s="49"/>
      <c r="BY425" s="49"/>
      <c r="BZ425" s="49"/>
      <c r="CA425" s="49"/>
      <c r="CB425" s="49"/>
      <c r="CC425" s="49"/>
      <c r="CD425" s="49"/>
      <c r="CE425" s="49"/>
      <c r="CF425" s="49"/>
      <c r="CG425" s="49"/>
      <c r="CH425" s="49"/>
      <c r="CI425" s="49"/>
      <c r="CJ425" s="49"/>
      <c r="CK425" s="49"/>
      <c r="CL425" s="49"/>
      <c r="CM425" s="49"/>
      <c r="CN425" s="49"/>
      <c r="CO425" s="49"/>
      <c r="CP425" s="49"/>
      <c r="CQ425" s="49"/>
      <c r="CR425" s="49"/>
      <c r="CS425" s="49"/>
      <c r="CT425" s="155"/>
      <c r="CU425" s="155"/>
      <c r="CV425" s="155"/>
      <c r="CW425" s="155"/>
      <c r="CX425" s="155"/>
      <c r="CY425" s="155"/>
      <c r="CZ425" s="155"/>
      <c r="DA425" s="155"/>
      <c r="DB425" s="155"/>
      <c r="DC425" s="155"/>
      <c r="DD425" s="155"/>
      <c r="DE425" s="155"/>
      <c r="DF425" s="155"/>
      <c r="DG425" s="155"/>
      <c r="DH425" s="155"/>
      <c r="DI425" s="155"/>
      <c r="DJ425" s="155"/>
      <c r="DK425" s="155"/>
      <c r="DL425" s="155"/>
      <c r="DM425" s="155"/>
      <c r="DN425" s="155"/>
      <c r="DO425" s="155"/>
      <c r="DP425" s="155"/>
      <c r="DQ425" s="155"/>
      <c r="DR425" s="155"/>
      <c r="DS425" s="155"/>
      <c r="DT425" s="155"/>
      <c r="DU425" s="155"/>
      <c r="DV425" s="155"/>
      <c r="DW425" s="155"/>
      <c r="DX425" s="155"/>
    </row>
    <row r="426" spans="1:128" ht="18" customHeight="1">
      <c r="A426" s="155"/>
      <c r="B426" s="155"/>
      <c r="C426" s="155"/>
      <c r="D426" s="155"/>
      <c r="E426" s="49">
        <v>2184</v>
      </c>
      <c r="F426" s="49" t="str">
        <f t="shared" si="49"/>
        <v>546556778877</v>
      </c>
      <c r="G426" s="155"/>
      <c r="H426" s="155"/>
      <c r="I426" s="270"/>
      <c r="J426" s="270"/>
      <c r="K426" s="270"/>
      <c r="L426" s="270"/>
      <c r="M426" s="270"/>
      <c r="N426" s="270"/>
      <c r="O426" s="155"/>
      <c r="P426" s="155"/>
      <c r="Q426" s="155"/>
      <c r="R426" s="155"/>
      <c r="S426" s="155"/>
      <c r="T426" s="155"/>
      <c r="U426" s="158"/>
      <c r="V426" s="155"/>
      <c r="W426" s="155"/>
      <c r="X426" s="263"/>
      <c r="Y426" s="155"/>
      <c r="Z426" s="155"/>
      <c r="AA426" s="263"/>
      <c r="AB426" s="263"/>
      <c r="AC426" s="155"/>
      <c r="AD426" s="155"/>
      <c r="AE426" s="155"/>
      <c r="AF426" s="155"/>
      <c r="AG426" s="155"/>
      <c r="AH426" s="155"/>
      <c r="AI426" s="155"/>
      <c r="AJ426" s="155"/>
      <c r="AK426" s="155"/>
      <c r="AL426" s="155"/>
      <c r="AM426" s="155"/>
      <c r="AN426" s="155"/>
      <c r="AO426" s="155"/>
      <c r="AP426" s="49"/>
      <c r="AQ426" s="49"/>
      <c r="AR426" s="155"/>
      <c r="AS426" s="155"/>
      <c r="AT426" s="155"/>
      <c r="AU426" s="155"/>
      <c r="AV426" s="155"/>
      <c r="AW426" s="155"/>
      <c r="AX426" s="155"/>
      <c r="AY426" s="155"/>
      <c r="AZ426" s="49"/>
      <c r="BA426" s="49"/>
      <c r="BB426" s="49"/>
      <c r="BC426" s="49"/>
      <c r="BD426" s="49"/>
      <c r="BE426" s="49"/>
      <c r="BF426" s="49"/>
      <c r="BG426" s="49"/>
      <c r="BH426" s="49"/>
      <c r="BI426" s="155"/>
      <c r="BJ426" s="155"/>
      <c r="BK426" s="155"/>
      <c r="BL426" s="49"/>
      <c r="BM426" s="49"/>
      <c r="BN426" s="49"/>
      <c r="BO426" s="49"/>
      <c r="BP426" s="49"/>
      <c r="BQ426" s="49"/>
      <c r="BR426" s="49"/>
      <c r="BS426" s="49"/>
      <c r="BT426" s="49"/>
      <c r="BU426" s="49"/>
      <c r="BV426" s="49"/>
      <c r="BW426" s="49"/>
      <c r="BX426" s="49"/>
      <c r="BY426" s="49"/>
      <c r="BZ426" s="49"/>
      <c r="CA426" s="49"/>
      <c r="CB426" s="49"/>
      <c r="CC426" s="49"/>
      <c r="CD426" s="49"/>
      <c r="CE426" s="49"/>
      <c r="CF426" s="49"/>
      <c r="CG426" s="49"/>
      <c r="CH426" s="49"/>
      <c r="CI426" s="49"/>
      <c r="CJ426" s="49"/>
      <c r="CK426" s="49"/>
      <c r="CL426" s="49"/>
      <c r="CM426" s="49"/>
      <c r="CN426" s="49"/>
      <c r="CO426" s="49"/>
      <c r="CP426" s="49"/>
      <c r="CQ426" s="49"/>
      <c r="CR426" s="49"/>
      <c r="CS426" s="49"/>
      <c r="CT426" s="155"/>
      <c r="CU426" s="155"/>
      <c r="CV426" s="155"/>
      <c r="CW426" s="155"/>
      <c r="CX426" s="155"/>
      <c r="CY426" s="155"/>
      <c r="CZ426" s="155"/>
      <c r="DA426" s="155"/>
      <c r="DB426" s="155"/>
      <c r="DC426" s="155"/>
      <c r="DD426" s="155"/>
      <c r="DE426" s="155"/>
      <c r="DF426" s="155"/>
      <c r="DG426" s="155"/>
      <c r="DH426" s="155"/>
      <c r="DI426" s="155"/>
      <c r="DJ426" s="155"/>
      <c r="DK426" s="155"/>
      <c r="DL426" s="155"/>
      <c r="DM426" s="155"/>
      <c r="DN426" s="155"/>
      <c r="DO426" s="155"/>
      <c r="DP426" s="155"/>
      <c r="DQ426" s="155"/>
      <c r="DR426" s="155"/>
      <c r="DS426" s="155"/>
      <c r="DT426" s="155"/>
      <c r="DU426" s="155"/>
      <c r="DV426" s="155"/>
      <c r="DW426" s="155"/>
      <c r="DX426" s="155"/>
    </row>
    <row r="427" spans="1:128" ht="18" customHeight="1">
      <c r="A427" s="155"/>
      <c r="B427" s="155"/>
      <c r="C427" s="155"/>
      <c r="D427" s="155"/>
      <c r="E427" s="49">
        <v>2185</v>
      </c>
      <c r="F427" s="49" t="str">
        <f t="shared" si="49"/>
        <v>546556778877</v>
      </c>
      <c r="G427" s="155"/>
      <c r="H427" s="155"/>
      <c r="I427" s="270"/>
      <c r="J427" s="270"/>
      <c r="K427" s="270"/>
      <c r="L427" s="270"/>
      <c r="M427" s="270"/>
      <c r="N427" s="270"/>
      <c r="O427" s="155"/>
      <c r="P427" s="155"/>
      <c r="Q427" s="155"/>
      <c r="R427" s="155"/>
      <c r="S427" s="155"/>
      <c r="T427" s="155"/>
      <c r="U427" s="158"/>
      <c r="V427" s="155"/>
      <c r="W427" s="155"/>
      <c r="X427" s="263"/>
      <c r="Y427" s="155"/>
      <c r="Z427" s="155"/>
      <c r="AA427" s="263"/>
      <c r="AB427" s="263"/>
      <c r="AC427" s="155"/>
      <c r="AD427" s="155"/>
      <c r="AE427" s="155"/>
      <c r="AF427" s="155"/>
      <c r="AG427" s="155"/>
      <c r="AH427" s="155"/>
      <c r="AI427" s="155"/>
      <c r="AJ427" s="155"/>
      <c r="AK427" s="155"/>
      <c r="AL427" s="155"/>
      <c r="AM427" s="155"/>
      <c r="AN427" s="155"/>
      <c r="AO427" s="155"/>
      <c r="AP427" s="49"/>
      <c r="AQ427" s="49"/>
      <c r="AR427" s="155"/>
      <c r="AS427" s="155"/>
      <c r="AT427" s="155"/>
      <c r="AU427" s="155"/>
      <c r="AV427" s="155"/>
      <c r="AW427" s="155"/>
      <c r="AX427" s="155"/>
      <c r="AY427" s="155"/>
      <c r="AZ427" s="49"/>
      <c r="BA427" s="49"/>
      <c r="BB427" s="49"/>
      <c r="BC427" s="49"/>
      <c r="BD427" s="49"/>
      <c r="BE427" s="49"/>
      <c r="BF427" s="49"/>
      <c r="BG427" s="49"/>
      <c r="BH427" s="49"/>
      <c r="BI427" s="155"/>
      <c r="BJ427" s="155"/>
      <c r="BK427" s="155"/>
      <c r="BL427" s="49"/>
      <c r="BM427" s="49"/>
      <c r="BN427" s="49"/>
      <c r="BO427" s="49"/>
      <c r="BP427" s="49"/>
      <c r="BQ427" s="49"/>
      <c r="BR427" s="49"/>
      <c r="BS427" s="49"/>
      <c r="BT427" s="49"/>
      <c r="BU427" s="49"/>
      <c r="BV427" s="49"/>
      <c r="BW427" s="49"/>
      <c r="BX427" s="49"/>
      <c r="BY427" s="49"/>
      <c r="BZ427" s="49"/>
      <c r="CA427" s="49"/>
      <c r="CB427" s="49"/>
      <c r="CC427" s="49"/>
      <c r="CD427" s="49"/>
      <c r="CE427" s="49"/>
      <c r="CF427" s="49"/>
      <c r="CG427" s="49"/>
      <c r="CH427" s="49"/>
      <c r="CI427" s="49"/>
      <c r="CJ427" s="49"/>
      <c r="CK427" s="49"/>
      <c r="CL427" s="49"/>
      <c r="CM427" s="49"/>
      <c r="CN427" s="49"/>
      <c r="CO427" s="49"/>
      <c r="CP427" s="49"/>
      <c r="CQ427" s="49"/>
      <c r="CR427" s="49"/>
      <c r="CS427" s="49"/>
      <c r="CT427" s="155"/>
      <c r="CU427" s="155"/>
      <c r="CV427" s="155"/>
      <c r="CW427" s="155"/>
      <c r="CX427" s="155"/>
      <c r="CY427" s="155"/>
      <c r="CZ427" s="155"/>
      <c r="DA427" s="155"/>
      <c r="DB427" s="155"/>
      <c r="DC427" s="155"/>
      <c r="DD427" s="155"/>
      <c r="DE427" s="155"/>
      <c r="DF427" s="155"/>
      <c r="DG427" s="155"/>
      <c r="DH427" s="155"/>
      <c r="DI427" s="155"/>
      <c r="DJ427" s="155"/>
      <c r="DK427" s="155"/>
      <c r="DL427" s="155"/>
      <c r="DM427" s="155"/>
      <c r="DN427" s="155"/>
      <c r="DO427" s="155"/>
      <c r="DP427" s="155"/>
      <c r="DQ427" s="155"/>
      <c r="DR427" s="155"/>
      <c r="DS427" s="155"/>
      <c r="DT427" s="155"/>
      <c r="DU427" s="155"/>
      <c r="DV427" s="155"/>
      <c r="DW427" s="155"/>
      <c r="DX427" s="155"/>
    </row>
    <row r="428" spans="1:128" ht="18" customHeight="1">
      <c r="A428" s="155"/>
      <c r="B428" s="155"/>
      <c r="C428" s="155"/>
      <c r="D428" s="155"/>
      <c r="E428" s="49">
        <v>2186</v>
      </c>
      <c r="F428" s="49" t="str">
        <f t="shared" si="49"/>
        <v>546556778877</v>
      </c>
      <c r="G428" s="155"/>
      <c r="H428" s="155"/>
      <c r="I428" s="270"/>
      <c r="J428" s="270"/>
      <c r="K428" s="270"/>
      <c r="L428" s="270"/>
      <c r="M428" s="270"/>
      <c r="N428" s="270"/>
      <c r="O428" s="155"/>
      <c r="P428" s="155"/>
      <c r="Q428" s="155"/>
      <c r="R428" s="155"/>
      <c r="S428" s="155"/>
      <c r="T428" s="155"/>
      <c r="U428" s="158"/>
      <c r="V428" s="155"/>
      <c r="W428" s="155"/>
      <c r="X428" s="263"/>
      <c r="Y428" s="155"/>
      <c r="Z428" s="155"/>
      <c r="AA428" s="263"/>
      <c r="AB428" s="263"/>
      <c r="AC428" s="155"/>
      <c r="AD428" s="155"/>
      <c r="AE428" s="155"/>
      <c r="AF428" s="155"/>
      <c r="AG428" s="155"/>
      <c r="AH428" s="155"/>
      <c r="AI428" s="155"/>
      <c r="AJ428" s="155"/>
      <c r="AK428" s="155"/>
      <c r="AL428" s="155"/>
      <c r="AM428" s="155"/>
      <c r="AN428" s="155"/>
      <c r="AO428" s="155"/>
      <c r="AP428" s="49"/>
      <c r="AQ428" s="49"/>
      <c r="AR428" s="155"/>
      <c r="AS428" s="155"/>
      <c r="AT428" s="155"/>
      <c r="AU428" s="155"/>
      <c r="AV428" s="155"/>
      <c r="AW428" s="155"/>
      <c r="AX428" s="155"/>
      <c r="AY428" s="155"/>
      <c r="AZ428" s="49"/>
      <c r="BA428" s="49"/>
      <c r="BB428" s="49"/>
      <c r="BC428" s="49"/>
      <c r="BD428" s="49"/>
      <c r="BE428" s="49"/>
      <c r="BF428" s="49"/>
      <c r="BG428" s="49"/>
      <c r="BH428" s="49"/>
      <c r="BI428" s="155"/>
      <c r="BJ428" s="155"/>
      <c r="BK428" s="155"/>
      <c r="BL428" s="49"/>
      <c r="BM428" s="49"/>
      <c r="BN428" s="49"/>
      <c r="BO428" s="49"/>
      <c r="BP428" s="49"/>
      <c r="BQ428" s="49"/>
      <c r="BR428" s="49"/>
      <c r="BS428" s="49"/>
      <c r="BT428" s="49"/>
      <c r="BU428" s="49"/>
      <c r="BV428" s="49"/>
      <c r="BW428" s="49"/>
      <c r="BX428" s="49"/>
      <c r="BY428" s="49"/>
      <c r="BZ428" s="49"/>
      <c r="CA428" s="49"/>
      <c r="CB428" s="49"/>
      <c r="CC428" s="49"/>
      <c r="CD428" s="49"/>
      <c r="CE428" s="49"/>
      <c r="CF428" s="49"/>
      <c r="CG428" s="49"/>
      <c r="CH428" s="49"/>
      <c r="CI428" s="49"/>
      <c r="CJ428" s="49"/>
      <c r="CK428" s="49"/>
      <c r="CL428" s="49"/>
      <c r="CM428" s="49"/>
      <c r="CN428" s="49"/>
      <c r="CO428" s="49"/>
      <c r="CP428" s="49"/>
      <c r="CQ428" s="49"/>
      <c r="CR428" s="49"/>
      <c r="CS428" s="49"/>
      <c r="CT428" s="155"/>
      <c r="CU428" s="155"/>
      <c r="CV428" s="155"/>
      <c r="CW428" s="155"/>
      <c r="CX428" s="155"/>
      <c r="CY428" s="155"/>
      <c r="CZ428" s="155"/>
      <c r="DA428" s="155"/>
      <c r="DB428" s="155"/>
      <c r="DC428" s="155"/>
      <c r="DD428" s="155"/>
      <c r="DE428" s="155"/>
      <c r="DF428" s="155"/>
      <c r="DG428" s="155"/>
      <c r="DH428" s="155"/>
      <c r="DI428" s="155"/>
      <c r="DJ428" s="155"/>
      <c r="DK428" s="155"/>
      <c r="DL428" s="155"/>
      <c r="DM428" s="155"/>
      <c r="DN428" s="155"/>
      <c r="DO428" s="155"/>
      <c r="DP428" s="155"/>
      <c r="DQ428" s="155"/>
      <c r="DR428" s="155"/>
      <c r="DS428" s="155"/>
      <c r="DT428" s="155"/>
      <c r="DU428" s="155"/>
      <c r="DV428" s="155"/>
      <c r="DW428" s="155"/>
      <c r="DX428" s="155"/>
    </row>
    <row r="429" spans="1:128" ht="18" customHeight="1">
      <c r="A429" s="155"/>
      <c r="B429" s="155"/>
      <c r="C429" s="155"/>
      <c r="D429" s="155"/>
      <c r="E429" s="49">
        <v>2187</v>
      </c>
      <c r="F429" s="49" t="str">
        <f t="shared" si="49"/>
        <v>646566788887</v>
      </c>
      <c r="G429" s="155"/>
      <c r="H429" s="155"/>
      <c r="I429" s="270"/>
      <c r="J429" s="270"/>
      <c r="K429" s="270"/>
      <c r="L429" s="270"/>
      <c r="M429" s="270"/>
      <c r="N429" s="270"/>
      <c r="O429" s="155"/>
      <c r="P429" s="155"/>
      <c r="Q429" s="155"/>
      <c r="R429" s="155"/>
      <c r="S429" s="155"/>
      <c r="T429" s="155"/>
      <c r="U429" s="158"/>
      <c r="V429" s="155"/>
      <c r="W429" s="155"/>
      <c r="X429" s="263"/>
      <c r="Y429" s="155"/>
      <c r="Z429" s="155"/>
      <c r="AA429" s="263"/>
      <c r="AB429" s="263"/>
      <c r="AC429" s="155"/>
      <c r="AD429" s="155"/>
      <c r="AE429" s="155"/>
      <c r="AF429" s="155"/>
      <c r="AG429" s="155"/>
      <c r="AH429" s="155"/>
      <c r="AI429" s="155"/>
      <c r="AJ429" s="155"/>
      <c r="AK429" s="155"/>
      <c r="AL429" s="155"/>
      <c r="AM429" s="155"/>
      <c r="AN429" s="155"/>
      <c r="AO429" s="155"/>
      <c r="AP429" s="49"/>
      <c r="AQ429" s="49"/>
      <c r="AR429" s="155"/>
      <c r="AS429" s="155"/>
      <c r="AT429" s="155"/>
      <c r="AU429" s="155"/>
      <c r="AV429" s="155"/>
      <c r="AW429" s="155"/>
      <c r="AX429" s="155"/>
      <c r="AY429" s="155"/>
      <c r="AZ429" s="49"/>
      <c r="BA429" s="49"/>
      <c r="BB429" s="49"/>
      <c r="BC429" s="49"/>
      <c r="BD429" s="49"/>
      <c r="BE429" s="49"/>
      <c r="BF429" s="49"/>
      <c r="BG429" s="49"/>
      <c r="BH429" s="49"/>
      <c r="BI429" s="155"/>
      <c r="BJ429" s="155"/>
      <c r="BK429" s="155"/>
      <c r="BL429" s="49"/>
      <c r="BM429" s="49"/>
      <c r="BN429" s="49"/>
      <c r="BO429" s="49"/>
      <c r="BP429" s="49"/>
      <c r="BQ429" s="49"/>
      <c r="BR429" s="49"/>
      <c r="BS429" s="49"/>
      <c r="BT429" s="49"/>
      <c r="BU429" s="49"/>
      <c r="BV429" s="49"/>
      <c r="BW429" s="49"/>
      <c r="BX429" s="49"/>
      <c r="BY429" s="49"/>
      <c r="BZ429" s="49"/>
      <c r="CA429" s="49"/>
      <c r="CB429" s="49"/>
      <c r="CC429" s="49"/>
      <c r="CD429" s="49"/>
      <c r="CE429" s="49"/>
      <c r="CF429" s="49"/>
      <c r="CG429" s="49"/>
      <c r="CH429" s="49"/>
      <c r="CI429" s="49"/>
      <c r="CJ429" s="49"/>
      <c r="CK429" s="49"/>
      <c r="CL429" s="49"/>
      <c r="CM429" s="49"/>
      <c r="CN429" s="49"/>
      <c r="CO429" s="49"/>
      <c r="CP429" s="49"/>
      <c r="CQ429" s="49"/>
      <c r="CR429" s="49"/>
      <c r="CS429" s="49"/>
      <c r="CT429" s="155"/>
      <c r="CU429" s="155"/>
      <c r="CV429" s="155"/>
      <c r="CW429" s="155"/>
      <c r="CX429" s="155"/>
      <c r="CY429" s="155"/>
      <c r="CZ429" s="155"/>
      <c r="DA429" s="155"/>
      <c r="DB429" s="155"/>
      <c r="DC429" s="155"/>
      <c r="DD429" s="155"/>
      <c r="DE429" s="155"/>
      <c r="DF429" s="155"/>
      <c r="DG429" s="155"/>
      <c r="DH429" s="155"/>
      <c r="DI429" s="155"/>
      <c r="DJ429" s="155"/>
      <c r="DK429" s="155"/>
      <c r="DL429" s="155"/>
      <c r="DM429" s="155"/>
      <c r="DN429" s="155"/>
      <c r="DO429" s="155"/>
      <c r="DP429" s="155"/>
      <c r="DQ429" s="155"/>
      <c r="DR429" s="155"/>
      <c r="DS429" s="155"/>
      <c r="DT429" s="155"/>
      <c r="DU429" s="155"/>
      <c r="DV429" s="155"/>
      <c r="DW429" s="155"/>
      <c r="DX429" s="155"/>
    </row>
    <row r="430" spans="1:128" ht="18" customHeight="1">
      <c r="A430" s="155"/>
      <c r="B430" s="155"/>
      <c r="C430" s="155"/>
      <c r="D430" s="155"/>
      <c r="E430" s="49">
        <v>2188</v>
      </c>
      <c r="F430" s="49" t="str">
        <f t="shared" si="49"/>
        <v>546556778877</v>
      </c>
      <c r="G430" s="155"/>
      <c r="H430" s="155"/>
      <c r="I430" s="270"/>
      <c r="J430" s="270"/>
      <c r="K430" s="270"/>
      <c r="L430" s="270"/>
      <c r="M430" s="270"/>
      <c r="N430" s="270"/>
      <c r="O430" s="155"/>
      <c r="P430" s="155"/>
      <c r="Q430" s="155"/>
      <c r="R430" s="155"/>
      <c r="S430" s="155"/>
      <c r="T430" s="155"/>
      <c r="U430" s="158"/>
      <c r="V430" s="155"/>
      <c r="W430" s="155"/>
      <c r="X430" s="263"/>
      <c r="Y430" s="155"/>
      <c r="Z430" s="155"/>
      <c r="AA430" s="263"/>
      <c r="AB430" s="263"/>
      <c r="AC430" s="155"/>
      <c r="AD430" s="155"/>
      <c r="AE430" s="155"/>
      <c r="AF430" s="155"/>
      <c r="AG430" s="155"/>
      <c r="AH430" s="155"/>
      <c r="AI430" s="155"/>
      <c r="AJ430" s="155"/>
      <c r="AK430" s="155"/>
      <c r="AL430" s="155"/>
      <c r="AM430" s="155"/>
      <c r="AN430" s="155"/>
      <c r="AO430" s="155"/>
      <c r="AP430" s="49"/>
      <c r="AQ430" s="49"/>
      <c r="AR430" s="155"/>
      <c r="AS430" s="155"/>
      <c r="AT430" s="155"/>
      <c r="AU430" s="155"/>
      <c r="AV430" s="155"/>
      <c r="AW430" s="155"/>
      <c r="AX430" s="155"/>
      <c r="AY430" s="155"/>
      <c r="AZ430" s="49"/>
      <c r="BA430" s="49"/>
      <c r="BB430" s="49"/>
      <c r="BC430" s="49"/>
      <c r="BD430" s="49"/>
      <c r="BE430" s="49"/>
      <c r="BF430" s="49"/>
      <c r="BG430" s="49"/>
      <c r="BH430" s="49"/>
      <c r="BI430" s="155"/>
      <c r="BJ430" s="155"/>
      <c r="BK430" s="155"/>
      <c r="BL430" s="49"/>
      <c r="BM430" s="49"/>
      <c r="BN430" s="49"/>
      <c r="BO430" s="49"/>
      <c r="BP430" s="49"/>
      <c r="BQ430" s="49"/>
      <c r="BR430" s="49"/>
      <c r="BS430" s="49"/>
      <c r="BT430" s="49"/>
      <c r="BU430" s="49"/>
      <c r="BV430" s="49"/>
      <c r="BW430" s="49"/>
      <c r="BX430" s="49"/>
      <c r="BY430" s="49"/>
      <c r="BZ430" s="49"/>
      <c r="CA430" s="49"/>
      <c r="CB430" s="49"/>
      <c r="CC430" s="49"/>
      <c r="CD430" s="49"/>
      <c r="CE430" s="49"/>
      <c r="CF430" s="49"/>
      <c r="CG430" s="49"/>
      <c r="CH430" s="49"/>
      <c r="CI430" s="49"/>
      <c r="CJ430" s="49"/>
      <c r="CK430" s="49"/>
      <c r="CL430" s="49"/>
      <c r="CM430" s="49"/>
      <c r="CN430" s="49"/>
      <c r="CO430" s="49"/>
      <c r="CP430" s="49"/>
      <c r="CQ430" s="49"/>
      <c r="CR430" s="49"/>
      <c r="CS430" s="49"/>
      <c r="CT430" s="155"/>
      <c r="CU430" s="155"/>
      <c r="CV430" s="155"/>
      <c r="CW430" s="155"/>
      <c r="CX430" s="155"/>
      <c r="CY430" s="155"/>
      <c r="CZ430" s="155"/>
      <c r="DA430" s="155"/>
      <c r="DB430" s="155"/>
      <c r="DC430" s="155"/>
      <c r="DD430" s="155"/>
      <c r="DE430" s="155"/>
      <c r="DF430" s="155"/>
      <c r="DG430" s="155"/>
      <c r="DH430" s="155"/>
      <c r="DI430" s="155"/>
      <c r="DJ430" s="155"/>
      <c r="DK430" s="155"/>
      <c r="DL430" s="155"/>
      <c r="DM430" s="155"/>
      <c r="DN430" s="155"/>
      <c r="DO430" s="155"/>
      <c r="DP430" s="155"/>
      <c r="DQ430" s="155"/>
      <c r="DR430" s="155"/>
      <c r="DS430" s="155"/>
      <c r="DT430" s="155"/>
      <c r="DU430" s="155"/>
      <c r="DV430" s="155"/>
      <c r="DW430" s="155"/>
      <c r="DX430" s="155"/>
    </row>
    <row r="431" spans="1:128" ht="18" customHeight="1">
      <c r="A431" s="155"/>
      <c r="B431" s="155"/>
      <c r="C431" s="155"/>
      <c r="D431" s="155"/>
      <c r="E431" s="49">
        <v>2189</v>
      </c>
      <c r="F431" s="49" t="str">
        <f t="shared" si="49"/>
        <v>546556778877</v>
      </c>
      <c r="G431" s="155"/>
      <c r="H431" s="155"/>
      <c r="I431" s="270"/>
      <c r="J431" s="270"/>
      <c r="K431" s="270"/>
      <c r="L431" s="270"/>
      <c r="M431" s="270"/>
      <c r="N431" s="270"/>
      <c r="O431" s="155"/>
      <c r="P431" s="155"/>
      <c r="Q431" s="155"/>
      <c r="R431" s="155"/>
      <c r="S431" s="155"/>
      <c r="T431" s="155"/>
      <c r="U431" s="158"/>
      <c r="V431" s="155"/>
      <c r="W431" s="155"/>
      <c r="X431" s="263"/>
      <c r="Y431" s="155"/>
      <c r="Z431" s="155"/>
      <c r="AA431" s="263"/>
      <c r="AB431" s="263"/>
      <c r="AC431" s="155"/>
      <c r="AD431" s="155"/>
      <c r="AE431" s="155"/>
      <c r="AF431" s="155"/>
      <c r="AG431" s="155"/>
      <c r="AH431" s="155"/>
      <c r="AI431" s="155"/>
      <c r="AJ431" s="155"/>
      <c r="AK431" s="155"/>
      <c r="AL431" s="155"/>
      <c r="AM431" s="155"/>
      <c r="AN431" s="155"/>
      <c r="AO431" s="155"/>
      <c r="AP431" s="49"/>
      <c r="AQ431" s="49"/>
      <c r="AR431" s="155"/>
      <c r="AS431" s="155"/>
      <c r="AT431" s="155"/>
      <c r="AU431" s="155"/>
      <c r="AV431" s="155"/>
      <c r="AW431" s="155"/>
      <c r="AX431" s="155"/>
      <c r="AY431" s="155"/>
      <c r="AZ431" s="49"/>
      <c r="BA431" s="49"/>
      <c r="BB431" s="49"/>
      <c r="BC431" s="49"/>
      <c r="BD431" s="49"/>
      <c r="BE431" s="49"/>
      <c r="BF431" s="49"/>
      <c r="BG431" s="49"/>
      <c r="BH431" s="49"/>
      <c r="BI431" s="155"/>
      <c r="BJ431" s="155"/>
      <c r="BK431" s="155"/>
      <c r="BL431" s="49"/>
      <c r="BM431" s="49"/>
      <c r="BN431" s="49"/>
      <c r="BO431" s="49"/>
      <c r="BP431" s="49"/>
      <c r="BQ431" s="49"/>
      <c r="BR431" s="49"/>
      <c r="BS431" s="49"/>
      <c r="BT431" s="49"/>
      <c r="BU431" s="49"/>
      <c r="BV431" s="49"/>
      <c r="BW431" s="49"/>
      <c r="BX431" s="49"/>
      <c r="BY431" s="49"/>
      <c r="BZ431" s="49"/>
      <c r="CA431" s="49"/>
      <c r="CB431" s="49"/>
      <c r="CC431" s="49"/>
      <c r="CD431" s="49"/>
      <c r="CE431" s="49"/>
      <c r="CF431" s="49"/>
      <c r="CG431" s="49"/>
      <c r="CH431" s="49"/>
      <c r="CI431" s="49"/>
      <c r="CJ431" s="49"/>
      <c r="CK431" s="49"/>
      <c r="CL431" s="49"/>
      <c r="CM431" s="49"/>
      <c r="CN431" s="49"/>
      <c r="CO431" s="49"/>
      <c r="CP431" s="49"/>
      <c r="CQ431" s="49"/>
      <c r="CR431" s="49"/>
      <c r="CS431" s="49"/>
      <c r="CT431" s="155"/>
      <c r="CU431" s="155"/>
      <c r="CV431" s="155"/>
      <c r="CW431" s="155"/>
      <c r="CX431" s="155"/>
      <c r="CY431" s="155"/>
      <c r="CZ431" s="155"/>
      <c r="DA431" s="155"/>
      <c r="DB431" s="155"/>
      <c r="DC431" s="155"/>
      <c r="DD431" s="155"/>
      <c r="DE431" s="155"/>
      <c r="DF431" s="155"/>
      <c r="DG431" s="155"/>
      <c r="DH431" s="155"/>
      <c r="DI431" s="155"/>
      <c r="DJ431" s="155"/>
      <c r="DK431" s="155"/>
      <c r="DL431" s="155"/>
      <c r="DM431" s="155"/>
      <c r="DN431" s="155"/>
      <c r="DO431" s="155"/>
      <c r="DP431" s="155"/>
      <c r="DQ431" s="155"/>
      <c r="DR431" s="155"/>
      <c r="DS431" s="155"/>
      <c r="DT431" s="155"/>
      <c r="DU431" s="155"/>
      <c r="DV431" s="155"/>
      <c r="DW431" s="155"/>
      <c r="DX431" s="155"/>
    </row>
    <row r="432" spans="1:128" ht="18" customHeight="1">
      <c r="A432" s="155"/>
      <c r="B432" s="155"/>
      <c r="C432" s="155"/>
      <c r="D432" s="155"/>
      <c r="E432" s="49">
        <v>2190</v>
      </c>
      <c r="F432" s="49" t="str">
        <f t="shared" si="49"/>
        <v>546556778877</v>
      </c>
      <c r="G432" s="155"/>
      <c r="H432" s="155"/>
      <c r="I432" s="270"/>
      <c r="J432" s="270"/>
      <c r="K432" s="270"/>
      <c r="L432" s="270"/>
      <c r="M432" s="270"/>
      <c r="N432" s="270"/>
      <c r="O432" s="155"/>
      <c r="P432" s="155"/>
      <c r="Q432" s="155"/>
      <c r="R432" s="155"/>
      <c r="S432" s="155"/>
      <c r="T432" s="155"/>
      <c r="U432" s="158"/>
      <c r="V432" s="155"/>
      <c r="W432" s="155"/>
      <c r="X432" s="263"/>
      <c r="Y432" s="155"/>
      <c r="Z432" s="155"/>
      <c r="AA432" s="263"/>
      <c r="AB432" s="263"/>
      <c r="AC432" s="155"/>
      <c r="AD432" s="155"/>
      <c r="AE432" s="155"/>
      <c r="AF432" s="155"/>
      <c r="AG432" s="155"/>
      <c r="AH432" s="155"/>
      <c r="AI432" s="155"/>
      <c r="AJ432" s="155"/>
      <c r="AK432" s="155"/>
      <c r="AL432" s="155"/>
      <c r="AM432" s="155"/>
      <c r="AN432" s="155"/>
      <c r="AO432" s="155"/>
      <c r="AP432" s="49"/>
      <c r="AQ432" s="49"/>
      <c r="AR432" s="155"/>
      <c r="AS432" s="155"/>
      <c r="AT432" s="155"/>
      <c r="AU432" s="155"/>
      <c r="AV432" s="155"/>
      <c r="AW432" s="155"/>
      <c r="AX432" s="155"/>
      <c r="AY432" s="155"/>
      <c r="AZ432" s="49"/>
      <c r="BA432" s="49"/>
      <c r="BB432" s="49"/>
      <c r="BC432" s="49"/>
      <c r="BD432" s="49"/>
      <c r="BE432" s="49"/>
      <c r="BF432" s="49"/>
      <c r="BG432" s="49"/>
      <c r="BH432" s="49"/>
      <c r="BI432" s="155"/>
      <c r="BJ432" s="155"/>
      <c r="BK432" s="155"/>
      <c r="BL432" s="49"/>
      <c r="BM432" s="49"/>
      <c r="BN432" s="49"/>
      <c r="BO432" s="49"/>
      <c r="BP432" s="49"/>
      <c r="BQ432" s="49"/>
      <c r="BR432" s="49"/>
      <c r="BS432" s="49"/>
      <c r="BT432" s="49"/>
      <c r="BU432" s="49"/>
      <c r="BV432" s="49"/>
      <c r="BW432" s="49"/>
      <c r="BX432" s="49"/>
      <c r="BY432" s="49"/>
      <c r="BZ432" s="49"/>
      <c r="CA432" s="49"/>
      <c r="CB432" s="49"/>
      <c r="CC432" s="49"/>
      <c r="CD432" s="49"/>
      <c r="CE432" s="49"/>
      <c r="CF432" s="49"/>
      <c r="CG432" s="49"/>
      <c r="CH432" s="49"/>
      <c r="CI432" s="49"/>
      <c r="CJ432" s="49"/>
      <c r="CK432" s="49"/>
      <c r="CL432" s="49"/>
      <c r="CM432" s="49"/>
      <c r="CN432" s="49"/>
      <c r="CO432" s="49"/>
      <c r="CP432" s="49"/>
      <c r="CQ432" s="49"/>
      <c r="CR432" s="49"/>
      <c r="CS432" s="49"/>
      <c r="CT432" s="155"/>
      <c r="CU432" s="155"/>
      <c r="CV432" s="155"/>
      <c r="CW432" s="155"/>
      <c r="CX432" s="155"/>
      <c r="CY432" s="155"/>
      <c r="CZ432" s="155"/>
      <c r="DA432" s="155"/>
      <c r="DB432" s="155"/>
      <c r="DC432" s="155"/>
      <c r="DD432" s="155"/>
      <c r="DE432" s="155"/>
      <c r="DF432" s="155"/>
      <c r="DG432" s="155"/>
      <c r="DH432" s="155"/>
      <c r="DI432" s="155"/>
      <c r="DJ432" s="155"/>
      <c r="DK432" s="155"/>
      <c r="DL432" s="155"/>
      <c r="DM432" s="155"/>
      <c r="DN432" s="155"/>
      <c r="DO432" s="155"/>
      <c r="DP432" s="155"/>
      <c r="DQ432" s="155"/>
      <c r="DR432" s="155"/>
      <c r="DS432" s="155"/>
      <c r="DT432" s="155"/>
      <c r="DU432" s="155"/>
      <c r="DV432" s="155"/>
      <c r="DW432" s="155"/>
      <c r="DX432" s="155"/>
    </row>
    <row r="433" spans="1:128" ht="18" customHeight="1">
      <c r="A433" s="155"/>
      <c r="B433" s="155"/>
      <c r="C433" s="155"/>
      <c r="D433" s="155"/>
      <c r="E433" s="49">
        <v>2191</v>
      </c>
      <c r="F433" s="49" t="str">
        <f t="shared" si="49"/>
        <v>646566788887</v>
      </c>
      <c r="G433" s="155"/>
      <c r="H433" s="155"/>
      <c r="I433" s="270"/>
      <c r="J433" s="270"/>
      <c r="K433" s="270"/>
      <c r="L433" s="270"/>
      <c r="M433" s="270"/>
      <c r="N433" s="270"/>
      <c r="O433" s="155"/>
      <c r="P433" s="155"/>
      <c r="Q433" s="155"/>
      <c r="R433" s="155"/>
      <c r="S433" s="155"/>
      <c r="T433" s="155"/>
      <c r="U433" s="158"/>
      <c r="V433" s="155"/>
      <c r="W433" s="155"/>
      <c r="X433" s="263"/>
      <c r="Y433" s="155"/>
      <c r="Z433" s="155"/>
      <c r="AA433" s="263"/>
      <c r="AB433" s="263"/>
      <c r="AC433" s="155"/>
      <c r="AD433" s="155"/>
      <c r="AE433" s="155"/>
      <c r="AF433" s="155"/>
      <c r="AG433" s="155"/>
      <c r="AH433" s="155"/>
      <c r="AI433" s="155"/>
      <c r="AJ433" s="155"/>
      <c r="AK433" s="155"/>
      <c r="AL433" s="155"/>
      <c r="AM433" s="155"/>
      <c r="AN433" s="155"/>
      <c r="AO433" s="155"/>
      <c r="AP433" s="49"/>
      <c r="AQ433" s="49"/>
      <c r="AR433" s="155"/>
      <c r="AS433" s="155"/>
      <c r="AT433" s="155"/>
      <c r="AU433" s="155"/>
      <c r="AV433" s="155"/>
      <c r="AW433" s="155"/>
      <c r="AX433" s="155"/>
      <c r="AY433" s="155"/>
      <c r="AZ433" s="49"/>
      <c r="BA433" s="49"/>
      <c r="BB433" s="49"/>
      <c r="BC433" s="49"/>
      <c r="BD433" s="49"/>
      <c r="BE433" s="49"/>
      <c r="BF433" s="49"/>
      <c r="BG433" s="49"/>
      <c r="BH433" s="49"/>
      <c r="BI433" s="155"/>
      <c r="BJ433" s="155"/>
      <c r="BK433" s="155"/>
      <c r="BL433" s="49"/>
      <c r="BM433" s="49"/>
      <c r="BN433" s="49"/>
      <c r="BO433" s="49"/>
      <c r="BP433" s="49"/>
      <c r="BQ433" s="49"/>
      <c r="BR433" s="49"/>
      <c r="BS433" s="49"/>
      <c r="BT433" s="49"/>
      <c r="BU433" s="49"/>
      <c r="BV433" s="49"/>
      <c r="BW433" s="49"/>
      <c r="BX433" s="49"/>
      <c r="BY433" s="49"/>
      <c r="BZ433" s="49"/>
      <c r="CA433" s="49"/>
      <c r="CB433" s="49"/>
      <c r="CC433" s="49"/>
      <c r="CD433" s="49"/>
      <c r="CE433" s="49"/>
      <c r="CF433" s="49"/>
      <c r="CG433" s="49"/>
      <c r="CH433" s="49"/>
      <c r="CI433" s="49"/>
      <c r="CJ433" s="49"/>
      <c r="CK433" s="49"/>
      <c r="CL433" s="49"/>
      <c r="CM433" s="49"/>
      <c r="CN433" s="49"/>
      <c r="CO433" s="49"/>
      <c r="CP433" s="49"/>
      <c r="CQ433" s="49"/>
      <c r="CR433" s="49"/>
      <c r="CS433" s="49"/>
      <c r="CT433" s="155"/>
      <c r="CU433" s="155"/>
      <c r="CV433" s="155"/>
      <c r="CW433" s="155"/>
      <c r="CX433" s="155"/>
      <c r="CY433" s="155"/>
      <c r="CZ433" s="155"/>
      <c r="DA433" s="155"/>
      <c r="DB433" s="155"/>
      <c r="DC433" s="155"/>
      <c r="DD433" s="155"/>
      <c r="DE433" s="155"/>
      <c r="DF433" s="155"/>
      <c r="DG433" s="155"/>
      <c r="DH433" s="155"/>
      <c r="DI433" s="155"/>
      <c r="DJ433" s="155"/>
      <c r="DK433" s="155"/>
      <c r="DL433" s="155"/>
      <c r="DM433" s="155"/>
      <c r="DN433" s="155"/>
      <c r="DO433" s="155"/>
      <c r="DP433" s="155"/>
      <c r="DQ433" s="155"/>
      <c r="DR433" s="155"/>
      <c r="DS433" s="155"/>
      <c r="DT433" s="155"/>
      <c r="DU433" s="155"/>
      <c r="DV433" s="155"/>
      <c r="DW433" s="155"/>
      <c r="DX433" s="155"/>
    </row>
    <row r="434" spans="1:128" ht="18" customHeight="1">
      <c r="A434" s="155"/>
      <c r="B434" s="155"/>
      <c r="C434" s="155"/>
      <c r="D434" s="155"/>
      <c r="E434" s="49">
        <v>2192</v>
      </c>
      <c r="F434" s="49" t="str">
        <f t="shared" si="49"/>
        <v>546556778877</v>
      </c>
      <c r="G434" s="155"/>
      <c r="H434" s="155"/>
      <c r="I434" s="270"/>
      <c r="J434" s="270"/>
      <c r="K434" s="270"/>
      <c r="L434" s="270"/>
      <c r="M434" s="270"/>
      <c r="N434" s="270"/>
      <c r="O434" s="155"/>
      <c r="P434" s="155"/>
      <c r="Q434" s="155"/>
      <c r="R434" s="155"/>
      <c r="S434" s="155"/>
      <c r="T434" s="155"/>
      <c r="U434" s="158"/>
      <c r="V434" s="155"/>
      <c r="W434" s="155"/>
      <c r="X434" s="263"/>
      <c r="Y434" s="155"/>
      <c r="Z434" s="155"/>
      <c r="AA434" s="263"/>
      <c r="AB434" s="263"/>
      <c r="AC434" s="155"/>
      <c r="AD434" s="155"/>
      <c r="AE434" s="155"/>
      <c r="AF434" s="155"/>
      <c r="AG434" s="155"/>
      <c r="AH434" s="155"/>
      <c r="AI434" s="155"/>
      <c r="AJ434" s="155"/>
      <c r="AK434" s="155"/>
      <c r="AL434" s="155"/>
      <c r="AM434" s="155"/>
      <c r="AN434" s="155"/>
      <c r="AO434" s="155"/>
      <c r="AP434" s="49"/>
      <c r="AQ434" s="49"/>
      <c r="AR434" s="155"/>
      <c r="AS434" s="155"/>
      <c r="AT434" s="155"/>
      <c r="AU434" s="155"/>
      <c r="AV434" s="155"/>
      <c r="AW434" s="155"/>
      <c r="AX434" s="155"/>
      <c r="AY434" s="155"/>
      <c r="AZ434" s="49"/>
      <c r="BA434" s="49"/>
      <c r="BB434" s="49"/>
      <c r="BC434" s="49"/>
      <c r="BD434" s="49"/>
      <c r="BE434" s="49"/>
      <c r="BF434" s="49"/>
      <c r="BG434" s="49"/>
      <c r="BH434" s="49"/>
      <c r="BI434" s="155"/>
      <c r="BJ434" s="155"/>
      <c r="BK434" s="155"/>
      <c r="BL434" s="49"/>
      <c r="BM434" s="49"/>
      <c r="BN434" s="49"/>
      <c r="BO434" s="49"/>
      <c r="BP434" s="49"/>
      <c r="BQ434" s="49"/>
      <c r="BR434" s="49"/>
      <c r="BS434" s="49"/>
      <c r="BT434" s="49"/>
      <c r="BU434" s="49"/>
      <c r="BV434" s="49"/>
      <c r="BW434" s="49"/>
      <c r="BX434" s="49"/>
      <c r="BY434" s="49"/>
      <c r="BZ434" s="49"/>
      <c r="CA434" s="49"/>
      <c r="CB434" s="49"/>
      <c r="CC434" s="49"/>
      <c r="CD434" s="49"/>
      <c r="CE434" s="49"/>
      <c r="CF434" s="49"/>
      <c r="CG434" s="49"/>
      <c r="CH434" s="49"/>
      <c r="CI434" s="49"/>
      <c r="CJ434" s="49"/>
      <c r="CK434" s="49"/>
      <c r="CL434" s="49"/>
      <c r="CM434" s="49"/>
      <c r="CN434" s="49"/>
      <c r="CO434" s="49"/>
      <c r="CP434" s="49"/>
      <c r="CQ434" s="49"/>
      <c r="CR434" s="49"/>
      <c r="CS434" s="49"/>
      <c r="CT434" s="155"/>
      <c r="CU434" s="155"/>
      <c r="CV434" s="155"/>
      <c r="CW434" s="155"/>
      <c r="CX434" s="155"/>
      <c r="CY434" s="155"/>
      <c r="CZ434" s="155"/>
      <c r="DA434" s="155"/>
      <c r="DB434" s="155"/>
      <c r="DC434" s="155"/>
      <c r="DD434" s="155"/>
      <c r="DE434" s="155"/>
      <c r="DF434" s="155"/>
      <c r="DG434" s="155"/>
      <c r="DH434" s="155"/>
      <c r="DI434" s="155"/>
      <c r="DJ434" s="155"/>
      <c r="DK434" s="155"/>
      <c r="DL434" s="155"/>
      <c r="DM434" s="155"/>
      <c r="DN434" s="155"/>
      <c r="DO434" s="155"/>
      <c r="DP434" s="155"/>
      <c r="DQ434" s="155"/>
      <c r="DR434" s="155"/>
      <c r="DS434" s="155"/>
      <c r="DT434" s="155"/>
      <c r="DU434" s="155"/>
      <c r="DV434" s="155"/>
      <c r="DW434" s="155"/>
      <c r="DX434" s="155"/>
    </row>
    <row r="435" spans="1:128" ht="18" customHeight="1">
      <c r="A435" s="155"/>
      <c r="B435" s="155"/>
      <c r="C435" s="155"/>
      <c r="D435" s="155"/>
      <c r="E435" s="49">
        <v>2193</v>
      </c>
      <c r="F435" s="49" t="str">
        <f t="shared" si="49"/>
        <v>546556778877</v>
      </c>
      <c r="G435" s="155"/>
      <c r="H435" s="155"/>
      <c r="I435" s="270"/>
      <c r="J435" s="270"/>
      <c r="K435" s="270"/>
      <c r="L435" s="270"/>
      <c r="M435" s="270"/>
      <c r="N435" s="270"/>
      <c r="O435" s="155"/>
      <c r="P435" s="155"/>
      <c r="Q435" s="155"/>
      <c r="R435" s="155"/>
      <c r="S435" s="155"/>
      <c r="T435" s="155"/>
      <c r="U435" s="158"/>
      <c r="V435" s="155"/>
      <c r="W435" s="155"/>
      <c r="X435" s="263"/>
      <c r="Y435" s="155"/>
      <c r="Z435" s="155"/>
      <c r="AA435" s="263"/>
      <c r="AB435" s="263"/>
      <c r="AC435" s="155"/>
      <c r="AD435" s="155"/>
      <c r="AE435" s="155"/>
      <c r="AF435" s="155"/>
      <c r="AG435" s="155"/>
      <c r="AH435" s="155"/>
      <c r="AI435" s="155"/>
      <c r="AJ435" s="155"/>
      <c r="AK435" s="155"/>
      <c r="AL435" s="155"/>
      <c r="AM435" s="155"/>
      <c r="AN435" s="155"/>
      <c r="AO435" s="155"/>
      <c r="AP435" s="49"/>
      <c r="AQ435" s="49"/>
      <c r="AR435" s="155"/>
      <c r="AS435" s="155"/>
      <c r="AT435" s="155"/>
      <c r="AU435" s="155"/>
      <c r="AV435" s="155"/>
      <c r="AW435" s="155"/>
      <c r="AX435" s="155"/>
      <c r="AY435" s="155"/>
      <c r="AZ435" s="49"/>
      <c r="BA435" s="49"/>
      <c r="BB435" s="49"/>
      <c r="BC435" s="49"/>
      <c r="BD435" s="49"/>
      <c r="BE435" s="49"/>
      <c r="BF435" s="49"/>
      <c r="BG435" s="49"/>
      <c r="BH435" s="49"/>
      <c r="BI435" s="155"/>
      <c r="BJ435" s="155"/>
      <c r="BK435" s="155"/>
      <c r="BL435" s="49"/>
      <c r="BM435" s="49"/>
      <c r="BN435" s="49"/>
      <c r="BO435" s="49"/>
      <c r="BP435" s="49"/>
      <c r="BQ435" s="49"/>
      <c r="BR435" s="49"/>
      <c r="BS435" s="49"/>
      <c r="BT435" s="49"/>
      <c r="BU435" s="49"/>
      <c r="BV435" s="49"/>
      <c r="BW435" s="49"/>
      <c r="BX435" s="49"/>
      <c r="BY435" s="49"/>
      <c r="BZ435" s="49"/>
      <c r="CA435" s="49"/>
      <c r="CB435" s="49"/>
      <c r="CC435" s="49"/>
      <c r="CD435" s="49"/>
      <c r="CE435" s="49"/>
      <c r="CF435" s="49"/>
      <c r="CG435" s="49"/>
      <c r="CH435" s="49"/>
      <c r="CI435" s="49"/>
      <c r="CJ435" s="49"/>
      <c r="CK435" s="49"/>
      <c r="CL435" s="49"/>
      <c r="CM435" s="49"/>
      <c r="CN435" s="49"/>
      <c r="CO435" s="49"/>
      <c r="CP435" s="49"/>
      <c r="CQ435" s="49"/>
      <c r="CR435" s="49"/>
      <c r="CS435" s="49"/>
      <c r="CT435" s="155"/>
      <c r="CU435" s="155"/>
      <c r="CV435" s="155"/>
      <c r="CW435" s="155"/>
      <c r="CX435" s="155"/>
      <c r="CY435" s="155"/>
      <c r="CZ435" s="155"/>
      <c r="DA435" s="155"/>
      <c r="DB435" s="155"/>
      <c r="DC435" s="155"/>
      <c r="DD435" s="155"/>
      <c r="DE435" s="155"/>
      <c r="DF435" s="155"/>
      <c r="DG435" s="155"/>
      <c r="DH435" s="155"/>
      <c r="DI435" s="155"/>
      <c r="DJ435" s="155"/>
      <c r="DK435" s="155"/>
      <c r="DL435" s="155"/>
      <c r="DM435" s="155"/>
      <c r="DN435" s="155"/>
      <c r="DO435" s="155"/>
      <c r="DP435" s="155"/>
      <c r="DQ435" s="155"/>
      <c r="DR435" s="155"/>
      <c r="DS435" s="155"/>
      <c r="DT435" s="155"/>
      <c r="DU435" s="155"/>
      <c r="DV435" s="155"/>
      <c r="DW435" s="155"/>
      <c r="DX435" s="155"/>
    </row>
    <row r="436" spans="1:128" ht="18" customHeight="1">
      <c r="A436" s="155"/>
      <c r="B436" s="155"/>
      <c r="C436" s="155"/>
      <c r="D436" s="155"/>
      <c r="E436" s="49">
        <v>2194</v>
      </c>
      <c r="F436" s="49" t="str">
        <f t="shared" si="49"/>
        <v>546556778877</v>
      </c>
      <c r="G436" s="155"/>
      <c r="H436" s="155"/>
      <c r="I436" s="270"/>
      <c r="J436" s="270"/>
      <c r="K436" s="270"/>
      <c r="L436" s="270"/>
      <c r="M436" s="270"/>
      <c r="N436" s="270"/>
      <c r="O436" s="155"/>
      <c r="P436" s="155"/>
      <c r="Q436" s="155"/>
      <c r="R436" s="155"/>
      <c r="S436" s="155"/>
      <c r="T436" s="155"/>
      <c r="U436" s="158"/>
      <c r="V436" s="155"/>
      <c r="W436" s="155"/>
      <c r="X436" s="263"/>
      <c r="Y436" s="155"/>
      <c r="Z436" s="155"/>
      <c r="AA436" s="263"/>
      <c r="AB436" s="263"/>
      <c r="AC436" s="155"/>
      <c r="AD436" s="155"/>
      <c r="AE436" s="155"/>
      <c r="AF436" s="155"/>
      <c r="AG436" s="155"/>
      <c r="AH436" s="155"/>
      <c r="AI436" s="155"/>
      <c r="AJ436" s="155"/>
      <c r="AK436" s="155"/>
      <c r="AL436" s="155"/>
      <c r="AM436" s="155"/>
      <c r="AN436" s="155"/>
      <c r="AO436" s="155"/>
      <c r="AP436" s="49"/>
      <c r="AQ436" s="49"/>
      <c r="AR436" s="155"/>
      <c r="AS436" s="155"/>
      <c r="AT436" s="155"/>
      <c r="AU436" s="155"/>
      <c r="AV436" s="155"/>
      <c r="AW436" s="155"/>
      <c r="AX436" s="155"/>
      <c r="AY436" s="155"/>
      <c r="AZ436" s="49"/>
      <c r="BA436" s="49"/>
      <c r="BB436" s="49"/>
      <c r="BC436" s="49"/>
      <c r="BD436" s="49"/>
      <c r="BE436" s="49"/>
      <c r="BF436" s="49"/>
      <c r="BG436" s="49"/>
      <c r="BH436" s="49"/>
      <c r="BI436" s="155"/>
      <c r="BJ436" s="155"/>
      <c r="BK436" s="155"/>
      <c r="BL436" s="49"/>
      <c r="BM436" s="49"/>
      <c r="BN436" s="49"/>
      <c r="BO436" s="49"/>
      <c r="BP436" s="49"/>
      <c r="BQ436" s="49"/>
      <c r="BR436" s="49"/>
      <c r="BS436" s="49"/>
      <c r="BT436" s="49"/>
      <c r="BU436" s="49"/>
      <c r="BV436" s="49"/>
      <c r="BW436" s="49"/>
      <c r="BX436" s="49"/>
      <c r="BY436" s="49"/>
      <c r="BZ436" s="49"/>
      <c r="CA436" s="49"/>
      <c r="CB436" s="49"/>
      <c r="CC436" s="49"/>
      <c r="CD436" s="49"/>
      <c r="CE436" s="49"/>
      <c r="CF436" s="49"/>
      <c r="CG436" s="49"/>
      <c r="CH436" s="49"/>
      <c r="CI436" s="49"/>
      <c r="CJ436" s="49"/>
      <c r="CK436" s="49"/>
      <c r="CL436" s="49"/>
      <c r="CM436" s="49"/>
      <c r="CN436" s="49"/>
      <c r="CO436" s="49"/>
      <c r="CP436" s="49"/>
      <c r="CQ436" s="49"/>
      <c r="CR436" s="49"/>
      <c r="CS436" s="49"/>
      <c r="CT436" s="155"/>
      <c r="CU436" s="155"/>
      <c r="CV436" s="155"/>
      <c r="CW436" s="155"/>
      <c r="CX436" s="155"/>
      <c r="CY436" s="155"/>
      <c r="CZ436" s="155"/>
      <c r="DA436" s="155"/>
      <c r="DB436" s="155"/>
      <c r="DC436" s="155"/>
      <c r="DD436" s="155"/>
      <c r="DE436" s="155"/>
      <c r="DF436" s="155"/>
      <c r="DG436" s="155"/>
      <c r="DH436" s="155"/>
      <c r="DI436" s="155"/>
      <c r="DJ436" s="155"/>
      <c r="DK436" s="155"/>
      <c r="DL436" s="155"/>
      <c r="DM436" s="155"/>
      <c r="DN436" s="155"/>
      <c r="DO436" s="155"/>
      <c r="DP436" s="155"/>
      <c r="DQ436" s="155"/>
      <c r="DR436" s="155"/>
      <c r="DS436" s="155"/>
      <c r="DT436" s="155"/>
      <c r="DU436" s="155"/>
      <c r="DV436" s="155"/>
      <c r="DW436" s="155"/>
      <c r="DX436" s="155"/>
    </row>
    <row r="437" spans="1:128" ht="18" customHeight="1">
      <c r="A437" s="155"/>
      <c r="B437" s="155"/>
      <c r="C437" s="155"/>
      <c r="D437" s="155"/>
      <c r="E437" s="49">
        <v>2195</v>
      </c>
      <c r="F437" s="49" t="str">
        <f t="shared" si="49"/>
        <v>646566788887</v>
      </c>
      <c r="G437" s="155"/>
      <c r="H437" s="155"/>
      <c r="I437" s="270"/>
      <c r="J437" s="270"/>
      <c r="K437" s="270"/>
      <c r="L437" s="270"/>
      <c r="M437" s="270"/>
      <c r="N437" s="270"/>
      <c r="O437" s="155"/>
      <c r="P437" s="155"/>
      <c r="Q437" s="155"/>
      <c r="R437" s="155"/>
      <c r="S437" s="155"/>
      <c r="T437" s="155"/>
      <c r="U437" s="158"/>
      <c r="V437" s="155"/>
      <c r="W437" s="155"/>
      <c r="X437" s="263"/>
      <c r="Y437" s="155"/>
      <c r="Z437" s="155"/>
      <c r="AA437" s="263"/>
      <c r="AB437" s="263"/>
      <c r="AC437" s="155"/>
      <c r="AD437" s="155"/>
      <c r="AE437" s="155"/>
      <c r="AF437" s="155"/>
      <c r="AG437" s="155"/>
      <c r="AH437" s="155"/>
      <c r="AI437" s="155"/>
      <c r="AJ437" s="155"/>
      <c r="AK437" s="155"/>
      <c r="AL437" s="155"/>
      <c r="AM437" s="155"/>
      <c r="AN437" s="155"/>
      <c r="AO437" s="155"/>
      <c r="AP437" s="49"/>
      <c r="AQ437" s="49"/>
      <c r="AR437" s="155"/>
      <c r="AS437" s="155"/>
      <c r="AT437" s="155"/>
      <c r="AU437" s="155"/>
      <c r="AV437" s="155"/>
      <c r="AW437" s="155"/>
      <c r="AX437" s="155"/>
      <c r="AY437" s="155"/>
      <c r="AZ437" s="49"/>
      <c r="BA437" s="49"/>
      <c r="BB437" s="49"/>
      <c r="BC437" s="49"/>
      <c r="BD437" s="49"/>
      <c r="BE437" s="49"/>
      <c r="BF437" s="49"/>
      <c r="BG437" s="49"/>
      <c r="BH437" s="49"/>
      <c r="BI437" s="155"/>
      <c r="BJ437" s="155"/>
      <c r="BK437" s="155"/>
      <c r="BL437" s="49"/>
      <c r="BM437" s="49"/>
      <c r="BN437" s="49"/>
      <c r="BO437" s="49"/>
      <c r="BP437" s="49"/>
      <c r="BQ437" s="49"/>
      <c r="BR437" s="49"/>
      <c r="BS437" s="49"/>
      <c r="BT437" s="49"/>
      <c r="BU437" s="49"/>
      <c r="BV437" s="49"/>
      <c r="BW437" s="49"/>
      <c r="BX437" s="49"/>
      <c r="BY437" s="49"/>
      <c r="BZ437" s="49"/>
      <c r="CA437" s="49"/>
      <c r="CB437" s="49"/>
      <c r="CC437" s="49"/>
      <c r="CD437" s="49"/>
      <c r="CE437" s="49"/>
      <c r="CF437" s="49"/>
      <c r="CG437" s="49"/>
      <c r="CH437" s="49"/>
      <c r="CI437" s="49"/>
      <c r="CJ437" s="49"/>
      <c r="CK437" s="49"/>
      <c r="CL437" s="49"/>
      <c r="CM437" s="49"/>
      <c r="CN437" s="49"/>
      <c r="CO437" s="49"/>
      <c r="CP437" s="49"/>
      <c r="CQ437" s="49"/>
      <c r="CR437" s="49"/>
      <c r="CS437" s="49"/>
      <c r="CT437" s="155"/>
      <c r="CU437" s="155"/>
      <c r="CV437" s="155"/>
      <c r="CW437" s="155"/>
      <c r="CX437" s="155"/>
      <c r="CY437" s="155"/>
      <c r="CZ437" s="155"/>
      <c r="DA437" s="155"/>
      <c r="DB437" s="155"/>
      <c r="DC437" s="155"/>
      <c r="DD437" s="155"/>
      <c r="DE437" s="155"/>
      <c r="DF437" s="155"/>
      <c r="DG437" s="155"/>
      <c r="DH437" s="155"/>
      <c r="DI437" s="155"/>
      <c r="DJ437" s="155"/>
      <c r="DK437" s="155"/>
      <c r="DL437" s="155"/>
      <c r="DM437" s="155"/>
      <c r="DN437" s="155"/>
      <c r="DO437" s="155"/>
      <c r="DP437" s="155"/>
      <c r="DQ437" s="155"/>
      <c r="DR437" s="155"/>
      <c r="DS437" s="155"/>
      <c r="DT437" s="155"/>
      <c r="DU437" s="155"/>
      <c r="DV437" s="155"/>
      <c r="DW437" s="155"/>
      <c r="DX437" s="155"/>
    </row>
    <row r="438" spans="1:128" ht="18" customHeight="1">
      <c r="A438" s="155"/>
      <c r="B438" s="155"/>
      <c r="C438" s="155"/>
      <c r="D438" s="155"/>
      <c r="E438" s="49">
        <v>2196</v>
      </c>
      <c r="F438" s="49" t="str">
        <f t="shared" si="49"/>
        <v>546556778877</v>
      </c>
      <c r="G438" s="155"/>
      <c r="H438" s="155"/>
      <c r="I438" s="270"/>
      <c r="J438" s="270"/>
      <c r="K438" s="270"/>
      <c r="L438" s="270"/>
      <c r="M438" s="270"/>
      <c r="N438" s="270"/>
      <c r="O438" s="155"/>
      <c r="P438" s="155"/>
      <c r="Q438" s="155"/>
      <c r="R438" s="155"/>
      <c r="S438" s="155"/>
      <c r="T438" s="155"/>
      <c r="U438" s="158"/>
      <c r="V438" s="155"/>
      <c r="W438" s="155"/>
      <c r="X438" s="263"/>
      <c r="Y438" s="155"/>
      <c r="Z438" s="155"/>
      <c r="AA438" s="263"/>
      <c r="AB438" s="263"/>
      <c r="AC438" s="155"/>
      <c r="AD438" s="155"/>
      <c r="AE438" s="155"/>
      <c r="AF438" s="155"/>
      <c r="AG438" s="155"/>
      <c r="AH438" s="155"/>
      <c r="AI438" s="155"/>
      <c r="AJ438" s="155"/>
      <c r="AK438" s="155"/>
      <c r="AL438" s="155"/>
      <c r="AM438" s="155"/>
      <c r="AN438" s="155"/>
      <c r="AO438" s="155"/>
      <c r="AP438" s="49"/>
      <c r="AQ438" s="49"/>
      <c r="AR438" s="155"/>
      <c r="AS438" s="155"/>
      <c r="AT438" s="155"/>
      <c r="AU438" s="155"/>
      <c r="AV438" s="155"/>
      <c r="AW438" s="155"/>
      <c r="AX438" s="155"/>
      <c r="AY438" s="155"/>
      <c r="AZ438" s="49"/>
      <c r="BA438" s="49"/>
      <c r="BB438" s="49"/>
      <c r="BC438" s="49"/>
      <c r="BD438" s="49"/>
      <c r="BE438" s="49"/>
      <c r="BF438" s="49"/>
      <c r="BG438" s="49"/>
      <c r="BH438" s="49"/>
      <c r="BI438" s="155"/>
      <c r="BJ438" s="155"/>
      <c r="BK438" s="155"/>
      <c r="BL438" s="49"/>
      <c r="BM438" s="49"/>
      <c r="BN438" s="49"/>
      <c r="BO438" s="49"/>
      <c r="BP438" s="49"/>
      <c r="BQ438" s="49"/>
      <c r="BR438" s="49"/>
      <c r="BS438" s="49"/>
      <c r="BT438" s="49"/>
      <c r="BU438" s="49"/>
      <c r="BV438" s="49"/>
      <c r="BW438" s="49"/>
      <c r="BX438" s="49"/>
      <c r="BY438" s="49"/>
      <c r="BZ438" s="49"/>
      <c r="CA438" s="49"/>
      <c r="CB438" s="49"/>
      <c r="CC438" s="49"/>
      <c r="CD438" s="49"/>
      <c r="CE438" s="49"/>
      <c r="CF438" s="49"/>
      <c r="CG438" s="49"/>
      <c r="CH438" s="49"/>
      <c r="CI438" s="49"/>
      <c r="CJ438" s="49"/>
      <c r="CK438" s="49"/>
      <c r="CL438" s="49"/>
      <c r="CM438" s="49"/>
      <c r="CN438" s="49"/>
      <c r="CO438" s="49"/>
      <c r="CP438" s="49"/>
      <c r="CQ438" s="49"/>
      <c r="CR438" s="49"/>
      <c r="CS438" s="49"/>
      <c r="CT438" s="155"/>
      <c r="CU438" s="155"/>
      <c r="CV438" s="155"/>
      <c r="CW438" s="155"/>
      <c r="CX438" s="155"/>
      <c r="CY438" s="155"/>
      <c r="CZ438" s="155"/>
      <c r="DA438" s="155"/>
      <c r="DB438" s="155"/>
      <c r="DC438" s="155"/>
      <c r="DD438" s="155"/>
      <c r="DE438" s="155"/>
      <c r="DF438" s="155"/>
      <c r="DG438" s="155"/>
      <c r="DH438" s="155"/>
      <c r="DI438" s="155"/>
      <c r="DJ438" s="155"/>
      <c r="DK438" s="155"/>
      <c r="DL438" s="155"/>
      <c r="DM438" s="155"/>
      <c r="DN438" s="155"/>
      <c r="DO438" s="155"/>
      <c r="DP438" s="155"/>
      <c r="DQ438" s="155"/>
      <c r="DR438" s="155"/>
      <c r="DS438" s="155"/>
      <c r="DT438" s="155"/>
      <c r="DU438" s="155"/>
      <c r="DV438" s="155"/>
      <c r="DW438" s="155"/>
      <c r="DX438" s="155"/>
    </row>
    <row r="439" spans="1:128" ht="18" customHeight="1">
      <c r="A439" s="155"/>
      <c r="B439" s="155"/>
      <c r="C439" s="155"/>
      <c r="D439" s="155"/>
      <c r="E439" s="49">
        <v>2197</v>
      </c>
      <c r="F439" s="49" t="str">
        <f t="shared" si="49"/>
        <v>546556778877</v>
      </c>
      <c r="G439" s="155"/>
      <c r="H439" s="155"/>
      <c r="I439" s="270"/>
      <c r="J439" s="270"/>
      <c r="K439" s="270"/>
      <c r="L439" s="270"/>
      <c r="M439" s="270"/>
      <c r="N439" s="270"/>
      <c r="O439" s="155"/>
      <c r="P439" s="155"/>
      <c r="Q439" s="155"/>
      <c r="R439" s="155"/>
      <c r="S439" s="155"/>
      <c r="T439" s="155"/>
      <c r="U439" s="158"/>
      <c r="V439" s="155"/>
      <c r="W439" s="155"/>
      <c r="X439" s="263"/>
      <c r="Y439" s="155"/>
      <c r="Z439" s="155"/>
      <c r="AA439" s="263"/>
      <c r="AB439" s="263"/>
      <c r="AC439" s="155"/>
      <c r="AD439" s="155"/>
      <c r="AE439" s="155"/>
      <c r="AF439" s="155"/>
      <c r="AG439" s="155"/>
      <c r="AH439" s="155"/>
      <c r="AI439" s="155"/>
      <c r="AJ439" s="155"/>
      <c r="AK439" s="155"/>
      <c r="AL439" s="155"/>
      <c r="AM439" s="155"/>
      <c r="AN439" s="155"/>
      <c r="AO439" s="155"/>
      <c r="AP439" s="49"/>
      <c r="AQ439" s="49"/>
      <c r="AR439" s="155"/>
      <c r="AS439" s="155"/>
      <c r="AT439" s="155"/>
      <c r="AU439" s="155"/>
      <c r="AV439" s="155"/>
      <c r="AW439" s="155"/>
      <c r="AX439" s="155"/>
      <c r="AY439" s="155"/>
      <c r="AZ439" s="49"/>
      <c r="BA439" s="49"/>
      <c r="BB439" s="49"/>
      <c r="BC439" s="49"/>
      <c r="BD439" s="49"/>
      <c r="BE439" s="49"/>
      <c r="BF439" s="49"/>
      <c r="BG439" s="49"/>
      <c r="BH439" s="49"/>
      <c r="BI439" s="155"/>
      <c r="BJ439" s="155"/>
      <c r="BK439" s="155"/>
      <c r="BL439" s="49"/>
      <c r="BM439" s="49"/>
      <c r="BN439" s="49"/>
      <c r="BO439" s="49"/>
      <c r="BP439" s="49"/>
      <c r="BQ439" s="49"/>
      <c r="BR439" s="49"/>
      <c r="BS439" s="49"/>
      <c r="BT439" s="49"/>
      <c r="BU439" s="49"/>
      <c r="BV439" s="49"/>
      <c r="BW439" s="49"/>
      <c r="BX439" s="49"/>
      <c r="BY439" s="49"/>
      <c r="BZ439" s="49"/>
      <c r="CA439" s="49"/>
      <c r="CB439" s="49"/>
      <c r="CC439" s="49"/>
      <c r="CD439" s="49"/>
      <c r="CE439" s="49"/>
      <c r="CF439" s="49"/>
      <c r="CG439" s="49"/>
      <c r="CH439" s="49"/>
      <c r="CI439" s="49"/>
      <c r="CJ439" s="49"/>
      <c r="CK439" s="49"/>
      <c r="CL439" s="49"/>
      <c r="CM439" s="49"/>
      <c r="CN439" s="49"/>
      <c r="CO439" s="49"/>
      <c r="CP439" s="49"/>
      <c r="CQ439" s="49"/>
      <c r="CR439" s="49"/>
      <c r="CS439" s="49"/>
      <c r="CT439" s="155"/>
      <c r="CU439" s="155"/>
      <c r="CV439" s="155"/>
      <c r="CW439" s="155"/>
      <c r="CX439" s="155"/>
      <c r="CY439" s="155"/>
      <c r="CZ439" s="155"/>
      <c r="DA439" s="155"/>
      <c r="DB439" s="155"/>
      <c r="DC439" s="155"/>
      <c r="DD439" s="155"/>
      <c r="DE439" s="155"/>
      <c r="DF439" s="155"/>
      <c r="DG439" s="155"/>
      <c r="DH439" s="155"/>
      <c r="DI439" s="155"/>
      <c r="DJ439" s="155"/>
      <c r="DK439" s="155"/>
      <c r="DL439" s="155"/>
      <c r="DM439" s="155"/>
      <c r="DN439" s="155"/>
      <c r="DO439" s="155"/>
      <c r="DP439" s="155"/>
      <c r="DQ439" s="155"/>
      <c r="DR439" s="155"/>
      <c r="DS439" s="155"/>
      <c r="DT439" s="155"/>
      <c r="DU439" s="155"/>
      <c r="DV439" s="155"/>
      <c r="DW439" s="155"/>
      <c r="DX439" s="155"/>
    </row>
    <row r="440" spans="1:128" ht="18" customHeight="1">
      <c r="A440" s="155"/>
      <c r="B440" s="155"/>
      <c r="C440" s="155"/>
      <c r="D440" s="155"/>
      <c r="E440" s="49">
        <v>2198</v>
      </c>
      <c r="F440" s="49" t="str">
        <f t="shared" si="49"/>
        <v>546556778877</v>
      </c>
      <c r="G440" s="155"/>
      <c r="H440" s="155"/>
      <c r="I440" s="270"/>
      <c r="J440" s="270"/>
      <c r="K440" s="270"/>
      <c r="L440" s="270"/>
      <c r="M440" s="270"/>
      <c r="N440" s="270"/>
      <c r="O440" s="155"/>
      <c r="P440" s="155"/>
      <c r="Q440" s="155"/>
      <c r="R440" s="155"/>
      <c r="S440" s="155"/>
      <c r="T440" s="155"/>
      <c r="U440" s="158"/>
      <c r="V440" s="155"/>
      <c r="W440" s="155"/>
      <c r="X440" s="263"/>
      <c r="Y440" s="155"/>
      <c r="Z440" s="155"/>
      <c r="AA440" s="263"/>
      <c r="AB440" s="263"/>
      <c r="AC440" s="155"/>
      <c r="AD440" s="155"/>
      <c r="AE440" s="155"/>
      <c r="AF440" s="155"/>
      <c r="AG440" s="155"/>
      <c r="AH440" s="155"/>
      <c r="AI440" s="155"/>
      <c r="AJ440" s="155"/>
      <c r="AK440" s="155"/>
      <c r="AL440" s="155"/>
      <c r="AM440" s="155"/>
      <c r="AN440" s="155"/>
      <c r="AO440" s="155"/>
      <c r="AP440" s="49"/>
      <c r="AQ440" s="49"/>
      <c r="AR440" s="155"/>
      <c r="AS440" s="155"/>
      <c r="AT440" s="155"/>
      <c r="AU440" s="155"/>
      <c r="AV440" s="155"/>
      <c r="AW440" s="155"/>
      <c r="AX440" s="155"/>
      <c r="AY440" s="155"/>
      <c r="AZ440" s="49"/>
      <c r="BA440" s="49"/>
      <c r="BB440" s="49"/>
      <c r="BC440" s="49"/>
      <c r="BD440" s="49"/>
      <c r="BE440" s="49"/>
      <c r="BF440" s="49"/>
      <c r="BG440" s="49"/>
      <c r="BH440" s="49"/>
      <c r="BI440" s="155"/>
      <c r="BJ440" s="155"/>
      <c r="BK440" s="155"/>
      <c r="BL440" s="49"/>
      <c r="BM440" s="49"/>
      <c r="BN440" s="49"/>
      <c r="BO440" s="49"/>
      <c r="BP440" s="49"/>
      <c r="BQ440" s="49"/>
      <c r="BR440" s="49"/>
      <c r="BS440" s="49"/>
      <c r="BT440" s="49"/>
      <c r="BU440" s="49"/>
      <c r="BV440" s="49"/>
      <c r="BW440" s="49"/>
      <c r="BX440" s="49"/>
      <c r="BY440" s="49"/>
      <c r="BZ440" s="49"/>
      <c r="CA440" s="49"/>
      <c r="CB440" s="49"/>
      <c r="CC440" s="49"/>
      <c r="CD440" s="49"/>
      <c r="CE440" s="49"/>
      <c r="CF440" s="49"/>
      <c r="CG440" s="49"/>
      <c r="CH440" s="49"/>
      <c r="CI440" s="49"/>
      <c r="CJ440" s="49"/>
      <c r="CK440" s="49"/>
      <c r="CL440" s="49"/>
      <c r="CM440" s="49"/>
      <c r="CN440" s="49"/>
      <c r="CO440" s="49"/>
      <c r="CP440" s="49"/>
      <c r="CQ440" s="49"/>
      <c r="CR440" s="49"/>
      <c r="CS440" s="49"/>
      <c r="CT440" s="155"/>
      <c r="CU440" s="155"/>
      <c r="CV440" s="155"/>
      <c r="CW440" s="155"/>
      <c r="CX440" s="155"/>
      <c r="CY440" s="155"/>
      <c r="CZ440" s="155"/>
      <c r="DA440" s="155"/>
      <c r="DB440" s="155"/>
      <c r="DC440" s="155"/>
      <c r="DD440" s="155"/>
      <c r="DE440" s="155"/>
      <c r="DF440" s="155"/>
      <c r="DG440" s="155"/>
      <c r="DH440" s="155"/>
      <c r="DI440" s="155"/>
      <c r="DJ440" s="155"/>
      <c r="DK440" s="155"/>
      <c r="DL440" s="155"/>
      <c r="DM440" s="155"/>
      <c r="DN440" s="155"/>
      <c r="DO440" s="155"/>
      <c r="DP440" s="155"/>
      <c r="DQ440" s="155"/>
      <c r="DR440" s="155"/>
      <c r="DS440" s="155"/>
      <c r="DT440" s="155"/>
      <c r="DU440" s="155"/>
      <c r="DV440" s="155"/>
      <c r="DW440" s="155"/>
      <c r="DX440" s="155"/>
    </row>
    <row r="441" spans="1:128" ht="18" customHeight="1">
      <c r="A441" s="155"/>
      <c r="B441" s="155"/>
      <c r="C441" s="155"/>
      <c r="D441" s="155"/>
      <c r="E441" s="49">
        <v>2199</v>
      </c>
      <c r="F441" s="49" t="str">
        <f t="shared" si="49"/>
        <v>646566788887</v>
      </c>
      <c r="G441" s="155"/>
      <c r="H441" s="155"/>
      <c r="I441" s="270"/>
      <c r="J441" s="270"/>
      <c r="K441" s="270"/>
      <c r="L441" s="270"/>
      <c r="M441" s="270"/>
      <c r="N441" s="270"/>
      <c r="O441" s="155"/>
      <c r="P441" s="155"/>
      <c r="Q441" s="155"/>
      <c r="R441" s="155"/>
      <c r="S441" s="155"/>
      <c r="T441" s="155"/>
      <c r="U441" s="158"/>
      <c r="V441" s="155"/>
      <c r="W441" s="155"/>
      <c r="X441" s="263"/>
      <c r="Y441" s="155"/>
      <c r="Z441" s="155"/>
      <c r="AA441" s="263"/>
      <c r="AB441" s="263"/>
      <c r="AC441" s="155"/>
      <c r="AD441" s="155"/>
      <c r="AE441" s="155"/>
      <c r="AF441" s="155"/>
      <c r="AG441" s="155"/>
      <c r="AH441" s="155"/>
      <c r="AI441" s="155"/>
      <c r="AJ441" s="155"/>
      <c r="AK441" s="155"/>
      <c r="AL441" s="155"/>
      <c r="AM441" s="155"/>
      <c r="AN441" s="155"/>
      <c r="AO441" s="155"/>
      <c r="AP441" s="49"/>
      <c r="AQ441" s="49"/>
      <c r="AR441" s="155"/>
      <c r="AS441" s="155"/>
      <c r="AT441" s="155"/>
      <c r="AU441" s="155"/>
      <c r="AV441" s="155"/>
      <c r="AW441" s="155"/>
      <c r="AX441" s="155"/>
      <c r="AY441" s="155"/>
      <c r="AZ441" s="49"/>
      <c r="BA441" s="49"/>
      <c r="BB441" s="49"/>
      <c r="BC441" s="49"/>
      <c r="BD441" s="49"/>
      <c r="BE441" s="49"/>
      <c r="BF441" s="49"/>
      <c r="BG441" s="49"/>
      <c r="BH441" s="49"/>
      <c r="BI441" s="155"/>
      <c r="BJ441" s="155"/>
      <c r="BK441" s="155"/>
      <c r="BL441" s="49"/>
      <c r="BM441" s="49"/>
      <c r="BN441" s="49"/>
      <c r="BO441" s="49"/>
      <c r="BP441" s="49"/>
      <c r="BQ441" s="49"/>
      <c r="BR441" s="49"/>
      <c r="BS441" s="49"/>
      <c r="BT441" s="49"/>
      <c r="BU441" s="49"/>
      <c r="BV441" s="49"/>
      <c r="BW441" s="49"/>
      <c r="BX441" s="49"/>
      <c r="BY441" s="49"/>
      <c r="BZ441" s="49"/>
      <c r="CA441" s="49"/>
      <c r="CB441" s="49"/>
      <c r="CC441" s="49"/>
      <c r="CD441" s="49"/>
      <c r="CE441" s="49"/>
      <c r="CF441" s="49"/>
      <c r="CG441" s="49"/>
      <c r="CH441" s="49"/>
      <c r="CI441" s="49"/>
      <c r="CJ441" s="49"/>
      <c r="CK441" s="49"/>
      <c r="CL441" s="49"/>
      <c r="CM441" s="49"/>
      <c r="CN441" s="49"/>
      <c r="CO441" s="49"/>
      <c r="CP441" s="49"/>
      <c r="CQ441" s="49"/>
      <c r="CR441" s="49"/>
      <c r="CS441" s="49"/>
      <c r="CT441" s="155"/>
      <c r="CU441" s="155"/>
      <c r="CV441" s="155"/>
      <c r="CW441" s="155"/>
      <c r="CX441" s="155"/>
      <c r="CY441" s="155"/>
      <c r="CZ441" s="155"/>
      <c r="DA441" s="155"/>
      <c r="DB441" s="155"/>
      <c r="DC441" s="155"/>
      <c r="DD441" s="155"/>
      <c r="DE441" s="155"/>
      <c r="DF441" s="155"/>
      <c r="DG441" s="155"/>
      <c r="DH441" s="155"/>
      <c r="DI441" s="155"/>
      <c r="DJ441" s="155"/>
      <c r="DK441" s="155"/>
      <c r="DL441" s="155"/>
      <c r="DM441" s="155"/>
      <c r="DN441" s="155"/>
      <c r="DO441" s="155"/>
      <c r="DP441" s="155"/>
      <c r="DQ441" s="155"/>
      <c r="DR441" s="155"/>
      <c r="DS441" s="155"/>
      <c r="DT441" s="155"/>
      <c r="DU441" s="155"/>
      <c r="DV441" s="155"/>
      <c r="DW441" s="155"/>
      <c r="DX441" s="155"/>
    </row>
    <row r="442" spans="1:128" ht="18" customHeight="1">
      <c r="A442" s="155"/>
      <c r="B442" s="155"/>
      <c r="C442" s="155"/>
      <c r="D442" s="155"/>
      <c r="E442" s="49">
        <v>2200</v>
      </c>
      <c r="F442" s="49" t="str">
        <f t="shared" si="49"/>
        <v>546556778877</v>
      </c>
      <c r="G442" s="155"/>
      <c r="H442" s="155"/>
      <c r="I442" s="270"/>
      <c r="J442" s="270"/>
      <c r="K442" s="270"/>
      <c r="L442" s="270"/>
      <c r="M442" s="270"/>
      <c r="N442" s="270"/>
      <c r="O442" s="155"/>
      <c r="P442" s="155"/>
      <c r="Q442" s="155"/>
      <c r="R442" s="155"/>
      <c r="S442" s="155"/>
      <c r="T442" s="155"/>
      <c r="U442" s="158"/>
      <c r="V442" s="155"/>
      <c r="W442" s="155"/>
      <c r="X442" s="263"/>
      <c r="Y442" s="155"/>
      <c r="Z442" s="155"/>
      <c r="AA442" s="263"/>
      <c r="AB442" s="263"/>
      <c r="AC442" s="155"/>
      <c r="AD442" s="155"/>
      <c r="AE442" s="155"/>
      <c r="AF442" s="155"/>
      <c r="AG442" s="155"/>
      <c r="AH442" s="155"/>
      <c r="AI442" s="155"/>
      <c r="AJ442" s="155"/>
      <c r="AK442" s="155"/>
      <c r="AL442" s="155"/>
      <c r="AM442" s="155"/>
      <c r="AN442" s="155"/>
      <c r="AO442" s="155"/>
      <c r="AP442" s="49"/>
      <c r="AQ442" s="49"/>
      <c r="AR442" s="155"/>
      <c r="AS442" s="155"/>
      <c r="AT442" s="155"/>
      <c r="AU442" s="155"/>
      <c r="AV442" s="155"/>
      <c r="AW442" s="155"/>
      <c r="AX442" s="155"/>
      <c r="AY442" s="155"/>
      <c r="AZ442" s="49"/>
      <c r="BA442" s="49"/>
      <c r="BB442" s="49"/>
      <c r="BC442" s="49"/>
      <c r="BD442" s="49"/>
      <c r="BE442" s="49"/>
      <c r="BF442" s="49"/>
      <c r="BG442" s="49"/>
      <c r="BH442" s="49"/>
      <c r="BI442" s="155"/>
      <c r="BJ442" s="155"/>
      <c r="BK442" s="155"/>
      <c r="BL442" s="49"/>
      <c r="BM442" s="49"/>
      <c r="BN442" s="49"/>
      <c r="BO442" s="49"/>
      <c r="BP442" s="49"/>
      <c r="BQ442" s="49"/>
      <c r="BR442" s="49"/>
      <c r="BS442" s="49"/>
      <c r="BT442" s="49"/>
      <c r="BU442" s="49"/>
      <c r="BV442" s="49"/>
      <c r="BW442" s="49"/>
      <c r="BX442" s="49"/>
      <c r="BY442" s="49"/>
      <c r="BZ442" s="49"/>
      <c r="CA442" s="49"/>
      <c r="CB442" s="49"/>
      <c r="CC442" s="49"/>
      <c r="CD442" s="49"/>
      <c r="CE442" s="49"/>
      <c r="CF442" s="49"/>
      <c r="CG442" s="49"/>
      <c r="CH442" s="49"/>
      <c r="CI442" s="49"/>
      <c r="CJ442" s="49"/>
      <c r="CK442" s="49"/>
      <c r="CL442" s="49"/>
      <c r="CM442" s="49"/>
      <c r="CN442" s="49"/>
      <c r="CO442" s="49"/>
      <c r="CP442" s="49"/>
      <c r="CQ442" s="49"/>
      <c r="CR442" s="49"/>
      <c r="CS442" s="49"/>
      <c r="CT442" s="155"/>
      <c r="CU442" s="155"/>
      <c r="CV442" s="155"/>
      <c r="CW442" s="155"/>
      <c r="CX442" s="155"/>
      <c r="CY442" s="155"/>
      <c r="CZ442" s="155"/>
      <c r="DA442" s="155"/>
      <c r="DB442" s="155"/>
      <c r="DC442" s="155"/>
      <c r="DD442" s="155"/>
      <c r="DE442" s="155"/>
      <c r="DF442" s="155"/>
      <c r="DG442" s="155"/>
      <c r="DH442" s="155"/>
      <c r="DI442" s="155"/>
      <c r="DJ442" s="155"/>
      <c r="DK442" s="155"/>
      <c r="DL442" s="155"/>
      <c r="DM442" s="155"/>
      <c r="DN442" s="155"/>
      <c r="DO442" s="155"/>
      <c r="DP442" s="155"/>
      <c r="DQ442" s="155"/>
      <c r="DR442" s="155"/>
      <c r="DS442" s="155"/>
      <c r="DT442" s="155"/>
      <c r="DU442" s="155"/>
      <c r="DV442" s="155"/>
      <c r="DW442" s="155"/>
      <c r="DX442" s="155"/>
    </row>
    <row r="443" spans="1:128" ht="18" customHeight="1">
      <c r="A443" s="155"/>
      <c r="B443" s="155"/>
      <c r="C443" s="155"/>
      <c r="D443" s="155"/>
      <c r="E443" s="155"/>
      <c r="F443" s="155"/>
      <c r="G443" s="155"/>
      <c r="H443" s="155"/>
      <c r="I443" s="270"/>
      <c r="J443" s="270"/>
      <c r="K443" s="270"/>
      <c r="L443" s="270"/>
      <c r="M443" s="270"/>
      <c r="N443" s="270"/>
      <c r="O443" s="155"/>
      <c r="P443" s="155"/>
      <c r="Q443" s="155"/>
      <c r="R443" s="155"/>
      <c r="S443" s="155"/>
      <c r="T443" s="155"/>
      <c r="U443" s="158"/>
      <c r="V443" s="155"/>
      <c r="W443" s="155"/>
      <c r="X443" s="263"/>
      <c r="Y443" s="155"/>
      <c r="Z443" s="155"/>
      <c r="AA443" s="263"/>
      <c r="AB443" s="263"/>
      <c r="AC443" s="155"/>
      <c r="AD443" s="155"/>
      <c r="AE443" s="155"/>
      <c r="AF443" s="155"/>
      <c r="AG443" s="155"/>
      <c r="AH443" s="155"/>
      <c r="AI443" s="155"/>
      <c r="AJ443" s="155"/>
      <c r="AK443" s="155"/>
      <c r="AL443" s="155"/>
      <c r="AM443" s="155"/>
      <c r="AN443" s="155"/>
      <c r="AO443" s="155"/>
      <c r="AP443" s="49"/>
      <c r="AQ443" s="49"/>
      <c r="AR443" s="155"/>
      <c r="AS443" s="155"/>
      <c r="AT443" s="155"/>
      <c r="AU443" s="155"/>
      <c r="AV443" s="155"/>
      <c r="AW443" s="155"/>
      <c r="AX443" s="155"/>
      <c r="AY443" s="155"/>
      <c r="AZ443" s="49"/>
      <c r="BA443" s="49"/>
      <c r="BB443" s="49"/>
      <c r="BC443" s="49"/>
      <c r="BD443" s="49"/>
      <c r="BE443" s="49"/>
      <c r="BF443" s="49"/>
      <c r="BG443" s="49"/>
      <c r="BH443" s="49"/>
      <c r="BI443" s="155"/>
      <c r="BJ443" s="155"/>
      <c r="BK443" s="155"/>
      <c r="BL443" s="49"/>
      <c r="BM443" s="49"/>
      <c r="BN443" s="49"/>
      <c r="BO443" s="49"/>
      <c r="BP443" s="49"/>
      <c r="BQ443" s="49"/>
      <c r="BR443" s="49"/>
      <c r="BS443" s="49"/>
      <c r="BT443" s="49"/>
      <c r="BU443" s="49"/>
      <c r="BV443" s="49"/>
      <c r="BW443" s="49"/>
      <c r="BX443" s="49"/>
      <c r="BY443" s="49"/>
      <c r="BZ443" s="49"/>
      <c r="CA443" s="49"/>
      <c r="CB443" s="49"/>
      <c r="CC443" s="49"/>
      <c r="CD443" s="49"/>
      <c r="CE443" s="49"/>
      <c r="CF443" s="49"/>
      <c r="CG443" s="49"/>
      <c r="CH443" s="49"/>
      <c r="CI443" s="49"/>
      <c r="CJ443" s="49"/>
      <c r="CK443" s="49"/>
      <c r="CL443" s="49"/>
      <c r="CM443" s="49"/>
      <c r="CN443" s="49"/>
      <c r="CO443" s="49"/>
      <c r="CP443" s="49"/>
      <c r="CQ443" s="49"/>
      <c r="CR443" s="49"/>
      <c r="CS443" s="49"/>
      <c r="CT443" s="155"/>
      <c r="CU443" s="155"/>
      <c r="CV443" s="155"/>
      <c r="CW443" s="155"/>
      <c r="CX443" s="155"/>
      <c r="CY443" s="155"/>
      <c r="CZ443" s="155"/>
      <c r="DA443" s="155"/>
      <c r="DB443" s="155"/>
      <c r="DC443" s="155"/>
      <c r="DD443" s="155"/>
      <c r="DE443" s="155"/>
      <c r="DF443" s="155"/>
      <c r="DG443" s="155"/>
      <c r="DH443" s="155"/>
      <c r="DI443" s="155"/>
      <c r="DJ443" s="155"/>
      <c r="DK443" s="155"/>
      <c r="DL443" s="155"/>
      <c r="DM443" s="155"/>
      <c r="DN443" s="155"/>
      <c r="DO443" s="155"/>
      <c r="DP443" s="155"/>
      <c r="DQ443" s="155"/>
      <c r="DR443" s="155"/>
      <c r="DS443" s="155"/>
      <c r="DT443" s="155"/>
      <c r="DU443" s="155"/>
      <c r="DV443" s="155"/>
      <c r="DW443" s="155"/>
      <c r="DX443" s="155"/>
    </row>
    <row r="444" spans="1:128" ht="18" customHeight="1">
      <c r="A444" s="155"/>
      <c r="B444" s="155"/>
      <c r="C444" s="155"/>
      <c r="D444" s="155"/>
      <c r="E444" s="155"/>
      <c r="F444" s="155"/>
      <c r="G444" s="155"/>
      <c r="H444" s="155"/>
      <c r="I444" s="270"/>
      <c r="J444" s="270"/>
      <c r="K444" s="270"/>
      <c r="L444" s="270"/>
      <c r="M444" s="270"/>
      <c r="N444" s="270"/>
      <c r="O444" s="155"/>
      <c r="P444" s="155"/>
      <c r="Q444" s="155"/>
      <c r="R444" s="155"/>
      <c r="S444" s="155"/>
      <c r="T444" s="155"/>
      <c r="U444" s="158"/>
      <c r="V444" s="155"/>
      <c r="W444" s="155"/>
      <c r="X444" s="263"/>
      <c r="Y444" s="155"/>
      <c r="Z444" s="155"/>
      <c r="AA444" s="263"/>
      <c r="AB444" s="263"/>
      <c r="AC444" s="155"/>
      <c r="AD444" s="155"/>
      <c r="AE444" s="155"/>
      <c r="AF444" s="155"/>
      <c r="AG444" s="155"/>
      <c r="AH444" s="155"/>
      <c r="AI444" s="155"/>
      <c r="AJ444" s="155"/>
      <c r="AK444" s="155"/>
      <c r="AL444" s="155"/>
      <c r="AM444" s="155"/>
      <c r="AN444" s="155"/>
      <c r="AO444" s="155"/>
      <c r="AP444" s="49"/>
      <c r="AQ444" s="49"/>
      <c r="AR444" s="155"/>
      <c r="AS444" s="155"/>
      <c r="AT444" s="155"/>
      <c r="AU444" s="155"/>
      <c r="AV444" s="155"/>
      <c r="AW444" s="155"/>
      <c r="AX444" s="155"/>
      <c r="AY444" s="155"/>
      <c r="AZ444" s="49"/>
      <c r="BA444" s="49"/>
      <c r="BB444" s="49"/>
      <c r="BC444" s="49"/>
      <c r="BD444" s="49"/>
      <c r="BE444" s="49"/>
      <c r="BF444" s="49"/>
      <c r="BG444" s="49"/>
      <c r="BH444" s="49"/>
      <c r="BI444" s="155"/>
      <c r="BJ444" s="155"/>
      <c r="BK444" s="155"/>
      <c r="BL444" s="49"/>
      <c r="BM444" s="49"/>
      <c r="BN444" s="49"/>
      <c r="BO444" s="49"/>
      <c r="BP444" s="49"/>
      <c r="BQ444" s="49"/>
      <c r="BR444" s="49"/>
      <c r="BS444" s="49"/>
      <c r="BT444" s="49"/>
      <c r="BU444" s="49"/>
      <c r="BV444" s="49"/>
      <c r="BW444" s="49"/>
      <c r="BX444" s="49"/>
      <c r="BY444" s="49"/>
      <c r="BZ444" s="49"/>
      <c r="CA444" s="49"/>
      <c r="CB444" s="49"/>
      <c r="CC444" s="49"/>
      <c r="CD444" s="49"/>
      <c r="CE444" s="49"/>
      <c r="CF444" s="49"/>
      <c r="CG444" s="49"/>
      <c r="CH444" s="49"/>
      <c r="CI444" s="49"/>
      <c r="CJ444" s="49"/>
      <c r="CK444" s="49"/>
      <c r="CL444" s="49"/>
      <c r="CM444" s="49"/>
      <c r="CN444" s="49"/>
      <c r="CO444" s="49"/>
      <c r="CP444" s="49"/>
      <c r="CQ444" s="49"/>
      <c r="CR444" s="49"/>
      <c r="CS444" s="49"/>
      <c r="CT444" s="155"/>
      <c r="CU444" s="155"/>
      <c r="CV444" s="155"/>
      <c r="CW444" s="155"/>
      <c r="CX444" s="155"/>
      <c r="CY444" s="155"/>
      <c r="CZ444" s="155"/>
      <c r="DA444" s="155"/>
      <c r="DB444" s="155"/>
      <c r="DC444" s="155"/>
      <c r="DD444" s="155"/>
      <c r="DE444" s="155"/>
      <c r="DF444" s="155"/>
      <c r="DG444" s="155"/>
      <c r="DH444" s="155"/>
      <c r="DI444" s="155"/>
      <c r="DJ444" s="155"/>
      <c r="DK444" s="155"/>
      <c r="DL444" s="155"/>
      <c r="DM444" s="155"/>
      <c r="DN444" s="155"/>
      <c r="DO444" s="155"/>
      <c r="DP444" s="155"/>
      <c r="DQ444" s="155"/>
      <c r="DR444" s="155"/>
      <c r="DS444" s="155"/>
      <c r="DT444" s="155"/>
      <c r="DU444" s="155"/>
      <c r="DV444" s="155"/>
      <c r="DW444" s="155"/>
      <c r="DX444" s="155"/>
    </row>
    <row r="445" spans="1:128" ht="18" customHeight="1">
      <c r="A445" s="155"/>
      <c r="B445" s="155"/>
      <c r="C445" s="155"/>
      <c r="D445" s="155"/>
      <c r="E445" s="155"/>
      <c r="F445" s="155"/>
      <c r="G445" s="155"/>
      <c r="H445" s="155"/>
      <c r="I445" s="270"/>
      <c r="J445" s="270"/>
      <c r="K445" s="270"/>
      <c r="L445" s="270"/>
      <c r="M445" s="270"/>
      <c r="N445" s="270"/>
      <c r="O445" s="155"/>
      <c r="P445" s="155"/>
      <c r="Q445" s="155"/>
      <c r="R445" s="155"/>
      <c r="S445" s="155"/>
      <c r="T445" s="155"/>
      <c r="U445" s="158"/>
      <c r="V445" s="155"/>
      <c r="W445" s="155"/>
      <c r="X445" s="263"/>
      <c r="Y445" s="155"/>
      <c r="Z445" s="155"/>
      <c r="AA445" s="263"/>
      <c r="AB445" s="263"/>
      <c r="AC445" s="155"/>
      <c r="AD445" s="155"/>
      <c r="AE445" s="155"/>
      <c r="AF445" s="155"/>
      <c r="AG445" s="155"/>
      <c r="AH445" s="155"/>
      <c r="AI445" s="155"/>
      <c r="AJ445" s="155"/>
      <c r="AK445" s="155"/>
      <c r="AL445" s="155"/>
      <c r="AM445" s="155"/>
      <c r="AN445" s="155"/>
      <c r="AO445" s="155"/>
      <c r="AP445" s="49"/>
      <c r="AQ445" s="49"/>
      <c r="AR445" s="155"/>
      <c r="AS445" s="155"/>
      <c r="AT445" s="155"/>
      <c r="AU445" s="155"/>
      <c r="AV445" s="155"/>
      <c r="AW445" s="155"/>
      <c r="AX445" s="155"/>
      <c r="AY445" s="155"/>
      <c r="AZ445" s="49"/>
      <c r="BA445" s="49"/>
      <c r="BB445" s="49"/>
      <c r="BC445" s="49"/>
      <c r="BD445" s="49"/>
      <c r="BE445" s="49"/>
      <c r="BF445" s="49"/>
      <c r="BG445" s="49"/>
      <c r="BH445" s="49"/>
      <c r="BI445" s="155"/>
      <c r="BJ445" s="155"/>
      <c r="BK445" s="155"/>
      <c r="BL445" s="49"/>
      <c r="BM445" s="49"/>
      <c r="BN445" s="49"/>
      <c r="BO445" s="49"/>
      <c r="BP445" s="49"/>
      <c r="BQ445" s="49"/>
      <c r="BR445" s="49"/>
      <c r="BS445" s="49"/>
      <c r="BT445" s="49"/>
      <c r="BU445" s="49"/>
      <c r="BV445" s="49"/>
      <c r="BW445" s="49"/>
      <c r="BX445" s="49"/>
      <c r="BY445" s="49"/>
      <c r="BZ445" s="49"/>
      <c r="CA445" s="49"/>
      <c r="CB445" s="49"/>
      <c r="CC445" s="49"/>
      <c r="CD445" s="49"/>
      <c r="CE445" s="49"/>
      <c r="CF445" s="49"/>
      <c r="CG445" s="49"/>
      <c r="CH445" s="49"/>
      <c r="CI445" s="49"/>
      <c r="CJ445" s="49"/>
      <c r="CK445" s="49"/>
      <c r="CL445" s="49"/>
      <c r="CM445" s="49"/>
      <c r="CN445" s="49"/>
      <c r="CO445" s="49"/>
      <c r="CP445" s="49"/>
      <c r="CQ445" s="49"/>
      <c r="CR445" s="49"/>
      <c r="CS445" s="49"/>
      <c r="CT445" s="155"/>
      <c r="CU445" s="155"/>
      <c r="CV445" s="155"/>
      <c r="CW445" s="155"/>
      <c r="CX445" s="155"/>
      <c r="CY445" s="155"/>
      <c r="CZ445" s="155"/>
      <c r="DA445" s="155"/>
      <c r="DB445" s="155"/>
      <c r="DC445" s="155"/>
      <c r="DD445" s="155"/>
      <c r="DE445" s="155"/>
      <c r="DF445" s="155"/>
      <c r="DG445" s="155"/>
      <c r="DH445" s="155"/>
      <c r="DI445" s="155"/>
      <c r="DJ445" s="155"/>
      <c r="DK445" s="155"/>
      <c r="DL445" s="155"/>
      <c r="DM445" s="155"/>
      <c r="DN445" s="155"/>
      <c r="DO445" s="155"/>
      <c r="DP445" s="155"/>
      <c r="DQ445" s="155"/>
      <c r="DR445" s="155"/>
      <c r="DS445" s="155"/>
      <c r="DT445" s="155"/>
      <c r="DU445" s="155"/>
      <c r="DV445" s="155"/>
      <c r="DW445" s="155"/>
      <c r="DX445" s="155"/>
    </row>
    <row r="446" spans="1:128" ht="18" customHeight="1">
      <c r="A446" s="155"/>
      <c r="B446" s="155"/>
      <c r="C446" s="155"/>
      <c r="D446" s="155"/>
      <c r="E446" s="155"/>
      <c r="F446" s="155"/>
      <c r="G446" s="155"/>
      <c r="H446" s="155"/>
      <c r="I446" s="270"/>
      <c r="J446" s="270"/>
      <c r="K446" s="270"/>
      <c r="L446" s="270"/>
      <c r="M446" s="270"/>
      <c r="N446" s="270"/>
      <c r="O446" s="155"/>
      <c r="P446" s="155"/>
      <c r="Q446" s="155"/>
      <c r="R446" s="155"/>
      <c r="S446" s="155"/>
      <c r="T446" s="155"/>
      <c r="U446" s="158"/>
      <c r="V446" s="155"/>
      <c r="W446" s="155"/>
      <c r="X446" s="263"/>
      <c r="Y446" s="155"/>
      <c r="Z446" s="155"/>
      <c r="AA446" s="263"/>
      <c r="AB446" s="263"/>
      <c r="AC446" s="155"/>
      <c r="AD446" s="155"/>
      <c r="AE446" s="155"/>
      <c r="AF446" s="155"/>
      <c r="AG446" s="155"/>
      <c r="AH446" s="155"/>
      <c r="AI446" s="155"/>
      <c r="AJ446" s="155"/>
      <c r="AK446" s="155"/>
      <c r="AL446" s="155"/>
      <c r="AM446" s="155"/>
      <c r="AN446" s="155"/>
      <c r="AO446" s="155"/>
      <c r="AP446" s="49"/>
      <c r="AQ446" s="49"/>
      <c r="AR446" s="155"/>
      <c r="AS446" s="155"/>
      <c r="AT446" s="155"/>
      <c r="AU446" s="155"/>
      <c r="AV446" s="155"/>
      <c r="AW446" s="155"/>
      <c r="AX446" s="155"/>
      <c r="AY446" s="155"/>
      <c r="AZ446" s="49"/>
      <c r="BA446" s="49"/>
      <c r="BB446" s="49"/>
      <c r="BC446" s="49"/>
      <c r="BD446" s="49"/>
      <c r="BE446" s="49"/>
      <c r="BF446" s="49"/>
      <c r="BG446" s="49"/>
      <c r="BH446" s="49"/>
      <c r="BI446" s="155"/>
      <c r="BJ446" s="155"/>
      <c r="BK446" s="155"/>
      <c r="BL446" s="49"/>
      <c r="BM446" s="49"/>
      <c r="BN446" s="49"/>
      <c r="BO446" s="49"/>
      <c r="BP446" s="49"/>
      <c r="BQ446" s="49"/>
      <c r="BR446" s="49"/>
      <c r="BS446" s="49"/>
      <c r="BT446" s="49"/>
      <c r="BU446" s="49"/>
      <c r="BV446" s="49"/>
      <c r="BW446" s="49"/>
      <c r="BX446" s="49"/>
      <c r="BY446" s="49"/>
      <c r="BZ446" s="49"/>
      <c r="CA446" s="49"/>
      <c r="CB446" s="49"/>
      <c r="CC446" s="49"/>
      <c r="CD446" s="49"/>
      <c r="CE446" s="49"/>
      <c r="CF446" s="49"/>
      <c r="CG446" s="49"/>
      <c r="CH446" s="49"/>
      <c r="CI446" s="49"/>
      <c r="CJ446" s="49"/>
      <c r="CK446" s="49"/>
      <c r="CL446" s="49"/>
      <c r="CM446" s="49"/>
      <c r="CN446" s="49"/>
      <c r="CO446" s="49"/>
      <c r="CP446" s="49"/>
      <c r="CQ446" s="49"/>
      <c r="CR446" s="49"/>
      <c r="CS446" s="49"/>
      <c r="CT446" s="155"/>
      <c r="CU446" s="155"/>
      <c r="CV446" s="155"/>
      <c r="CW446" s="155"/>
      <c r="CX446" s="155"/>
      <c r="CY446" s="155"/>
      <c r="CZ446" s="155"/>
      <c r="DA446" s="155"/>
      <c r="DB446" s="155"/>
      <c r="DC446" s="155"/>
      <c r="DD446" s="155"/>
      <c r="DE446" s="155"/>
      <c r="DF446" s="155"/>
      <c r="DG446" s="155"/>
      <c r="DH446" s="155"/>
      <c r="DI446" s="155"/>
      <c r="DJ446" s="155"/>
      <c r="DK446" s="155"/>
      <c r="DL446" s="155"/>
      <c r="DM446" s="155"/>
      <c r="DN446" s="155"/>
      <c r="DO446" s="155"/>
      <c r="DP446" s="155"/>
      <c r="DQ446" s="155"/>
      <c r="DR446" s="155"/>
      <c r="DS446" s="155"/>
      <c r="DT446" s="155"/>
      <c r="DU446" s="155"/>
      <c r="DV446" s="155"/>
      <c r="DW446" s="155"/>
      <c r="DX446" s="155"/>
    </row>
    <row r="447" spans="1:128" ht="18" customHeight="1">
      <c r="A447" s="155"/>
      <c r="B447" s="155"/>
      <c r="C447" s="155"/>
      <c r="D447" s="155"/>
      <c r="E447" s="155"/>
      <c r="F447" s="155"/>
      <c r="G447" s="155"/>
      <c r="H447" s="155"/>
      <c r="I447" s="270"/>
      <c r="J447" s="270"/>
      <c r="K447" s="270"/>
      <c r="L447" s="270"/>
      <c r="M447" s="270"/>
      <c r="N447" s="270"/>
      <c r="O447" s="155"/>
      <c r="P447" s="155"/>
      <c r="Q447" s="155"/>
      <c r="R447" s="155"/>
      <c r="S447" s="155"/>
      <c r="T447" s="155"/>
      <c r="U447" s="158"/>
      <c r="V447" s="155"/>
      <c r="W447" s="155"/>
      <c r="X447" s="263"/>
      <c r="Y447" s="155"/>
      <c r="Z447" s="155"/>
      <c r="AA447" s="263"/>
      <c r="AB447" s="263"/>
      <c r="AC447" s="155"/>
      <c r="AD447" s="155"/>
      <c r="AE447" s="155"/>
      <c r="AF447" s="155"/>
      <c r="AG447" s="155"/>
      <c r="AH447" s="155"/>
      <c r="AI447" s="155"/>
      <c r="AJ447" s="155"/>
      <c r="AK447" s="155"/>
      <c r="AL447" s="155"/>
      <c r="AM447" s="155"/>
      <c r="AN447" s="155"/>
      <c r="AO447" s="155"/>
      <c r="AP447" s="49"/>
      <c r="AQ447" s="49"/>
      <c r="AR447" s="155"/>
      <c r="AS447" s="155"/>
      <c r="AT447" s="155"/>
      <c r="AU447" s="155"/>
      <c r="AV447" s="155"/>
      <c r="AW447" s="155"/>
      <c r="AX447" s="155"/>
      <c r="AY447" s="155"/>
      <c r="AZ447" s="49"/>
      <c r="BA447" s="49"/>
      <c r="BB447" s="49"/>
      <c r="BC447" s="49"/>
      <c r="BD447" s="49"/>
      <c r="BE447" s="49"/>
      <c r="BF447" s="49"/>
      <c r="BG447" s="49"/>
      <c r="BH447" s="49"/>
      <c r="BI447" s="155"/>
      <c r="BJ447" s="155"/>
      <c r="BK447" s="155"/>
      <c r="BL447" s="49"/>
      <c r="BM447" s="49"/>
      <c r="BN447" s="49"/>
      <c r="BO447" s="49"/>
      <c r="BP447" s="49"/>
      <c r="BQ447" s="49"/>
      <c r="BR447" s="49"/>
      <c r="BS447" s="49"/>
      <c r="BT447" s="49"/>
      <c r="BU447" s="49"/>
      <c r="BV447" s="49"/>
      <c r="BW447" s="49"/>
      <c r="BX447" s="49"/>
      <c r="BY447" s="49"/>
      <c r="BZ447" s="49"/>
      <c r="CA447" s="49"/>
      <c r="CB447" s="49"/>
      <c r="CC447" s="49"/>
      <c r="CD447" s="49"/>
      <c r="CE447" s="49"/>
      <c r="CF447" s="49"/>
      <c r="CG447" s="49"/>
      <c r="CH447" s="49"/>
      <c r="CI447" s="49"/>
      <c r="CJ447" s="49"/>
      <c r="CK447" s="49"/>
      <c r="CL447" s="49"/>
      <c r="CM447" s="49"/>
      <c r="CN447" s="49"/>
      <c r="CO447" s="49"/>
      <c r="CP447" s="49"/>
      <c r="CQ447" s="49"/>
      <c r="CR447" s="49"/>
      <c r="CS447" s="49"/>
      <c r="CT447" s="155"/>
      <c r="CU447" s="155"/>
      <c r="CV447" s="155"/>
      <c r="CW447" s="155"/>
      <c r="CX447" s="155"/>
      <c r="CY447" s="155"/>
      <c r="CZ447" s="155"/>
      <c r="DA447" s="155"/>
      <c r="DB447" s="155"/>
      <c r="DC447" s="155"/>
      <c r="DD447" s="155"/>
      <c r="DE447" s="155"/>
      <c r="DF447" s="155"/>
      <c r="DG447" s="155"/>
      <c r="DH447" s="155"/>
      <c r="DI447" s="155"/>
      <c r="DJ447" s="155"/>
      <c r="DK447" s="155"/>
      <c r="DL447" s="155"/>
      <c r="DM447" s="155"/>
      <c r="DN447" s="155"/>
      <c r="DO447" s="155"/>
      <c r="DP447" s="155"/>
      <c r="DQ447" s="155"/>
      <c r="DR447" s="155"/>
      <c r="DS447" s="155"/>
      <c r="DT447" s="155"/>
      <c r="DU447" s="155"/>
      <c r="DV447" s="155"/>
      <c r="DW447" s="155"/>
      <c r="DX447" s="155"/>
    </row>
    <row r="448" spans="1:128" ht="18" customHeight="1">
      <c r="A448" s="155"/>
      <c r="B448" s="155"/>
      <c r="C448" s="155"/>
      <c r="D448" s="155"/>
      <c r="E448" s="155"/>
      <c r="F448" s="155"/>
      <c r="G448" s="155"/>
      <c r="H448" s="155"/>
      <c r="I448" s="270"/>
      <c r="J448" s="270"/>
      <c r="K448" s="270"/>
      <c r="L448" s="270"/>
      <c r="M448" s="270"/>
      <c r="N448" s="270"/>
      <c r="O448" s="155"/>
      <c r="P448" s="155"/>
      <c r="Q448" s="155"/>
      <c r="R448" s="155"/>
      <c r="S448" s="155"/>
      <c r="T448" s="155"/>
      <c r="U448" s="158"/>
      <c r="V448" s="155"/>
      <c r="W448" s="155"/>
      <c r="X448" s="263"/>
      <c r="Y448" s="155"/>
      <c r="Z448" s="155"/>
      <c r="AA448" s="263"/>
      <c r="AB448" s="263"/>
      <c r="AC448" s="155"/>
      <c r="AD448" s="155"/>
      <c r="AE448" s="155"/>
      <c r="AF448" s="155"/>
      <c r="AG448" s="155"/>
      <c r="AH448" s="155"/>
      <c r="AI448" s="155"/>
      <c r="AJ448" s="155"/>
      <c r="AK448" s="155"/>
      <c r="AL448" s="155"/>
      <c r="AM448" s="155"/>
      <c r="AN448" s="155"/>
      <c r="AO448" s="155"/>
      <c r="AP448" s="49"/>
      <c r="AQ448" s="49"/>
      <c r="AR448" s="155"/>
      <c r="AS448" s="155"/>
      <c r="AT448" s="155"/>
      <c r="AU448" s="155"/>
      <c r="AV448" s="155"/>
      <c r="AW448" s="155"/>
      <c r="AX448" s="155"/>
      <c r="AY448" s="155"/>
      <c r="AZ448" s="49"/>
      <c r="BA448" s="49"/>
      <c r="BB448" s="49"/>
      <c r="BC448" s="49"/>
      <c r="BD448" s="49"/>
      <c r="BE448" s="49"/>
      <c r="BF448" s="49"/>
      <c r="BG448" s="49"/>
      <c r="BH448" s="49"/>
      <c r="BI448" s="155"/>
      <c r="BJ448" s="155"/>
      <c r="BK448" s="155"/>
      <c r="BL448" s="49"/>
      <c r="BM448" s="49"/>
      <c r="BN448" s="49"/>
      <c r="BO448" s="49"/>
      <c r="BP448" s="49"/>
      <c r="BQ448" s="49"/>
      <c r="BR448" s="49"/>
      <c r="BS448" s="49"/>
      <c r="BT448" s="49"/>
      <c r="BU448" s="49"/>
      <c r="BV448" s="49"/>
      <c r="BW448" s="49"/>
      <c r="BX448" s="49"/>
      <c r="BY448" s="49"/>
      <c r="BZ448" s="49"/>
      <c r="CA448" s="49"/>
      <c r="CB448" s="49"/>
      <c r="CC448" s="49"/>
      <c r="CD448" s="49"/>
      <c r="CE448" s="49"/>
      <c r="CF448" s="49"/>
      <c r="CG448" s="49"/>
      <c r="CH448" s="49"/>
      <c r="CI448" s="49"/>
      <c r="CJ448" s="49"/>
      <c r="CK448" s="49"/>
      <c r="CL448" s="49"/>
      <c r="CM448" s="49"/>
      <c r="CN448" s="49"/>
      <c r="CO448" s="49"/>
      <c r="CP448" s="49"/>
      <c r="CQ448" s="49"/>
      <c r="CR448" s="49"/>
      <c r="CS448" s="49"/>
      <c r="CT448" s="155"/>
      <c r="CU448" s="155"/>
      <c r="CV448" s="155"/>
      <c r="CW448" s="155"/>
      <c r="CX448" s="155"/>
      <c r="CY448" s="155"/>
      <c r="CZ448" s="155"/>
      <c r="DA448" s="155"/>
      <c r="DB448" s="155"/>
      <c r="DC448" s="155"/>
      <c r="DD448" s="155"/>
      <c r="DE448" s="155"/>
      <c r="DF448" s="155"/>
      <c r="DG448" s="155"/>
      <c r="DH448" s="155"/>
      <c r="DI448" s="155"/>
      <c r="DJ448" s="155"/>
      <c r="DK448" s="155"/>
      <c r="DL448" s="155"/>
      <c r="DM448" s="155"/>
      <c r="DN448" s="155"/>
      <c r="DO448" s="155"/>
      <c r="DP448" s="155"/>
      <c r="DQ448" s="155"/>
      <c r="DR448" s="155"/>
      <c r="DS448" s="155"/>
      <c r="DT448" s="155"/>
      <c r="DU448" s="155"/>
      <c r="DV448" s="155"/>
      <c r="DW448" s="155"/>
      <c r="DX448" s="155"/>
    </row>
    <row r="449" spans="1:128" ht="18" customHeight="1">
      <c r="A449" s="155"/>
      <c r="B449" s="155"/>
      <c r="C449" s="155"/>
      <c r="D449" s="155"/>
      <c r="E449" s="155"/>
      <c r="F449" s="155"/>
      <c r="G449" s="155"/>
      <c r="H449" s="155"/>
      <c r="I449" s="270"/>
      <c r="J449" s="270"/>
      <c r="K449" s="270"/>
      <c r="L449" s="270"/>
      <c r="M449" s="270"/>
      <c r="N449" s="270"/>
      <c r="O449" s="155"/>
      <c r="P449" s="155"/>
      <c r="Q449" s="155"/>
      <c r="R449" s="155"/>
      <c r="S449" s="155"/>
      <c r="T449" s="155"/>
      <c r="U449" s="158"/>
      <c r="V449" s="155"/>
      <c r="W449" s="155"/>
      <c r="X449" s="263"/>
      <c r="Y449" s="155"/>
      <c r="Z449" s="155"/>
      <c r="AA449" s="263"/>
      <c r="AB449" s="263"/>
      <c r="AC449" s="155"/>
      <c r="AD449" s="155"/>
      <c r="AE449" s="155"/>
      <c r="AF449" s="155"/>
      <c r="AG449" s="155"/>
      <c r="AH449" s="155"/>
      <c r="AI449" s="155"/>
      <c r="AJ449" s="155"/>
      <c r="AK449" s="155"/>
      <c r="AL449" s="155"/>
      <c r="AM449" s="155"/>
      <c r="AN449" s="155"/>
      <c r="AO449" s="155"/>
      <c r="AP449" s="49"/>
      <c r="AQ449" s="49"/>
      <c r="AR449" s="155"/>
      <c r="AS449" s="155"/>
      <c r="AT449" s="155"/>
      <c r="AU449" s="155"/>
      <c r="AV449" s="155"/>
      <c r="AW449" s="155"/>
      <c r="AX449" s="155"/>
      <c r="AY449" s="155"/>
      <c r="AZ449" s="49"/>
      <c r="BA449" s="49"/>
      <c r="BB449" s="49"/>
      <c r="BC449" s="49"/>
      <c r="BD449" s="49"/>
      <c r="BE449" s="49"/>
      <c r="BF449" s="49"/>
      <c r="BG449" s="49"/>
      <c r="BH449" s="49"/>
      <c r="BI449" s="155"/>
      <c r="BJ449" s="155"/>
      <c r="BK449" s="155"/>
      <c r="BL449" s="49"/>
      <c r="BM449" s="49"/>
      <c r="BN449" s="49"/>
      <c r="BO449" s="49"/>
      <c r="BP449" s="49"/>
      <c r="BQ449" s="49"/>
      <c r="BR449" s="49"/>
      <c r="BS449" s="49"/>
      <c r="BT449" s="49"/>
      <c r="BU449" s="49"/>
      <c r="BV449" s="49"/>
      <c r="BW449" s="49"/>
      <c r="BX449" s="49"/>
      <c r="BY449" s="49"/>
      <c r="BZ449" s="49"/>
      <c r="CA449" s="49"/>
      <c r="CB449" s="49"/>
      <c r="CC449" s="49"/>
      <c r="CD449" s="49"/>
      <c r="CE449" s="49"/>
      <c r="CF449" s="49"/>
      <c r="CG449" s="49"/>
      <c r="CH449" s="49"/>
      <c r="CI449" s="49"/>
      <c r="CJ449" s="49"/>
      <c r="CK449" s="49"/>
      <c r="CL449" s="49"/>
      <c r="CM449" s="49"/>
      <c r="CN449" s="49"/>
      <c r="CO449" s="49"/>
      <c r="CP449" s="49"/>
      <c r="CQ449" s="49"/>
      <c r="CR449" s="49"/>
      <c r="CS449" s="49"/>
      <c r="CT449" s="155"/>
      <c r="CU449" s="155"/>
      <c r="CV449" s="155"/>
      <c r="CW449" s="155"/>
      <c r="CX449" s="155"/>
      <c r="CY449" s="155"/>
      <c r="CZ449" s="155"/>
      <c r="DA449" s="155"/>
      <c r="DB449" s="155"/>
      <c r="DC449" s="155"/>
      <c r="DD449" s="155"/>
      <c r="DE449" s="155"/>
      <c r="DF449" s="155"/>
      <c r="DG449" s="155"/>
      <c r="DH449" s="155"/>
      <c r="DI449" s="155"/>
      <c r="DJ449" s="155"/>
      <c r="DK449" s="155"/>
      <c r="DL449" s="155"/>
      <c r="DM449" s="155"/>
      <c r="DN449" s="155"/>
      <c r="DO449" s="155"/>
      <c r="DP449" s="155"/>
      <c r="DQ449" s="155"/>
      <c r="DR449" s="155"/>
      <c r="DS449" s="155"/>
      <c r="DT449" s="155"/>
      <c r="DU449" s="155"/>
      <c r="DV449" s="155"/>
      <c r="DW449" s="155"/>
      <c r="DX449" s="155"/>
    </row>
    <row r="450" spans="1:128" ht="18" customHeight="1">
      <c r="A450" s="155"/>
      <c r="B450" s="155"/>
      <c r="C450" s="155"/>
      <c r="D450" s="155"/>
      <c r="E450" s="155"/>
      <c r="F450" s="155"/>
      <c r="G450" s="155"/>
      <c r="H450" s="155"/>
      <c r="I450" s="270"/>
      <c r="J450" s="270"/>
      <c r="K450" s="270"/>
      <c r="L450" s="270"/>
      <c r="M450" s="270"/>
      <c r="N450" s="270"/>
      <c r="O450" s="155"/>
      <c r="P450" s="155"/>
      <c r="Q450" s="155"/>
      <c r="R450" s="155"/>
      <c r="S450" s="155"/>
      <c r="T450" s="155"/>
      <c r="U450" s="158"/>
      <c r="V450" s="155"/>
      <c r="W450" s="155"/>
      <c r="X450" s="263"/>
      <c r="Y450" s="155"/>
      <c r="Z450" s="155"/>
      <c r="AA450" s="263"/>
      <c r="AB450" s="263"/>
      <c r="AC450" s="155"/>
      <c r="AD450" s="155"/>
      <c r="AE450" s="155"/>
      <c r="AF450" s="155"/>
      <c r="AG450" s="155"/>
      <c r="AH450" s="155"/>
      <c r="AI450" s="155"/>
      <c r="AJ450" s="155"/>
      <c r="AK450" s="155"/>
      <c r="AL450" s="155"/>
      <c r="AM450" s="155"/>
      <c r="AN450" s="155"/>
      <c r="AO450" s="155"/>
      <c r="AP450" s="49"/>
      <c r="AQ450" s="49"/>
      <c r="AR450" s="155"/>
      <c r="AS450" s="155"/>
      <c r="AT450" s="155"/>
      <c r="AU450" s="155"/>
      <c r="AV450" s="155"/>
      <c r="AW450" s="155"/>
      <c r="AX450" s="155"/>
      <c r="AY450" s="155"/>
      <c r="AZ450" s="49"/>
      <c r="BA450" s="49"/>
      <c r="BB450" s="49"/>
      <c r="BC450" s="49"/>
      <c r="BD450" s="49"/>
      <c r="BE450" s="49"/>
      <c r="BF450" s="49"/>
      <c r="BG450" s="49"/>
      <c r="BH450" s="49"/>
      <c r="BI450" s="155"/>
      <c r="BJ450" s="155"/>
      <c r="BK450" s="155"/>
      <c r="BL450" s="49"/>
      <c r="BM450" s="49"/>
      <c r="BN450" s="49"/>
      <c r="BO450" s="49"/>
      <c r="BP450" s="49"/>
      <c r="BQ450" s="49"/>
      <c r="BR450" s="49"/>
      <c r="BS450" s="49"/>
      <c r="BT450" s="49"/>
      <c r="BU450" s="49"/>
      <c r="BV450" s="49"/>
      <c r="BW450" s="49"/>
      <c r="BX450" s="49"/>
      <c r="BY450" s="49"/>
      <c r="BZ450" s="49"/>
      <c r="CA450" s="49"/>
      <c r="CB450" s="49"/>
      <c r="CC450" s="49"/>
      <c r="CD450" s="49"/>
      <c r="CE450" s="49"/>
      <c r="CF450" s="49"/>
      <c r="CG450" s="49"/>
      <c r="CH450" s="49"/>
      <c r="CI450" s="49"/>
      <c r="CJ450" s="49"/>
      <c r="CK450" s="49"/>
      <c r="CL450" s="49"/>
      <c r="CM450" s="49"/>
      <c r="CN450" s="49"/>
      <c r="CO450" s="49"/>
      <c r="CP450" s="49"/>
      <c r="CQ450" s="49"/>
      <c r="CR450" s="49"/>
      <c r="CS450" s="49"/>
      <c r="CT450" s="155"/>
      <c r="CU450" s="155"/>
      <c r="CV450" s="155"/>
      <c r="CW450" s="155"/>
      <c r="CX450" s="155"/>
      <c r="CY450" s="155"/>
      <c r="CZ450" s="155"/>
      <c r="DA450" s="155"/>
      <c r="DB450" s="155"/>
      <c r="DC450" s="155"/>
      <c r="DD450" s="155"/>
      <c r="DE450" s="155"/>
      <c r="DF450" s="155"/>
      <c r="DG450" s="155"/>
      <c r="DH450" s="155"/>
      <c r="DI450" s="155"/>
      <c r="DJ450" s="155"/>
      <c r="DK450" s="155"/>
      <c r="DL450" s="155"/>
      <c r="DM450" s="155"/>
      <c r="DN450" s="155"/>
      <c r="DO450" s="155"/>
      <c r="DP450" s="155"/>
      <c r="DQ450" s="155"/>
      <c r="DR450" s="155"/>
      <c r="DS450" s="155"/>
      <c r="DT450" s="155"/>
      <c r="DU450" s="155"/>
      <c r="DV450" s="155"/>
      <c r="DW450" s="155"/>
      <c r="DX450" s="155"/>
    </row>
    <row r="451" spans="1:128" ht="18" customHeight="1">
      <c r="A451" s="155"/>
      <c r="B451" s="155"/>
      <c r="C451" s="155"/>
      <c r="D451" s="155"/>
      <c r="E451" s="155"/>
      <c r="F451" s="155"/>
      <c r="G451" s="155"/>
      <c r="H451" s="155"/>
      <c r="I451" s="270"/>
      <c r="J451" s="270"/>
      <c r="K451" s="270"/>
      <c r="L451" s="270"/>
      <c r="M451" s="270"/>
      <c r="N451" s="270"/>
      <c r="O451" s="155"/>
      <c r="P451" s="155"/>
      <c r="Q451" s="155"/>
      <c r="R451" s="155"/>
      <c r="S451" s="155"/>
      <c r="T451" s="155"/>
      <c r="U451" s="158"/>
      <c r="V451" s="155"/>
      <c r="W451" s="155"/>
      <c r="X451" s="263"/>
      <c r="Y451" s="155"/>
      <c r="Z451" s="155"/>
      <c r="AA451" s="263"/>
      <c r="AB451" s="263"/>
      <c r="AC451" s="155"/>
      <c r="AD451" s="155"/>
      <c r="AE451" s="155"/>
      <c r="AF451" s="155"/>
      <c r="AG451" s="155"/>
      <c r="AH451" s="155"/>
      <c r="AI451" s="155"/>
      <c r="AJ451" s="155"/>
      <c r="AK451" s="155"/>
      <c r="AL451" s="155"/>
      <c r="AM451" s="155"/>
      <c r="AN451" s="155"/>
      <c r="AO451" s="155"/>
      <c r="AP451" s="49"/>
      <c r="AQ451" s="49"/>
      <c r="AR451" s="155"/>
      <c r="AS451" s="155"/>
      <c r="AT451" s="155"/>
      <c r="AU451" s="155"/>
      <c r="AV451" s="155"/>
      <c r="AW451" s="155"/>
      <c r="AX451" s="155"/>
      <c r="AY451" s="155"/>
      <c r="AZ451" s="49"/>
      <c r="BA451" s="49"/>
      <c r="BB451" s="49"/>
      <c r="BC451" s="49"/>
      <c r="BD451" s="49"/>
      <c r="BE451" s="49"/>
      <c r="BF451" s="49"/>
      <c r="BG451" s="49"/>
      <c r="BH451" s="49"/>
      <c r="BI451" s="155"/>
      <c r="BJ451" s="155"/>
      <c r="BK451" s="155"/>
      <c r="BL451" s="49"/>
      <c r="BM451" s="49"/>
      <c r="BN451" s="49"/>
      <c r="BO451" s="49"/>
      <c r="BP451" s="49"/>
      <c r="BQ451" s="49"/>
      <c r="BR451" s="49"/>
      <c r="BS451" s="49"/>
      <c r="BT451" s="49"/>
      <c r="BU451" s="49"/>
      <c r="BV451" s="49"/>
      <c r="BW451" s="49"/>
      <c r="BX451" s="49"/>
      <c r="BY451" s="49"/>
      <c r="BZ451" s="49"/>
      <c r="CA451" s="49"/>
      <c r="CB451" s="49"/>
      <c r="CC451" s="49"/>
      <c r="CD451" s="49"/>
      <c r="CE451" s="49"/>
      <c r="CF451" s="49"/>
      <c r="CG451" s="49"/>
      <c r="CH451" s="49"/>
      <c r="CI451" s="49"/>
      <c r="CJ451" s="49"/>
      <c r="CK451" s="49"/>
      <c r="CL451" s="49"/>
      <c r="CM451" s="49"/>
      <c r="CN451" s="49"/>
      <c r="CO451" s="49"/>
      <c r="CP451" s="49"/>
      <c r="CQ451" s="49"/>
      <c r="CR451" s="49"/>
      <c r="CS451" s="49"/>
      <c r="CT451" s="155"/>
      <c r="CU451" s="155"/>
      <c r="CV451" s="155"/>
      <c r="CW451" s="155"/>
      <c r="CX451" s="155"/>
      <c r="CY451" s="155"/>
      <c r="CZ451" s="155"/>
      <c r="DA451" s="155"/>
      <c r="DB451" s="155"/>
      <c r="DC451" s="155"/>
      <c r="DD451" s="155"/>
      <c r="DE451" s="155"/>
      <c r="DF451" s="155"/>
      <c r="DG451" s="155"/>
      <c r="DH451" s="155"/>
      <c r="DI451" s="155"/>
      <c r="DJ451" s="155"/>
      <c r="DK451" s="155"/>
      <c r="DL451" s="155"/>
      <c r="DM451" s="155"/>
      <c r="DN451" s="155"/>
      <c r="DO451" s="155"/>
      <c r="DP451" s="155"/>
      <c r="DQ451" s="155"/>
      <c r="DR451" s="155"/>
      <c r="DS451" s="155"/>
      <c r="DT451" s="155"/>
      <c r="DU451" s="155"/>
      <c r="DV451" s="155"/>
      <c r="DW451" s="155"/>
      <c r="DX451" s="155"/>
    </row>
    <row r="452" spans="1:128" ht="18" customHeight="1">
      <c r="A452" s="155"/>
      <c r="B452" s="155"/>
      <c r="C452" s="155"/>
      <c r="D452" s="155"/>
      <c r="E452" s="155"/>
      <c r="F452" s="155"/>
      <c r="G452" s="155"/>
      <c r="H452" s="155"/>
      <c r="I452" s="270"/>
      <c r="J452" s="270"/>
      <c r="K452" s="270"/>
      <c r="L452" s="270"/>
      <c r="M452" s="270"/>
      <c r="N452" s="270"/>
      <c r="O452" s="155"/>
      <c r="P452" s="155"/>
      <c r="Q452" s="155"/>
      <c r="R452" s="155"/>
      <c r="S452" s="155"/>
      <c r="T452" s="155"/>
      <c r="U452" s="158"/>
      <c r="V452" s="155"/>
      <c r="W452" s="155"/>
      <c r="X452" s="263"/>
      <c r="Y452" s="155"/>
      <c r="Z452" s="155"/>
      <c r="AA452" s="263"/>
      <c r="AB452" s="263"/>
      <c r="AC452" s="155"/>
      <c r="AD452" s="155"/>
      <c r="AE452" s="155"/>
      <c r="AF452" s="155"/>
      <c r="AG452" s="155"/>
      <c r="AH452" s="155"/>
      <c r="AI452" s="155"/>
      <c r="AJ452" s="155"/>
      <c r="AK452" s="155"/>
      <c r="AL452" s="155"/>
      <c r="AM452" s="155"/>
      <c r="AN452" s="155"/>
      <c r="AO452" s="155"/>
      <c r="AP452" s="49"/>
      <c r="AQ452" s="49"/>
      <c r="AR452" s="155"/>
      <c r="AS452" s="155"/>
      <c r="AT452" s="155"/>
      <c r="AU452" s="155"/>
      <c r="AV452" s="155"/>
      <c r="AW452" s="155"/>
      <c r="AX452" s="155"/>
      <c r="AY452" s="155"/>
      <c r="AZ452" s="49"/>
      <c r="BA452" s="49"/>
      <c r="BB452" s="49"/>
      <c r="BC452" s="49"/>
      <c r="BD452" s="49"/>
      <c r="BE452" s="49"/>
      <c r="BF452" s="49"/>
      <c r="BG452" s="49"/>
      <c r="BH452" s="49"/>
      <c r="BI452" s="155"/>
      <c r="BJ452" s="155"/>
      <c r="BK452" s="155"/>
      <c r="BL452" s="49"/>
      <c r="BM452" s="49"/>
      <c r="BN452" s="49"/>
      <c r="BO452" s="49"/>
      <c r="BP452" s="49"/>
      <c r="BQ452" s="49"/>
      <c r="BR452" s="49"/>
      <c r="BS452" s="49"/>
      <c r="BT452" s="49"/>
      <c r="BU452" s="49"/>
      <c r="BV452" s="49"/>
      <c r="BW452" s="49"/>
      <c r="BX452" s="49"/>
      <c r="BY452" s="49"/>
      <c r="BZ452" s="49"/>
      <c r="CA452" s="49"/>
      <c r="CB452" s="49"/>
      <c r="CC452" s="49"/>
      <c r="CD452" s="49"/>
      <c r="CE452" s="49"/>
      <c r="CF452" s="49"/>
      <c r="CG452" s="49"/>
      <c r="CH452" s="49"/>
      <c r="CI452" s="49"/>
      <c r="CJ452" s="49"/>
      <c r="CK452" s="49"/>
      <c r="CL452" s="49"/>
      <c r="CM452" s="49"/>
      <c r="CN452" s="49"/>
      <c r="CO452" s="49"/>
      <c r="CP452" s="49"/>
      <c r="CQ452" s="49"/>
      <c r="CR452" s="49"/>
      <c r="CS452" s="49"/>
      <c r="CT452" s="155"/>
      <c r="CU452" s="155"/>
      <c r="CV452" s="155"/>
      <c r="CW452" s="155"/>
      <c r="CX452" s="155"/>
      <c r="CY452" s="155"/>
      <c r="CZ452" s="155"/>
      <c r="DA452" s="155"/>
      <c r="DB452" s="155"/>
      <c r="DC452" s="155"/>
      <c r="DD452" s="155"/>
      <c r="DE452" s="155"/>
      <c r="DF452" s="155"/>
      <c r="DG452" s="155"/>
      <c r="DH452" s="155"/>
      <c r="DI452" s="155"/>
      <c r="DJ452" s="155"/>
      <c r="DK452" s="155"/>
      <c r="DL452" s="155"/>
      <c r="DM452" s="155"/>
      <c r="DN452" s="155"/>
      <c r="DO452" s="155"/>
      <c r="DP452" s="155"/>
      <c r="DQ452" s="155"/>
      <c r="DR452" s="155"/>
      <c r="DS452" s="155"/>
      <c r="DT452" s="155"/>
      <c r="DU452" s="155"/>
      <c r="DV452" s="155"/>
      <c r="DW452" s="155"/>
      <c r="DX452" s="155"/>
    </row>
    <row r="453" spans="1:128" ht="18" customHeight="1">
      <c r="A453" s="155"/>
      <c r="B453" s="155"/>
      <c r="C453" s="155"/>
      <c r="D453" s="155"/>
      <c r="E453" s="155"/>
      <c r="F453" s="155"/>
      <c r="G453" s="155"/>
      <c r="H453" s="155"/>
      <c r="I453" s="270"/>
      <c r="J453" s="270"/>
      <c r="K453" s="270"/>
      <c r="L453" s="270"/>
      <c r="M453" s="270"/>
      <c r="N453" s="270"/>
      <c r="O453" s="155"/>
      <c r="P453" s="155"/>
      <c r="Q453" s="155"/>
      <c r="R453" s="155"/>
      <c r="S453" s="155"/>
      <c r="T453" s="155"/>
      <c r="U453" s="158"/>
      <c r="V453" s="155"/>
      <c r="W453" s="155"/>
      <c r="X453" s="263"/>
      <c r="Y453" s="155"/>
      <c r="Z453" s="155"/>
      <c r="AA453" s="263"/>
      <c r="AB453" s="263"/>
      <c r="AC453" s="155"/>
      <c r="AD453" s="155"/>
      <c r="AE453" s="155"/>
      <c r="AF453" s="155"/>
      <c r="AG453" s="155"/>
      <c r="AH453" s="155"/>
      <c r="AI453" s="155"/>
      <c r="AJ453" s="155"/>
      <c r="AK453" s="155"/>
      <c r="AL453" s="155"/>
      <c r="AM453" s="155"/>
      <c r="AN453" s="155"/>
      <c r="AO453" s="155"/>
      <c r="AP453" s="49"/>
      <c r="AQ453" s="49"/>
      <c r="AR453" s="155"/>
      <c r="AS453" s="155"/>
      <c r="AT453" s="155"/>
      <c r="AU453" s="155"/>
      <c r="AV453" s="155"/>
      <c r="AW453" s="155"/>
      <c r="AX453" s="155"/>
      <c r="AY453" s="155"/>
      <c r="AZ453" s="49"/>
      <c r="BA453" s="49"/>
      <c r="BB453" s="49"/>
      <c r="BC453" s="49"/>
      <c r="BD453" s="49"/>
      <c r="BE453" s="49"/>
      <c r="BF453" s="49"/>
      <c r="BG453" s="49"/>
      <c r="BH453" s="49"/>
      <c r="BI453" s="155"/>
      <c r="BJ453" s="155"/>
      <c r="BK453" s="155"/>
      <c r="BL453" s="49"/>
      <c r="BM453" s="49"/>
      <c r="BN453" s="49"/>
      <c r="BO453" s="49"/>
      <c r="BP453" s="49"/>
      <c r="BQ453" s="49"/>
      <c r="BR453" s="49"/>
      <c r="BS453" s="49"/>
      <c r="BT453" s="49"/>
      <c r="BU453" s="49"/>
      <c r="BV453" s="49"/>
      <c r="BW453" s="49"/>
      <c r="BX453" s="49"/>
      <c r="BY453" s="49"/>
      <c r="BZ453" s="49"/>
      <c r="CA453" s="49"/>
      <c r="CB453" s="49"/>
      <c r="CC453" s="49"/>
      <c r="CD453" s="49"/>
      <c r="CE453" s="49"/>
      <c r="CF453" s="49"/>
      <c r="CG453" s="49"/>
      <c r="CH453" s="49"/>
      <c r="CI453" s="49"/>
      <c r="CJ453" s="49"/>
      <c r="CK453" s="49"/>
      <c r="CL453" s="49"/>
      <c r="CM453" s="49"/>
      <c r="CN453" s="49"/>
      <c r="CO453" s="49"/>
      <c r="CP453" s="49"/>
      <c r="CQ453" s="49"/>
      <c r="CR453" s="49"/>
      <c r="CS453" s="49"/>
      <c r="CT453" s="155"/>
      <c r="CU453" s="155"/>
      <c r="CV453" s="155"/>
      <c r="CW453" s="155"/>
      <c r="CX453" s="155"/>
      <c r="CY453" s="155"/>
      <c r="CZ453" s="155"/>
      <c r="DA453" s="155"/>
      <c r="DB453" s="155"/>
      <c r="DC453" s="155"/>
      <c r="DD453" s="155"/>
      <c r="DE453" s="155"/>
      <c r="DF453" s="155"/>
      <c r="DG453" s="155"/>
      <c r="DH453" s="155"/>
      <c r="DI453" s="155"/>
      <c r="DJ453" s="155"/>
      <c r="DK453" s="155"/>
      <c r="DL453" s="155"/>
      <c r="DM453" s="155"/>
      <c r="DN453" s="155"/>
      <c r="DO453" s="155"/>
      <c r="DP453" s="155"/>
      <c r="DQ453" s="155"/>
      <c r="DR453" s="155"/>
      <c r="DS453" s="155"/>
      <c r="DT453" s="155"/>
      <c r="DU453" s="155"/>
      <c r="DV453" s="155"/>
      <c r="DW453" s="155"/>
      <c r="DX453" s="155"/>
    </row>
    <row r="454" spans="1:128" ht="18" customHeight="1">
      <c r="A454" s="155"/>
      <c r="B454" s="155"/>
      <c r="C454" s="155"/>
      <c r="D454" s="155"/>
      <c r="E454" s="155"/>
      <c r="F454" s="155"/>
      <c r="G454" s="155"/>
      <c r="H454" s="155"/>
      <c r="I454" s="270"/>
      <c r="J454" s="270"/>
      <c r="K454" s="270"/>
      <c r="L454" s="270"/>
      <c r="M454" s="270"/>
      <c r="N454" s="270"/>
      <c r="O454" s="155"/>
      <c r="P454" s="155"/>
      <c r="Q454" s="155"/>
      <c r="R454" s="155"/>
      <c r="S454" s="155"/>
      <c r="T454" s="155"/>
      <c r="U454" s="158"/>
      <c r="V454" s="155"/>
      <c r="W454" s="155"/>
      <c r="X454" s="263"/>
      <c r="Y454" s="155"/>
      <c r="Z454" s="155"/>
      <c r="AA454" s="263"/>
      <c r="AB454" s="263"/>
      <c r="AC454" s="155"/>
      <c r="AD454" s="155"/>
      <c r="AE454" s="155"/>
      <c r="AF454" s="155"/>
      <c r="AG454" s="155"/>
      <c r="AH454" s="155"/>
      <c r="AI454" s="155"/>
      <c r="AJ454" s="155"/>
      <c r="AK454" s="155"/>
      <c r="AL454" s="155"/>
      <c r="AM454" s="155"/>
      <c r="AN454" s="155"/>
      <c r="AO454" s="155"/>
      <c r="AP454" s="49"/>
      <c r="AQ454" s="49"/>
      <c r="AR454" s="155"/>
      <c r="AS454" s="155"/>
      <c r="AT454" s="155"/>
      <c r="AU454" s="155"/>
      <c r="AV454" s="155"/>
      <c r="AW454" s="155"/>
      <c r="AX454" s="155"/>
      <c r="AY454" s="155"/>
      <c r="AZ454" s="49"/>
      <c r="BA454" s="49"/>
      <c r="BB454" s="49"/>
      <c r="BC454" s="49"/>
      <c r="BD454" s="49"/>
      <c r="BE454" s="49"/>
      <c r="BF454" s="49"/>
      <c r="BG454" s="49"/>
      <c r="BH454" s="49"/>
      <c r="BI454" s="155"/>
      <c r="BJ454" s="155"/>
      <c r="BK454" s="155"/>
      <c r="BL454" s="49"/>
      <c r="BM454" s="49"/>
      <c r="BN454" s="49"/>
      <c r="BO454" s="49"/>
      <c r="BP454" s="49"/>
      <c r="BQ454" s="49"/>
      <c r="BR454" s="49"/>
      <c r="BS454" s="49"/>
      <c r="BT454" s="49"/>
      <c r="BU454" s="49"/>
      <c r="BV454" s="49"/>
      <c r="BW454" s="49"/>
      <c r="BX454" s="49"/>
      <c r="BY454" s="49"/>
      <c r="BZ454" s="49"/>
      <c r="CA454" s="49"/>
      <c r="CB454" s="49"/>
      <c r="CC454" s="49"/>
      <c r="CD454" s="49"/>
      <c r="CE454" s="49"/>
      <c r="CF454" s="49"/>
      <c r="CG454" s="49"/>
      <c r="CH454" s="49"/>
      <c r="CI454" s="49"/>
      <c r="CJ454" s="49"/>
      <c r="CK454" s="49"/>
      <c r="CL454" s="49"/>
      <c r="CM454" s="49"/>
      <c r="CN454" s="49"/>
      <c r="CO454" s="49"/>
      <c r="CP454" s="49"/>
      <c r="CQ454" s="49"/>
      <c r="CR454" s="49"/>
      <c r="CS454" s="49"/>
      <c r="CT454" s="155"/>
      <c r="CU454" s="155"/>
      <c r="CV454" s="155"/>
      <c r="CW454" s="155"/>
      <c r="CX454" s="155"/>
      <c r="CY454" s="155"/>
      <c r="CZ454" s="155"/>
      <c r="DA454" s="155"/>
      <c r="DB454" s="155"/>
      <c r="DC454" s="155"/>
      <c r="DD454" s="155"/>
      <c r="DE454" s="155"/>
      <c r="DF454" s="155"/>
      <c r="DG454" s="155"/>
      <c r="DH454" s="155"/>
      <c r="DI454" s="155"/>
      <c r="DJ454" s="155"/>
      <c r="DK454" s="155"/>
      <c r="DL454" s="155"/>
      <c r="DM454" s="155"/>
      <c r="DN454" s="155"/>
      <c r="DO454" s="155"/>
      <c r="DP454" s="155"/>
      <c r="DQ454" s="155"/>
      <c r="DR454" s="155"/>
      <c r="DS454" s="155"/>
      <c r="DT454" s="155"/>
      <c r="DU454" s="155"/>
      <c r="DV454" s="155"/>
      <c r="DW454" s="155"/>
      <c r="DX454" s="155"/>
    </row>
    <row r="455" spans="1:128" ht="18" customHeight="1">
      <c r="A455" s="155"/>
      <c r="B455" s="155"/>
      <c r="C455" s="155"/>
      <c r="D455" s="155"/>
      <c r="E455" s="155"/>
      <c r="F455" s="155"/>
      <c r="G455" s="155"/>
      <c r="H455" s="155"/>
      <c r="I455" s="270"/>
      <c r="J455" s="270"/>
      <c r="K455" s="270"/>
      <c r="L455" s="270"/>
      <c r="M455" s="270"/>
      <c r="N455" s="270"/>
      <c r="O455" s="155"/>
      <c r="P455" s="155"/>
      <c r="Q455" s="155"/>
      <c r="R455" s="155"/>
      <c r="S455" s="155"/>
      <c r="T455" s="155"/>
      <c r="U455" s="158"/>
      <c r="V455" s="155"/>
      <c r="W455" s="155"/>
      <c r="X455" s="263"/>
      <c r="Y455" s="155"/>
      <c r="Z455" s="155"/>
      <c r="AA455" s="263"/>
      <c r="AB455" s="263"/>
      <c r="AC455" s="155"/>
      <c r="AD455" s="155"/>
      <c r="AE455" s="155"/>
      <c r="AF455" s="155"/>
      <c r="AG455" s="155"/>
      <c r="AH455" s="155"/>
      <c r="AI455" s="155"/>
      <c r="AJ455" s="155"/>
      <c r="AK455" s="155"/>
      <c r="AL455" s="155"/>
      <c r="AM455" s="155"/>
      <c r="AN455" s="155"/>
      <c r="AO455" s="155"/>
      <c r="AP455" s="49"/>
      <c r="AQ455" s="49"/>
      <c r="AR455" s="155"/>
      <c r="AS455" s="155"/>
      <c r="AT455" s="155"/>
      <c r="AU455" s="155"/>
      <c r="AV455" s="155"/>
      <c r="AW455" s="155"/>
      <c r="AX455" s="155"/>
      <c r="AY455" s="155"/>
      <c r="AZ455" s="49"/>
      <c r="BA455" s="49"/>
      <c r="BB455" s="49"/>
      <c r="BC455" s="49"/>
      <c r="BD455" s="49"/>
      <c r="BE455" s="49"/>
      <c r="BF455" s="49"/>
      <c r="BG455" s="49"/>
      <c r="BH455" s="49"/>
      <c r="BI455" s="155"/>
      <c r="BJ455" s="155"/>
      <c r="BK455" s="155"/>
      <c r="BL455" s="49"/>
      <c r="BM455" s="49"/>
      <c r="BN455" s="49"/>
      <c r="BO455" s="49"/>
      <c r="BP455" s="49"/>
      <c r="BQ455" s="49"/>
      <c r="BR455" s="49"/>
      <c r="BS455" s="49"/>
      <c r="BT455" s="49"/>
      <c r="BU455" s="49"/>
      <c r="BV455" s="49"/>
      <c r="BW455" s="49"/>
      <c r="BX455" s="49"/>
      <c r="BY455" s="49"/>
      <c r="BZ455" s="49"/>
      <c r="CA455" s="49"/>
      <c r="CB455" s="49"/>
      <c r="CC455" s="49"/>
      <c r="CD455" s="49"/>
      <c r="CE455" s="49"/>
      <c r="CF455" s="49"/>
      <c r="CG455" s="49"/>
      <c r="CH455" s="49"/>
      <c r="CI455" s="49"/>
      <c r="CJ455" s="49"/>
      <c r="CK455" s="49"/>
      <c r="CL455" s="49"/>
      <c r="CM455" s="49"/>
      <c r="CN455" s="49"/>
      <c r="CO455" s="49"/>
      <c r="CP455" s="49"/>
      <c r="CQ455" s="49"/>
      <c r="CR455" s="49"/>
      <c r="CS455" s="49"/>
      <c r="CT455" s="155"/>
      <c r="CU455" s="155"/>
      <c r="CV455" s="155"/>
      <c r="CW455" s="155"/>
      <c r="CX455" s="155"/>
      <c r="CY455" s="155"/>
      <c r="CZ455" s="155"/>
      <c r="DA455" s="155"/>
      <c r="DB455" s="155"/>
      <c r="DC455" s="155"/>
      <c r="DD455" s="155"/>
      <c r="DE455" s="155"/>
      <c r="DF455" s="155"/>
      <c r="DG455" s="155"/>
      <c r="DH455" s="155"/>
      <c r="DI455" s="155"/>
      <c r="DJ455" s="155"/>
      <c r="DK455" s="155"/>
      <c r="DL455" s="155"/>
      <c r="DM455" s="155"/>
      <c r="DN455" s="155"/>
      <c r="DO455" s="155"/>
      <c r="DP455" s="155"/>
      <c r="DQ455" s="155"/>
      <c r="DR455" s="155"/>
      <c r="DS455" s="155"/>
      <c r="DT455" s="155"/>
      <c r="DU455" s="155"/>
      <c r="DV455" s="155"/>
      <c r="DW455" s="155"/>
      <c r="DX455" s="155"/>
    </row>
    <row r="456" spans="1:128" ht="18" customHeight="1">
      <c r="A456" s="155"/>
      <c r="B456" s="155"/>
      <c r="C456" s="155"/>
      <c r="D456" s="155"/>
      <c r="E456" s="155"/>
      <c r="F456" s="155"/>
      <c r="G456" s="155"/>
      <c r="H456" s="155"/>
      <c r="I456" s="270"/>
      <c r="J456" s="270"/>
      <c r="K456" s="270"/>
      <c r="L456" s="270"/>
      <c r="M456" s="270"/>
      <c r="N456" s="270"/>
      <c r="O456" s="155"/>
      <c r="P456" s="155"/>
      <c r="Q456" s="155"/>
      <c r="R456" s="155"/>
      <c r="S456" s="155"/>
      <c r="T456" s="155"/>
      <c r="U456" s="158"/>
      <c r="V456" s="155"/>
      <c r="W456" s="155"/>
      <c r="X456" s="263"/>
      <c r="Y456" s="155"/>
      <c r="Z456" s="155"/>
      <c r="AA456" s="263"/>
      <c r="AB456" s="263"/>
      <c r="AC456" s="155"/>
      <c r="AD456" s="155"/>
      <c r="AE456" s="155"/>
      <c r="AF456" s="155"/>
      <c r="AG456" s="155"/>
      <c r="AH456" s="155"/>
      <c r="AI456" s="155"/>
      <c r="AJ456" s="155"/>
      <c r="AK456" s="155"/>
      <c r="AL456" s="155"/>
      <c r="AM456" s="155"/>
      <c r="AN456" s="155"/>
      <c r="AO456" s="155"/>
      <c r="AP456" s="49"/>
      <c r="AQ456" s="49"/>
      <c r="AR456" s="155"/>
      <c r="AS456" s="155"/>
      <c r="AT456" s="155"/>
      <c r="AU456" s="155"/>
      <c r="AV456" s="155"/>
      <c r="AW456" s="155"/>
      <c r="AX456" s="155"/>
      <c r="AY456" s="155"/>
      <c r="AZ456" s="49"/>
      <c r="BA456" s="49"/>
      <c r="BB456" s="49"/>
      <c r="BC456" s="49"/>
      <c r="BD456" s="49"/>
      <c r="BE456" s="49"/>
      <c r="BF456" s="49"/>
      <c r="BG456" s="49"/>
      <c r="BH456" s="49"/>
      <c r="BI456" s="155"/>
      <c r="BJ456" s="155"/>
      <c r="BK456" s="155"/>
      <c r="BL456" s="49"/>
      <c r="BM456" s="49"/>
      <c r="BN456" s="49"/>
      <c r="BO456" s="49"/>
      <c r="BP456" s="49"/>
      <c r="BQ456" s="49"/>
      <c r="BR456" s="49"/>
      <c r="BS456" s="49"/>
      <c r="BT456" s="49"/>
      <c r="BU456" s="49"/>
      <c r="BV456" s="49"/>
      <c r="BW456" s="49"/>
      <c r="BX456" s="49"/>
      <c r="BY456" s="49"/>
      <c r="BZ456" s="49"/>
      <c r="CA456" s="49"/>
      <c r="CB456" s="49"/>
      <c r="CC456" s="49"/>
      <c r="CD456" s="49"/>
      <c r="CE456" s="49"/>
      <c r="CF456" s="49"/>
      <c r="CG456" s="49"/>
      <c r="CH456" s="49"/>
      <c r="CI456" s="49"/>
      <c r="CJ456" s="49"/>
      <c r="CK456" s="49"/>
      <c r="CL456" s="49"/>
      <c r="CM456" s="49"/>
      <c r="CN456" s="49"/>
      <c r="CO456" s="49"/>
      <c r="CP456" s="49"/>
      <c r="CQ456" s="49"/>
      <c r="CR456" s="49"/>
      <c r="CS456" s="49"/>
      <c r="CT456" s="155"/>
      <c r="CU456" s="155"/>
      <c r="CV456" s="155"/>
      <c r="CW456" s="155"/>
      <c r="CX456" s="155"/>
      <c r="CY456" s="155"/>
      <c r="CZ456" s="155"/>
      <c r="DA456" s="155"/>
      <c r="DB456" s="155"/>
      <c r="DC456" s="155"/>
      <c r="DD456" s="155"/>
      <c r="DE456" s="155"/>
      <c r="DF456" s="155"/>
      <c r="DG456" s="155"/>
      <c r="DH456" s="155"/>
      <c r="DI456" s="155"/>
      <c r="DJ456" s="155"/>
      <c r="DK456" s="155"/>
      <c r="DL456" s="155"/>
      <c r="DM456" s="155"/>
      <c r="DN456" s="155"/>
      <c r="DO456" s="155"/>
      <c r="DP456" s="155"/>
      <c r="DQ456" s="155"/>
      <c r="DR456" s="155"/>
      <c r="DS456" s="155"/>
      <c r="DT456" s="155"/>
      <c r="DU456" s="155"/>
      <c r="DV456" s="155"/>
      <c r="DW456" s="155"/>
      <c r="DX456" s="155"/>
    </row>
    <row r="457" spans="1:128" ht="18" customHeight="1">
      <c r="A457" s="155"/>
      <c r="B457" s="155"/>
      <c r="C457" s="155"/>
      <c r="D457" s="155"/>
      <c r="E457" s="155"/>
      <c r="F457" s="155"/>
      <c r="G457" s="155"/>
      <c r="H457" s="155"/>
      <c r="I457" s="270"/>
      <c r="J457" s="270"/>
      <c r="K457" s="270"/>
      <c r="L457" s="270"/>
      <c r="M457" s="270"/>
      <c r="N457" s="270"/>
      <c r="O457" s="155"/>
      <c r="P457" s="155"/>
      <c r="Q457" s="155"/>
      <c r="R457" s="155"/>
      <c r="S457" s="155"/>
      <c r="T457" s="155"/>
      <c r="U457" s="158"/>
      <c r="V457" s="155"/>
      <c r="W457" s="155"/>
      <c r="X457" s="263"/>
      <c r="Y457" s="155"/>
      <c r="Z457" s="155"/>
      <c r="AA457" s="263"/>
      <c r="AB457" s="263"/>
      <c r="AC457" s="155"/>
      <c r="AD457" s="155"/>
      <c r="AE457" s="155"/>
      <c r="AF457" s="155"/>
      <c r="AG457" s="155"/>
      <c r="AH457" s="155"/>
      <c r="AI457" s="155"/>
      <c r="AJ457" s="155"/>
      <c r="AK457" s="155"/>
      <c r="AL457" s="155"/>
      <c r="AM457" s="155"/>
      <c r="AN457" s="155"/>
      <c r="AO457" s="155"/>
      <c r="AP457" s="49"/>
      <c r="AQ457" s="49"/>
      <c r="AR457" s="155"/>
      <c r="AS457" s="155"/>
      <c r="AT457" s="155"/>
      <c r="AU457" s="155"/>
      <c r="AV457" s="155"/>
      <c r="AW457" s="155"/>
      <c r="AX457" s="155"/>
      <c r="AY457" s="155"/>
      <c r="AZ457" s="49"/>
      <c r="BA457" s="49"/>
      <c r="BB457" s="49"/>
      <c r="BC457" s="49"/>
      <c r="BD457" s="49"/>
      <c r="BE457" s="49"/>
      <c r="BF457" s="49"/>
      <c r="BG457" s="49"/>
      <c r="BH457" s="49"/>
      <c r="BI457" s="155"/>
      <c r="BJ457" s="155"/>
      <c r="BK457" s="155"/>
      <c r="BL457" s="49"/>
      <c r="BM457" s="49"/>
      <c r="BN457" s="49"/>
      <c r="BO457" s="49"/>
      <c r="BP457" s="49"/>
      <c r="BQ457" s="49"/>
      <c r="BR457" s="49"/>
      <c r="BS457" s="49"/>
      <c r="BT457" s="49"/>
      <c r="BU457" s="49"/>
      <c r="BV457" s="49"/>
      <c r="BW457" s="49"/>
      <c r="BX457" s="49"/>
      <c r="BY457" s="49"/>
      <c r="BZ457" s="49"/>
      <c r="CA457" s="49"/>
      <c r="CB457" s="49"/>
      <c r="CC457" s="49"/>
      <c r="CD457" s="49"/>
      <c r="CE457" s="49"/>
      <c r="CF457" s="49"/>
      <c r="CG457" s="49"/>
      <c r="CH457" s="49"/>
      <c r="CI457" s="49"/>
      <c r="CJ457" s="49"/>
      <c r="CK457" s="49"/>
      <c r="CL457" s="49"/>
      <c r="CM457" s="49"/>
      <c r="CN457" s="49"/>
      <c r="CO457" s="49"/>
      <c r="CP457" s="49"/>
      <c r="CQ457" s="49"/>
      <c r="CR457" s="49"/>
      <c r="CS457" s="49"/>
      <c r="CT457" s="155"/>
      <c r="CU457" s="155"/>
      <c r="CV457" s="155"/>
      <c r="CW457" s="155"/>
      <c r="CX457" s="155"/>
      <c r="CY457" s="155"/>
      <c r="CZ457" s="155"/>
      <c r="DA457" s="155"/>
      <c r="DB457" s="155"/>
      <c r="DC457" s="155"/>
      <c r="DD457" s="155"/>
      <c r="DE457" s="155"/>
      <c r="DF457" s="155"/>
      <c r="DG457" s="155"/>
      <c r="DH457" s="155"/>
      <c r="DI457" s="155"/>
      <c r="DJ457" s="155"/>
      <c r="DK457" s="155"/>
      <c r="DL457" s="155"/>
      <c r="DM457" s="155"/>
      <c r="DN457" s="155"/>
      <c r="DO457" s="155"/>
      <c r="DP457" s="155"/>
      <c r="DQ457" s="155"/>
      <c r="DR457" s="155"/>
      <c r="DS457" s="155"/>
      <c r="DT457" s="155"/>
      <c r="DU457" s="155"/>
      <c r="DV457" s="155"/>
      <c r="DW457" s="155"/>
      <c r="DX457" s="155"/>
    </row>
    <row r="458" spans="1:128" ht="18" customHeight="1">
      <c r="A458" s="155"/>
      <c r="B458" s="155"/>
      <c r="C458" s="155"/>
      <c r="D458" s="155"/>
      <c r="E458" s="155"/>
      <c r="F458" s="155"/>
      <c r="G458" s="155"/>
      <c r="H458" s="155"/>
      <c r="I458" s="270"/>
      <c r="J458" s="270"/>
      <c r="K458" s="270"/>
      <c r="L458" s="270"/>
      <c r="M458" s="270"/>
      <c r="N458" s="270"/>
      <c r="O458" s="155"/>
      <c r="P458" s="155"/>
      <c r="Q458" s="155"/>
      <c r="R458" s="155"/>
      <c r="S458" s="155"/>
      <c r="T458" s="155"/>
      <c r="U458" s="158"/>
      <c r="V458" s="155"/>
      <c r="W458" s="155"/>
      <c r="X458" s="263"/>
      <c r="Y458" s="155"/>
      <c r="Z458" s="155"/>
      <c r="AA458" s="263"/>
      <c r="AB458" s="263"/>
      <c r="AC458" s="155"/>
      <c r="AD458" s="155"/>
      <c r="AE458" s="155"/>
      <c r="AF458" s="155"/>
      <c r="AG458" s="155"/>
      <c r="AH458" s="155"/>
      <c r="AI458" s="155"/>
      <c r="AJ458" s="155"/>
      <c r="AK458" s="155"/>
      <c r="AL458" s="155"/>
      <c r="AM458" s="155"/>
      <c r="AN458" s="155"/>
      <c r="AO458" s="155"/>
      <c r="AP458" s="49"/>
      <c r="AQ458" s="49"/>
      <c r="AR458" s="155"/>
      <c r="AS458" s="155"/>
      <c r="AT458" s="155"/>
      <c r="AU458" s="155"/>
      <c r="AV458" s="155"/>
      <c r="AW458" s="155"/>
      <c r="AX458" s="155"/>
      <c r="AY458" s="155"/>
      <c r="AZ458" s="49"/>
      <c r="BA458" s="49"/>
      <c r="BB458" s="49"/>
      <c r="BC458" s="49"/>
      <c r="BD458" s="49"/>
      <c r="BE458" s="49"/>
      <c r="BF458" s="49"/>
      <c r="BG458" s="49"/>
      <c r="BH458" s="49"/>
      <c r="BI458" s="155"/>
      <c r="BJ458" s="155"/>
      <c r="BK458" s="155"/>
      <c r="BL458" s="49"/>
      <c r="BM458" s="49"/>
      <c r="BN458" s="49"/>
      <c r="BO458" s="49"/>
      <c r="BP458" s="49"/>
      <c r="BQ458" s="49"/>
      <c r="BR458" s="49"/>
      <c r="BS458" s="49"/>
      <c r="BT458" s="49"/>
      <c r="BU458" s="49"/>
      <c r="BV458" s="49"/>
      <c r="BW458" s="49"/>
      <c r="BX458" s="49"/>
      <c r="BY458" s="49"/>
      <c r="BZ458" s="49"/>
      <c r="CA458" s="49"/>
      <c r="CB458" s="49"/>
      <c r="CC458" s="49"/>
      <c r="CD458" s="49"/>
      <c r="CE458" s="49"/>
      <c r="CF458" s="49"/>
      <c r="CG458" s="49"/>
      <c r="CH458" s="49"/>
      <c r="CI458" s="49"/>
      <c r="CJ458" s="49"/>
      <c r="CK458" s="49"/>
      <c r="CL458" s="49"/>
      <c r="CM458" s="49"/>
      <c r="CN458" s="49"/>
      <c r="CO458" s="49"/>
      <c r="CP458" s="49"/>
      <c r="CQ458" s="49"/>
      <c r="CR458" s="49"/>
      <c r="CS458" s="49"/>
      <c r="CT458" s="155"/>
      <c r="CU458" s="155"/>
      <c r="CV458" s="155"/>
      <c r="CW458" s="155"/>
      <c r="CX458" s="155"/>
      <c r="CY458" s="155"/>
      <c r="CZ458" s="155"/>
      <c r="DA458" s="155"/>
      <c r="DB458" s="155"/>
      <c r="DC458" s="155"/>
      <c r="DD458" s="155"/>
      <c r="DE458" s="155"/>
      <c r="DF458" s="155"/>
      <c r="DG458" s="155"/>
      <c r="DH458" s="155"/>
      <c r="DI458" s="155"/>
      <c r="DJ458" s="155"/>
      <c r="DK458" s="155"/>
      <c r="DL458" s="155"/>
      <c r="DM458" s="155"/>
      <c r="DN458" s="155"/>
      <c r="DO458" s="155"/>
      <c r="DP458" s="155"/>
      <c r="DQ458" s="155"/>
      <c r="DR458" s="155"/>
      <c r="DS458" s="155"/>
      <c r="DT458" s="155"/>
      <c r="DU458" s="155"/>
      <c r="DV458" s="155"/>
      <c r="DW458" s="155"/>
      <c r="DX458" s="155"/>
    </row>
    <row r="459" spans="1:128" ht="18" customHeight="1">
      <c r="A459" s="155"/>
      <c r="B459" s="155"/>
      <c r="C459" s="155"/>
      <c r="D459" s="155"/>
      <c r="E459" s="155"/>
      <c r="F459" s="155"/>
      <c r="G459" s="155"/>
      <c r="H459" s="155"/>
      <c r="I459" s="270"/>
      <c r="J459" s="270"/>
      <c r="K459" s="270"/>
      <c r="L459" s="270"/>
      <c r="M459" s="270"/>
      <c r="N459" s="270"/>
      <c r="O459" s="155"/>
      <c r="P459" s="155"/>
      <c r="Q459" s="155"/>
      <c r="R459" s="155"/>
      <c r="S459" s="155"/>
      <c r="T459" s="155"/>
      <c r="U459" s="158"/>
      <c r="V459" s="155"/>
      <c r="W459" s="155"/>
      <c r="X459" s="263"/>
      <c r="Y459" s="155"/>
      <c r="Z459" s="155"/>
      <c r="AA459" s="263"/>
      <c r="AB459" s="263"/>
      <c r="AC459" s="155"/>
      <c r="AD459" s="155"/>
      <c r="AE459" s="155"/>
      <c r="AF459" s="155"/>
      <c r="AG459" s="155"/>
      <c r="AH459" s="155"/>
      <c r="AI459" s="155"/>
      <c r="AJ459" s="155"/>
      <c r="AK459" s="155"/>
      <c r="AL459" s="155"/>
      <c r="AM459" s="155"/>
      <c r="AN459" s="155"/>
      <c r="AO459" s="155"/>
      <c r="AP459" s="49"/>
      <c r="AQ459" s="49"/>
      <c r="AR459" s="155"/>
      <c r="AS459" s="155"/>
      <c r="AT459" s="155"/>
      <c r="AU459" s="155"/>
      <c r="AV459" s="155"/>
      <c r="AW459" s="155"/>
      <c r="AX459" s="155"/>
      <c r="AY459" s="155"/>
      <c r="AZ459" s="49"/>
      <c r="BA459" s="49"/>
      <c r="BB459" s="49"/>
      <c r="BC459" s="49"/>
      <c r="BD459" s="49"/>
      <c r="BE459" s="49"/>
      <c r="BF459" s="49"/>
      <c r="BG459" s="49"/>
      <c r="BH459" s="49"/>
      <c r="BI459" s="155"/>
      <c r="BJ459" s="155"/>
      <c r="BK459" s="155"/>
      <c r="BL459" s="49"/>
      <c r="BM459" s="49"/>
      <c r="BN459" s="49"/>
      <c r="BO459" s="49"/>
      <c r="BP459" s="49"/>
      <c r="BQ459" s="49"/>
      <c r="BR459" s="49"/>
      <c r="BS459" s="49"/>
      <c r="BT459" s="49"/>
      <c r="BU459" s="49"/>
      <c r="BV459" s="49"/>
      <c r="BW459" s="49"/>
      <c r="BX459" s="49"/>
      <c r="BY459" s="49"/>
      <c r="BZ459" s="49"/>
      <c r="CA459" s="49"/>
      <c r="CB459" s="49"/>
      <c r="CC459" s="49"/>
      <c r="CD459" s="49"/>
      <c r="CE459" s="49"/>
      <c r="CF459" s="49"/>
      <c r="CG459" s="49"/>
      <c r="CH459" s="49"/>
      <c r="CI459" s="49"/>
      <c r="CJ459" s="49"/>
      <c r="CK459" s="49"/>
      <c r="CL459" s="49"/>
      <c r="CM459" s="49"/>
      <c r="CN459" s="49"/>
      <c r="CO459" s="49"/>
      <c r="CP459" s="49"/>
      <c r="CQ459" s="49"/>
      <c r="CR459" s="49"/>
      <c r="CS459" s="49"/>
      <c r="CT459" s="155"/>
      <c r="CU459" s="155"/>
      <c r="CV459" s="155"/>
      <c r="CW459" s="155"/>
      <c r="CX459" s="155"/>
      <c r="CY459" s="155"/>
      <c r="CZ459" s="155"/>
      <c r="DA459" s="155"/>
      <c r="DB459" s="155"/>
      <c r="DC459" s="155"/>
      <c r="DD459" s="155"/>
      <c r="DE459" s="155"/>
      <c r="DF459" s="155"/>
      <c r="DG459" s="155"/>
      <c r="DH459" s="155"/>
      <c r="DI459" s="155"/>
      <c r="DJ459" s="155"/>
      <c r="DK459" s="155"/>
      <c r="DL459" s="155"/>
      <c r="DM459" s="155"/>
      <c r="DN459" s="155"/>
      <c r="DO459" s="155"/>
      <c r="DP459" s="155"/>
      <c r="DQ459" s="155"/>
      <c r="DR459" s="155"/>
      <c r="DS459" s="155"/>
      <c r="DT459" s="155"/>
      <c r="DU459" s="155"/>
      <c r="DV459" s="155"/>
      <c r="DW459" s="155"/>
      <c r="DX459" s="155"/>
    </row>
    <row r="460" spans="1:128" ht="18" customHeight="1">
      <c r="A460" s="155"/>
      <c r="B460" s="155"/>
      <c r="C460" s="155"/>
      <c r="D460" s="155"/>
      <c r="E460" s="155"/>
      <c r="F460" s="155"/>
      <c r="G460" s="155"/>
      <c r="H460" s="155"/>
      <c r="I460" s="270"/>
      <c r="J460" s="270"/>
      <c r="K460" s="270"/>
      <c r="L460" s="270"/>
      <c r="M460" s="270"/>
      <c r="N460" s="270"/>
      <c r="O460" s="155"/>
      <c r="P460" s="155"/>
      <c r="Q460" s="155"/>
      <c r="R460" s="155"/>
      <c r="S460" s="155"/>
      <c r="T460" s="155"/>
      <c r="U460" s="158"/>
      <c r="V460" s="155"/>
      <c r="W460" s="155"/>
      <c r="X460" s="263"/>
      <c r="Y460" s="155"/>
      <c r="Z460" s="155"/>
      <c r="AA460" s="263"/>
      <c r="AB460" s="263"/>
      <c r="AC460" s="155"/>
      <c r="AD460" s="155"/>
      <c r="AE460" s="155"/>
      <c r="AF460" s="155"/>
      <c r="AG460" s="155"/>
      <c r="AH460" s="155"/>
      <c r="AI460" s="155"/>
      <c r="AJ460" s="155"/>
      <c r="AK460" s="155"/>
      <c r="AL460" s="155"/>
      <c r="AM460" s="155"/>
      <c r="AN460" s="155"/>
      <c r="AO460" s="155"/>
      <c r="AP460" s="49"/>
      <c r="AQ460" s="49"/>
      <c r="AR460" s="155"/>
      <c r="AS460" s="155"/>
      <c r="AT460" s="155"/>
      <c r="AU460" s="155"/>
      <c r="AV460" s="155"/>
      <c r="AW460" s="155"/>
      <c r="AX460" s="155"/>
      <c r="AY460" s="155"/>
      <c r="AZ460" s="49"/>
      <c r="BA460" s="49"/>
      <c r="BB460" s="49"/>
      <c r="BC460" s="49"/>
      <c r="BD460" s="49"/>
      <c r="BE460" s="49"/>
      <c r="BF460" s="49"/>
      <c r="BG460" s="49"/>
      <c r="BH460" s="49"/>
      <c r="BI460" s="155"/>
      <c r="BJ460" s="155"/>
      <c r="BK460" s="155"/>
      <c r="BL460" s="49"/>
      <c r="BM460" s="49"/>
      <c r="BN460" s="49"/>
      <c r="BO460" s="49"/>
      <c r="BP460" s="49"/>
      <c r="BQ460" s="49"/>
      <c r="BR460" s="49"/>
      <c r="BS460" s="49"/>
      <c r="BT460" s="49"/>
      <c r="BU460" s="49"/>
      <c r="BV460" s="49"/>
      <c r="BW460" s="49"/>
      <c r="BX460" s="49"/>
      <c r="BY460" s="49"/>
      <c r="BZ460" s="49"/>
      <c r="CA460" s="49"/>
      <c r="CB460" s="49"/>
      <c r="CC460" s="49"/>
      <c r="CD460" s="49"/>
      <c r="CE460" s="49"/>
      <c r="CF460" s="49"/>
      <c r="CG460" s="49"/>
      <c r="CH460" s="49"/>
      <c r="CI460" s="49"/>
      <c r="CJ460" s="49"/>
      <c r="CK460" s="49"/>
      <c r="CL460" s="49"/>
      <c r="CM460" s="49"/>
      <c r="CN460" s="49"/>
      <c r="CO460" s="49"/>
      <c r="CP460" s="49"/>
      <c r="CQ460" s="49"/>
      <c r="CR460" s="49"/>
      <c r="CS460" s="49"/>
      <c r="CT460" s="155"/>
      <c r="CU460" s="155"/>
      <c r="CV460" s="155"/>
      <c r="CW460" s="155"/>
      <c r="CX460" s="155"/>
      <c r="CY460" s="155"/>
      <c r="CZ460" s="155"/>
      <c r="DA460" s="155"/>
      <c r="DB460" s="155"/>
      <c r="DC460" s="155"/>
      <c r="DD460" s="155"/>
      <c r="DE460" s="155"/>
      <c r="DF460" s="155"/>
      <c r="DG460" s="155"/>
      <c r="DH460" s="155"/>
      <c r="DI460" s="155"/>
      <c r="DJ460" s="155"/>
      <c r="DK460" s="155"/>
      <c r="DL460" s="155"/>
      <c r="DM460" s="155"/>
      <c r="DN460" s="155"/>
      <c r="DO460" s="155"/>
      <c r="DP460" s="155"/>
      <c r="DQ460" s="155"/>
      <c r="DR460" s="155"/>
      <c r="DS460" s="155"/>
      <c r="DT460" s="155"/>
      <c r="DU460" s="155"/>
      <c r="DV460" s="155"/>
      <c r="DW460" s="155"/>
      <c r="DX460" s="155"/>
    </row>
    <row r="461" spans="1:128" ht="18" customHeight="1">
      <c r="A461" s="155"/>
      <c r="B461" s="155"/>
      <c r="C461" s="155"/>
      <c r="D461" s="155"/>
      <c r="E461" s="155"/>
      <c r="F461" s="155"/>
      <c r="G461" s="155"/>
      <c r="H461" s="155"/>
      <c r="I461" s="270"/>
      <c r="J461" s="270"/>
      <c r="K461" s="270"/>
      <c r="L461" s="270"/>
      <c r="M461" s="270"/>
      <c r="N461" s="270"/>
      <c r="O461" s="155"/>
      <c r="P461" s="155"/>
      <c r="Q461" s="155"/>
      <c r="R461" s="155"/>
      <c r="S461" s="155"/>
      <c r="T461" s="155"/>
      <c r="U461" s="158"/>
      <c r="V461" s="155"/>
      <c r="W461" s="155"/>
      <c r="X461" s="263"/>
      <c r="Y461" s="155"/>
      <c r="Z461" s="155"/>
      <c r="AA461" s="263"/>
      <c r="AB461" s="263"/>
      <c r="AC461" s="155"/>
      <c r="AD461" s="155"/>
      <c r="AE461" s="155"/>
      <c r="AF461" s="155"/>
      <c r="AG461" s="155"/>
      <c r="AH461" s="155"/>
      <c r="AI461" s="155"/>
      <c r="AJ461" s="155"/>
      <c r="AK461" s="155"/>
      <c r="AL461" s="155"/>
      <c r="AM461" s="155"/>
      <c r="AN461" s="155"/>
      <c r="AO461" s="155"/>
      <c r="AP461" s="49"/>
      <c r="AQ461" s="49"/>
      <c r="AR461" s="155"/>
      <c r="AS461" s="155"/>
      <c r="AT461" s="155"/>
      <c r="AU461" s="155"/>
      <c r="AV461" s="155"/>
      <c r="AW461" s="155"/>
      <c r="AX461" s="155"/>
      <c r="AY461" s="155"/>
      <c r="AZ461" s="49"/>
      <c r="BA461" s="49"/>
      <c r="BB461" s="49"/>
      <c r="BC461" s="49"/>
      <c r="BD461" s="49"/>
      <c r="BE461" s="49"/>
      <c r="BF461" s="49"/>
      <c r="BG461" s="49"/>
      <c r="BH461" s="49"/>
      <c r="BI461" s="155"/>
      <c r="BJ461" s="155"/>
      <c r="BK461" s="155"/>
      <c r="BL461" s="49"/>
      <c r="BM461" s="49"/>
      <c r="BN461" s="49"/>
      <c r="BO461" s="49"/>
      <c r="BP461" s="49"/>
      <c r="BQ461" s="49"/>
      <c r="BR461" s="49"/>
      <c r="BS461" s="49"/>
      <c r="BT461" s="49"/>
      <c r="BU461" s="49"/>
      <c r="BV461" s="49"/>
      <c r="BW461" s="49"/>
      <c r="BX461" s="49"/>
      <c r="BY461" s="49"/>
      <c r="BZ461" s="49"/>
      <c r="CA461" s="49"/>
      <c r="CB461" s="49"/>
      <c r="CC461" s="49"/>
      <c r="CD461" s="49"/>
      <c r="CE461" s="49"/>
      <c r="CF461" s="49"/>
      <c r="CG461" s="49"/>
      <c r="CH461" s="49"/>
      <c r="CI461" s="49"/>
      <c r="CJ461" s="49"/>
      <c r="CK461" s="49"/>
      <c r="CL461" s="49"/>
      <c r="CM461" s="49"/>
      <c r="CN461" s="49"/>
      <c r="CO461" s="49"/>
      <c r="CP461" s="49"/>
      <c r="CQ461" s="49"/>
      <c r="CR461" s="49"/>
      <c r="CS461" s="49"/>
      <c r="CT461" s="155"/>
      <c r="CU461" s="155"/>
      <c r="CV461" s="155"/>
      <c r="CW461" s="155"/>
      <c r="CX461" s="155"/>
      <c r="CY461" s="155"/>
      <c r="CZ461" s="155"/>
      <c r="DA461" s="155"/>
      <c r="DB461" s="155"/>
      <c r="DC461" s="155"/>
      <c r="DD461" s="155"/>
      <c r="DE461" s="155"/>
      <c r="DF461" s="155"/>
      <c r="DG461" s="155"/>
      <c r="DH461" s="155"/>
      <c r="DI461" s="155"/>
      <c r="DJ461" s="155"/>
      <c r="DK461" s="155"/>
      <c r="DL461" s="155"/>
      <c r="DM461" s="155"/>
      <c r="DN461" s="155"/>
      <c r="DO461" s="155"/>
      <c r="DP461" s="155"/>
      <c r="DQ461" s="155"/>
      <c r="DR461" s="155"/>
      <c r="DS461" s="155"/>
      <c r="DT461" s="155"/>
      <c r="DU461" s="155"/>
      <c r="DV461" s="155"/>
      <c r="DW461" s="155"/>
      <c r="DX461" s="155"/>
    </row>
    <row r="462" spans="1:128" ht="18" customHeight="1">
      <c r="A462" s="155"/>
      <c r="B462" s="155"/>
      <c r="C462" s="155"/>
      <c r="D462" s="155"/>
      <c r="E462" s="155"/>
      <c r="F462" s="155"/>
      <c r="G462" s="155"/>
      <c r="H462" s="155"/>
      <c r="I462" s="270"/>
      <c r="J462" s="270"/>
      <c r="K462" s="270"/>
      <c r="L462" s="270"/>
      <c r="M462" s="270"/>
      <c r="N462" s="270"/>
      <c r="O462" s="155"/>
      <c r="P462" s="155"/>
      <c r="Q462" s="155"/>
      <c r="R462" s="155"/>
      <c r="S462" s="155"/>
      <c r="T462" s="155"/>
      <c r="U462" s="158"/>
      <c r="V462" s="155"/>
      <c r="W462" s="155"/>
      <c r="X462" s="263"/>
      <c r="Y462" s="155"/>
      <c r="Z462" s="155"/>
      <c r="AA462" s="263"/>
      <c r="AB462" s="263"/>
      <c r="AC462" s="155"/>
      <c r="AD462" s="155"/>
      <c r="AE462" s="155"/>
      <c r="AF462" s="155"/>
      <c r="AG462" s="155"/>
      <c r="AH462" s="155"/>
      <c r="AI462" s="155"/>
      <c r="AJ462" s="155"/>
      <c r="AK462" s="155"/>
      <c r="AL462" s="155"/>
      <c r="AM462" s="155"/>
      <c r="AN462" s="155"/>
      <c r="AO462" s="155"/>
      <c r="AP462" s="49"/>
      <c r="AQ462" s="49"/>
      <c r="AR462" s="155"/>
      <c r="AS462" s="155"/>
      <c r="AT462" s="155"/>
      <c r="AU462" s="155"/>
      <c r="AV462" s="155"/>
      <c r="AW462" s="155"/>
      <c r="AX462" s="155"/>
      <c r="AY462" s="155"/>
      <c r="AZ462" s="49"/>
      <c r="BA462" s="49"/>
      <c r="BB462" s="49"/>
      <c r="BC462" s="49"/>
      <c r="BD462" s="49"/>
      <c r="BE462" s="49"/>
      <c r="BF462" s="49"/>
      <c r="BG462" s="49"/>
      <c r="BH462" s="49"/>
      <c r="BI462" s="155"/>
      <c r="BJ462" s="155"/>
      <c r="BK462" s="155"/>
      <c r="BL462" s="49"/>
      <c r="BM462" s="49"/>
      <c r="BN462" s="49"/>
      <c r="BO462" s="49"/>
      <c r="BP462" s="49"/>
      <c r="BQ462" s="49"/>
      <c r="BR462" s="49"/>
      <c r="BS462" s="49"/>
      <c r="BT462" s="49"/>
      <c r="BU462" s="49"/>
      <c r="BV462" s="49"/>
      <c r="BW462" s="49"/>
      <c r="BX462" s="49"/>
      <c r="BY462" s="49"/>
      <c r="BZ462" s="49"/>
      <c r="CA462" s="49"/>
      <c r="CB462" s="49"/>
      <c r="CC462" s="49"/>
      <c r="CD462" s="49"/>
      <c r="CE462" s="49"/>
      <c r="CF462" s="49"/>
      <c r="CG462" s="49"/>
      <c r="CH462" s="49"/>
      <c r="CI462" s="49"/>
      <c r="CJ462" s="49"/>
      <c r="CK462" s="49"/>
      <c r="CL462" s="49"/>
      <c r="CM462" s="49"/>
      <c r="CN462" s="49"/>
      <c r="CO462" s="49"/>
      <c r="CP462" s="49"/>
      <c r="CQ462" s="49"/>
      <c r="CR462" s="49"/>
      <c r="CS462" s="49"/>
      <c r="CT462" s="155"/>
      <c r="CU462" s="155"/>
      <c r="CV462" s="155"/>
      <c r="CW462" s="155"/>
      <c r="CX462" s="155"/>
      <c r="CY462" s="155"/>
      <c r="CZ462" s="155"/>
      <c r="DA462" s="155"/>
      <c r="DB462" s="155"/>
      <c r="DC462" s="155"/>
      <c r="DD462" s="155"/>
      <c r="DE462" s="155"/>
      <c r="DF462" s="155"/>
      <c r="DG462" s="155"/>
      <c r="DH462" s="155"/>
      <c r="DI462" s="155"/>
      <c r="DJ462" s="155"/>
      <c r="DK462" s="155"/>
      <c r="DL462" s="155"/>
      <c r="DM462" s="155"/>
      <c r="DN462" s="155"/>
      <c r="DO462" s="155"/>
      <c r="DP462" s="155"/>
      <c r="DQ462" s="155"/>
      <c r="DR462" s="155"/>
      <c r="DS462" s="155"/>
      <c r="DT462" s="155"/>
      <c r="DU462" s="155"/>
      <c r="DV462" s="155"/>
      <c r="DW462" s="155"/>
      <c r="DX462" s="155"/>
    </row>
    <row r="463" spans="1:128" ht="18" customHeight="1">
      <c r="A463" s="155"/>
      <c r="B463" s="155"/>
      <c r="C463" s="155"/>
      <c r="D463" s="155"/>
      <c r="E463" s="155"/>
      <c r="F463" s="155"/>
      <c r="G463" s="155"/>
      <c r="H463" s="155"/>
      <c r="I463" s="270"/>
      <c r="J463" s="270"/>
      <c r="K463" s="270"/>
      <c r="L463" s="270"/>
      <c r="M463" s="270"/>
      <c r="N463" s="270"/>
      <c r="O463" s="155"/>
      <c r="P463" s="155"/>
      <c r="Q463" s="155"/>
      <c r="R463" s="155"/>
      <c r="S463" s="155"/>
      <c r="T463" s="155"/>
      <c r="U463" s="158"/>
      <c r="V463" s="155"/>
      <c r="W463" s="155"/>
      <c r="X463" s="263"/>
      <c r="Y463" s="155"/>
      <c r="Z463" s="155"/>
      <c r="AA463" s="263"/>
      <c r="AB463" s="263"/>
      <c r="AC463" s="155"/>
      <c r="AD463" s="155"/>
      <c r="AE463" s="155"/>
      <c r="AF463" s="155"/>
      <c r="AG463" s="155"/>
      <c r="AH463" s="155"/>
      <c r="AI463" s="155"/>
      <c r="AJ463" s="155"/>
      <c r="AK463" s="155"/>
      <c r="AL463" s="155"/>
      <c r="AM463" s="155"/>
      <c r="AN463" s="155"/>
      <c r="AO463" s="155"/>
      <c r="AP463" s="49"/>
      <c r="AQ463" s="49"/>
      <c r="AR463" s="155"/>
      <c r="AS463" s="155"/>
      <c r="AT463" s="155"/>
      <c r="AU463" s="155"/>
      <c r="AV463" s="155"/>
      <c r="AW463" s="155"/>
      <c r="AX463" s="155"/>
      <c r="AY463" s="155"/>
      <c r="AZ463" s="49"/>
      <c r="BA463" s="49"/>
      <c r="BB463" s="49"/>
      <c r="BC463" s="49"/>
      <c r="BD463" s="49"/>
      <c r="BE463" s="49"/>
      <c r="BF463" s="49"/>
      <c r="BG463" s="49"/>
      <c r="BH463" s="49"/>
      <c r="BI463" s="155"/>
      <c r="BJ463" s="155"/>
      <c r="BK463" s="155"/>
      <c r="BL463" s="49"/>
      <c r="BM463" s="49"/>
      <c r="BN463" s="49"/>
      <c r="BO463" s="49"/>
      <c r="BP463" s="49"/>
      <c r="BQ463" s="49"/>
      <c r="BR463" s="49"/>
      <c r="BS463" s="49"/>
      <c r="BT463" s="49"/>
      <c r="BU463" s="49"/>
      <c r="BV463" s="49"/>
      <c r="BW463" s="49"/>
      <c r="BX463" s="49"/>
      <c r="BY463" s="49"/>
      <c r="BZ463" s="49"/>
      <c r="CA463" s="49"/>
      <c r="CB463" s="49"/>
      <c r="CC463" s="49"/>
      <c r="CD463" s="49"/>
      <c r="CE463" s="49"/>
      <c r="CF463" s="49"/>
      <c r="CG463" s="49"/>
      <c r="CH463" s="49"/>
      <c r="CI463" s="49"/>
      <c r="CJ463" s="49"/>
      <c r="CK463" s="49"/>
      <c r="CL463" s="49"/>
      <c r="CM463" s="49"/>
      <c r="CN463" s="49"/>
      <c r="CO463" s="49"/>
      <c r="CP463" s="49"/>
      <c r="CQ463" s="49"/>
      <c r="CR463" s="49"/>
      <c r="CS463" s="49"/>
      <c r="CT463" s="155"/>
      <c r="CU463" s="155"/>
      <c r="CV463" s="155"/>
      <c r="CW463" s="155"/>
      <c r="CX463" s="155"/>
      <c r="CY463" s="155"/>
      <c r="CZ463" s="155"/>
      <c r="DA463" s="155"/>
      <c r="DB463" s="155"/>
      <c r="DC463" s="155"/>
      <c r="DD463" s="155"/>
      <c r="DE463" s="155"/>
      <c r="DF463" s="155"/>
      <c r="DG463" s="155"/>
      <c r="DH463" s="155"/>
      <c r="DI463" s="155"/>
      <c r="DJ463" s="155"/>
      <c r="DK463" s="155"/>
      <c r="DL463" s="155"/>
      <c r="DM463" s="155"/>
      <c r="DN463" s="155"/>
      <c r="DO463" s="155"/>
      <c r="DP463" s="155"/>
      <c r="DQ463" s="155"/>
      <c r="DR463" s="155"/>
      <c r="DS463" s="155"/>
      <c r="DT463" s="155"/>
      <c r="DU463" s="155"/>
      <c r="DV463" s="155"/>
      <c r="DW463" s="155"/>
      <c r="DX463" s="155"/>
    </row>
    <row r="464" spans="1:128" ht="18" customHeight="1">
      <c r="A464" s="155"/>
      <c r="B464" s="155"/>
      <c r="C464" s="155"/>
      <c r="D464" s="155"/>
      <c r="E464" s="155"/>
      <c r="F464" s="155"/>
      <c r="G464" s="155"/>
      <c r="H464" s="155"/>
      <c r="I464" s="270"/>
      <c r="J464" s="270"/>
      <c r="K464" s="270"/>
      <c r="L464" s="270"/>
      <c r="M464" s="270"/>
      <c r="N464" s="270"/>
      <c r="O464" s="155"/>
      <c r="P464" s="155"/>
      <c r="Q464" s="155"/>
      <c r="R464" s="155"/>
      <c r="S464" s="155"/>
      <c r="T464" s="155"/>
      <c r="U464" s="158"/>
      <c r="V464" s="155"/>
      <c r="W464" s="155"/>
      <c r="X464" s="263"/>
      <c r="Y464" s="155"/>
      <c r="Z464" s="155"/>
      <c r="AA464" s="263"/>
      <c r="AB464" s="263"/>
      <c r="AC464" s="155"/>
      <c r="AD464" s="155"/>
      <c r="AE464" s="155"/>
      <c r="AF464" s="155"/>
      <c r="AG464" s="155"/>
      <c r="AH464" s="155"/>
      <c r="AI464" s="155"/>
      <c r="AJ464" s="155"/>
      <c r="AK464" s="155"/>
      <c r="AL464" s="155"/>
      <c r="AM464" s="155"/>
      <c r="AN464" s="155"/>
      <c r="AO464" s="155"/>
      <c r="AP464" s="49"/>
      <c r="AQ464" s="49"/>
      <c r="AR464" s="155"/>
      <c r="AS464" s="155"/>
      <c r="AT464" s="155"/>
      <c r="AU464" s="155"/>
      <c r="AV464" s="155"/>
      <c r="AW464" s="155"/>
      <c r="AX464" s="155"/>
      <c r="AY464" s="155"/>
      <c r="AZ464" s="49"/>
      <c r="BA464" s="49"/>
      <c r="BB464" s="49"/>
      <c r="BC464" s="49"/>
      <c r="BD464" s="49"/>
      <c r="BE464" s="49"/>
      <c r="BF464" s="49"/>
      <c r="BG464" s="49"/>
      <c r="BH464" s="49"/>
      <c r="BI464" s="155"/>
      <c r="BJ464" s="155"/>
      <c r="BK464" s="155"/>
      <c r="BL464" s="49"/>
      <c r="BM464" s="49"/>
      <c r="BN464" s="49"/>
      <c r="BO464" s="49"/>
      <c r="BP464" s="49"/>
      <c r="BQ464" s="49"/>
      <c r="BR464" s="49"/>
      <c r="BS464" s="49"/>
      <c r="BT464" s="49"/>
      <c r="BU464" s="49"/>
      <c r="BV464" s="49"/>
      <c r="BW464" s="49"/>
      <c r="BX464" s="49"/>
      <c r="BY464" s="49"/>
      <c r="BZ464" s="49"/>
      <c r="CA464" s="49"/>
      <c r="CB464" s="49"/>
      <c r="CC464" s="49"/>
      <c r="CD464" s="49"/>
      <c r="CE464" s="49"/>
      <c r="CF464" s="49"/>
      <c r="CG464" s="49"/>
      <c r="CH464" s="49"/>
      <c r="CI464" s="49"/>
      <c r="CJ464" s="49"/>
      <c r="CK464" s="49"/>
      <c r="CL464" s="49"/>
      <c r="CM464" s="49"/>
      <c r="CN464" s="49"/>
      <c r="CO464" s="49"/>
      <c r="CP464" s="49"/>
      <c r="CQ464" s="49"/>
      <c r="CR464" s="49"/>
      <c r="CS464" s="49"/>
      <c r="CT464" s="155"/>
      <c r="CU464" s="155"/>
      <c r="CV464" s="155"/>
      <c r="CW464" s="155"/>
      <c r="CX464" s="155"/>
      <c r="CY464" s="155"/>
      <c r="CZ464" s="155"/>
      <c r="DA464" s="155"/>
      <c r="DB464" s="155"/>
      <c r="DC464" s="155"/>
      <c r="DD464" s="155"/>
      <c r="DE464" s="155"/>
      <c r="DF464" s="155"/>
      <c r="DG464" s="155"/>
      <c r="DH464" s="155"/>
      <c r="DI464" s="155"/>
      <c r="DJ464" s="155"/>
      <c r="DK464" s="155"/>
      <c r="DL464" s="155"/>
      <c r="DM464" s="155"/>
      <c r="DN464" s="155"/>
      <c r="DO464" s="155"/>
      <c r="DP464" s="155"/>
      <c r="DQ464" s="155"/>
      <c r="DR464" s="155"/>
      <c r="DS464" s="155"/>
      <c r="DT464" s="155"/>
      <c r="DU464" s="155"/>
      <c r="DV464" s="155"/>
      <c r="DW464" s="155"/>
      <c r="DX464" s="155"/>
    </row>
    <row r="465" spans="1:128" ht="18" customHeight="1">
      <c r="A465" s="155"/>
      <c r="B465" s="155"/>
      <c r="C465" s="155"/>
      <c r="D465" s="155"/>
      <c r="E465" s="155"/>
      <c r="F465" s="155"/>
      <c r="G465" s="155"/>
      <c r="H465" s="155"/>
      <c r="I465" s="270"/>
      <c r="J465" s="270"/>
      <c r="K465" s="270"/>
      <c r="L465" s="270"/>
      <c r="M465" s="270"/>
      <c r="N465" s="270"/>
      <c r="O465" s="155"/>
      <c r="P465" s="155"/>
      <c r="Q465" s="155"/>
      <c r="R465" s="155"/>
      <c r="S465" s="155"/>
      <c r="T465" s="155"/>
      <c r="U465" s="158"/>
      <c r="V465" s="155"/>
      <c r="W465" s="155"/>
      <c r="X465" s="263"/>
      <c r="Y465" s="155"/>
      <c r="Z465" s="155"/>
      <c r="AA465" s="263"/>
      <c r="AB465" s="263"/>
      <c r="AC465" s="155"/>
      <c r="AD465" s="155"/>
      <c r="AE465" s="155"/>
      <c r="AF465" s="155"/>
      <c r="AG465" s="155"/>
      <c r="AH465" s="155"/>
      <c r="AI465" s="155"/>
      <c r="AJ465" s="155"/>
      <c r="AK465" s="155"/>
      <c r="AL465" s="155"/>
      <c r="AM465" s="155"/>
      <c r="AN465" s="155"/>
      <c r="AO465" s="155"/>
      <c r="AP465" s="49"/>
      <c r="AQ465" s="49"/>
      <c r="AR465" s="155"/>
      <c r="AS465" s="155"/>
      <c r="AT465" s="155"/>
      <c r="AU465" s="155"/>
      <c r="AV465" s="155"/>
      <c r="AW465" s="155"/>
      <c r="AX465" s="155"/>
      <c r="AY465" s="155"/>
      <c r="AZ465" s="49"/>
      <c r="BA465" s="49"/>
      <c r="BB465" s="49"/>
      <c r="BC465" s="49"/>
      <c r="BD465" s="49"/>
      <c r="BE465" s="49"/>
      <c r="BF465" s="49"/>
      <c r="BG465" s="49"/>
      <c r="BH465" s="49"/>
      <c r="BI465" s="155"/>
      <c r="BJ465" s="155"/>
      <c r="BK465" s="155"/>
      <c r="BL465" s="49"/>
      <c r="BM465" s="49"/>
      <c r="BN465" s="49"/>
      <c r="BO465" s="49"/>
      <c r="BP465" s="49"/>
      <c r="BQ465" s="49"/>
      <c r="BR465" s="49"/>
      <c r="BS465" s="49"/>
      <c r="BT465" s="49"/>
      <c r="BU465" s="49"/>
      <c r="BV465" s="49"/>
      <c r="BW465" s="49"/>
      <c r="BX465" s="49"/>
      <c r="BY465" s="49"/>
      <c r="BZ465" s="49"/>
      <c r="CA465" s="49"/>
      <c r="CB465" s="49"/>
      <c r="CC465" s="49"/>
      <c r="CD465" s="49"/>
      <c r="CE465" s="49"/>
      <c r="CF465" s="49"/>
      <c r="CG465" s="49"/>
      <c r="CH465" s="49"/>
      <c r="CI465" s="49"/>
      <c r="CJ465" s="49"/>
      <c r="CK465" s="49"/>
      <c r="CL465" s="49"/>
      <c r="CM465" s="49"/>
      <c r="CN465" s="49"/>
      <c r="CO465" s="49"/>
      <c r="CP465" s="49"/>
      <c r="CQ465" s="49"/>
      <c r="CR465" s="49"/>
      <c r="CS465" s="49"/>
      <c r="CT465" s="155"/>
      <c r="CU465" s="155"/>
      <c r="CV465" s="155"/>
      <c r="CW465" s="155"/>
      <c r="CX465" s="155"/>
      <c r="CY465" s="155"/>
      <c r="CZ465" s="155"/>
      <c r="DA465" s="155"/>
      <c r="DB465" s="155"/>
      <c r="DC465" s="155"/>
      <c r="DD465" s="155"/>
      <c r="DE465" s="155"/>
      <c r="DF465" s="155"/>
      <c r="DG465" s="155"/>
      <c r="DH465" s="155"/>
      <c r="DI465" s="155"/>
      <c r="DJ465" s="155"/>
      <c r="DK465" s="155"/>
      <c r="DL465" s="155"/>
      <c r="DM465" s="155"/>
      <c r="DN465" s="155"/>
      <c r="DO465" s="155"/>
      <c r="DP465" s="155"/>
      <c r="DQ465" s="155"/>
      <c r="DR465" s="155"/>
      <c r="DS465" s="155"/>
      <c r="DT465" s="155"/>
      <c r="DU465" s="155"/>
      <c r="DV465" s="155"/>
      <c r="DW465" s="155"/>
      <c r="DX465" s="155"/>
    </row>
    <row r="466" spans="1:128" ht="18" customHeight="1">
      <c r="A466" s="155"/>
      <c r="B466" s="155"/>
      <c r="C466" s="155"/>
      <c r="D466" s="155"/>
      <c r="E466" s="155"/>
      <c r="F466" s="155"/>
      <c r="G466" s="155"/>
      <c r="H466" s="155"/>
      <c r="I466" s="270"/>
      <c r="J466" s="270"/>
      <c r="K466" s="270"/>
      <c r="L466" s="270"/>
      <c r="M466" s="270"/>
      <c r="N466" s="270"/>
      <c r="O466" s="155"/>
      <c r="P466" s="155"/>
      <c r="Q466" s="155"/>
      <c r="R466" s="155"/>
      <c r="S466" s="155"/>
      <c r="T466" s="155"/>
      <c r="U466" s="158"/>
      <c r="V466" s="155"/>
      <c r="W466" s="155"/>
      <c r="X466" s="263"/>
      <c r="Y466" s="155"/>
      <c r="Z466" s="155"/>
      <c r="AA466" s="263"/>
      <c r="AB466" s="263"/>
      <c r="AC466" s="155"/>
      <c r="AD466" s="155"/>
      <c r="AE466" s="155"/>
      <c r="AF466" s="155"/>
      <c r="AG466" s="155"/>
      <c r="AH466" s="155"/>
      <c r="AI466" s="155"/>
      <c r="AJ466" s="155"/>
      <c r="AK466" s="155"/>
      <c r="AL466" s="155"/>
      <c r="AM466" s="155"/>
      <c r="AN466" s="155"/>
      <c r="AO466" s="155"/>
      <c r="AP466" s="49"/>
      <c r="AQ466" s="49"/>
      <c r="AR466" s="155"/>
      <c r="AS466" s="155"/>
      <c r="AT466" s="155"/>
      <c r="AU466" s="155"/>
      <c r="AV466" s="155"/>
      <c r="AW466" s="155"/>
      <c r="AX466" s="155"/>
      <c r="AY466" s="155"/>
      <c r="AZ466" s="49"/>
      <c r="BA466" s="49"/>
      <c r="BB466" s="49"/>
      <c r="BC466" s="49"/>
      <c r="BD466" s="49"/>
      <c r="BE466" s="49"/>
      <c r="BF466" s="49"/>
      <c r="BG466" s="49"/>
      <c r="BH466" s="49"/>
      <c r="BI466" s="155"/>
      <c r="BJ466" s="155"/>
      <c r="BK466" s="155"/>
      <c r="BL466" s="49"/>
      <c r="BM466" s="49"/>
      <c r="BN466" s="49"/>
      <c r="BO466" s="49"/>
      <c r="BP466" s="49"/>
      <c r="BQ466" s="49"/>
      <c r="BR466" s="49"/>
      <c r="BS466" s="49"/>
      <c r="BT466" s="49"/>
      <c r="BU466" s="49"/>
      <c r="BV466" s="49"/>
      <c r="BW466" s="49"/>
      <c r="BX466" s="49"/>
      <c r="BY466" s="49"/>
      <c r="BZ466" s="49"/>
      <c r="CA466" s="49"/>
      <c r="CB466" s="49"/>
      <c r="CC466" s="49"/>
      <c r="CD466" s="49"/>
      <c r="CE466" s="49"/>
      <c r="CF466" s="49"/>
      <c r="CG466" s="49"/>
      <c r="CH466" s="49"/>
      <c r="CI466" s="49"/>
      <c r="CJ466" s="49"/>
      <c r="CK466" s="49"/>
      <c r="CL466" s="49"/>
      <c r="CM466" s="49"/>
      <c r="CN466" s="49"/>
      <c r="CO466" s="49"/>
      <c r="CP466" s="49"/>
      <c r="CQ466" s="49"/>
      <c r="CR466" s="49"/>
      <c r="CS466" s="49"/>
      <c r="CT466" s="155"/>
      <c r="CU466" s="155"/>
      <c r="CV466" s="155"/>
      <c r="CW466" s="155"/>
      <c r="CX466" s="155"/>
      <c r="CY466" s="155"/>
      <c r="CZ466" s="155"/>
      <c r="DA466" s="155"/>
      <c r="DB466" s="155"/>
      <c r="DC466" s="155"/>
      <c r="DD466" s="155"/>
      <c r="DE466" s="155"/>
      <c r="DF466" s="155"/>
      <c r="DG466" s="155"/>
      <c r="DH466" s="155"/>
      <c r="DI466" s="155"/>
      <c r="DJ466" s="155"/>
      <c r="DK466" s="155"/>
      <c r="DL466" s="155"/>
      <c r="DM466" s="155"/>
      <c r="DN466" s="155"/>
      <c r="DO466" s="155"/>
      <c r="DP466" s="155"/>
      <c r="DQ466" s="155"/>
      <c r="DR466" s="155"/>
      <c r="DS466" s="155"/>
      <c r="DT466" s="155"/>
      <c r="DU466" s="155"/>
      <c r="DV466" s="155"/>
      <c r="DW466" s="155"/>
      <c r="DX466" s="155"/>
    </row>
    <row r="467" spans="1:128" ht="18" customHeight="1">
      <c r="A467" s="155"/>
      <c r="B467" s="155"/>
      <c r="C467" s="155"/>
      <c r="D467" s="155"/>
      <c r="E467" s="155"/>
      <c r="F467" s="155"/>
      <c r="G467" s="155"/>
      <c r="H467" s="155"/>
      <c r="I467" s="270"/>
      <c r="J467" s="270"/>
      <c r="K467" s="270"/>
      <c r="L467" s="270"/>
      <c r="M467" s="270"/>
      <c r="N467" s="270"/>
      <c r="O467" s="155"/>
      <c r="P467" s="155"/>
      <c r="Q467" s="155"/>
      <c r="R467" s="155"/>
      <c r="S467" s="155"/>
      <c r="T467" s="155"/>
      <c r="U467" s="158"/>
      <c r="V467" s="155"/>
      <c r="W467" s="155"/>
      <c r="X467" s="263"/>
      <c r="Y467" s="155"/>
      <c r="Z467" s="155"/>
      <c r="AA467" s="263"/>
      <c r="AB467" s="263"/>
      <c r="AC467" s="155"/>
      <c r="AD467" s="155"/>
      <c r="AE467" s="155"/>
      <c r="AF467" s="155"/>
      <c r="AG467" s="155"/>
      <c r="AH467" s="155"/>
      <c r="AI467" s="155"/>
      <c r="AJ467" s="155"/>
      <c r="AK467" s="155"/>
      <c r="AL467" s="155"/>
      <c r="AM467" s="155"/>
      <c r="AN467" s="155"/>
      <c r="AO467" s="155"/>
      <c r="AP467" s="49"/>
      <c r="AQ467" s="49"/>
      <c r="AR467" s="155"/>
      <c r="AS467" s="155"/>
      <c r="AT467" s="155"/>
      <c r="AU467" s="155"/>
      <c r="AV467" s="155"/>
      <c r="AW467" s="155"/>
      <c r="AX467" s="155"/>
      <c r="AY467" s="155"/>
      <c r="AZ467" s="49"/>
      <c r="BA467" s="49"/>
      <c r="BB467" s="49"/>
      <c r="BC467" s="49"/>
      <c r="BD467" s="49"/>
      <c r="BE467" s="49"/>
      <c r="BF467" s="49"/>
      <c r="BG467" s="49"/>
      <c r="BH467" s="49"/>
      <c r="BI467" s="155"/>
      <c r="BJ467" s="155"/>
      <c r="BK467" s="155"/>
      <c r="BL467" s="49"/>
      <c r="BM467" s="49"/>
      <c r="BN467" s="49"/>
      <c r="BO467" s="49"/>
      <c r="BP467" s="49"/>
      <c r="BQ467" s="49"/>
      <c r="BR467" s="49"/>
      <c r="BS467" s="49"/>
      <c r="BT467" s="49"/>
      <c r="BU467" s="49"/>
      <c r="BV467" s="49"/>
      <c r="BW467" s="49"/>
      <c r="BX467" s="49"/>
      <c r="BY467" s="49"/>
      <c r="BZ467" s="49"/>
      <c r="CA467" s="49"/>
      <c r="CB467" s="49"/>
      <c r="CC467" s="49"/>
      <c r="CD467" s="49"/>
      <c r="CE467" s="49"/>
      <c r="CF467" s="49"/>
      <c r="CG467" s="49"/>
      <c r="CH467" s="49"/>
      <c r="CI467" s="49"/>
      <c r="CJ467" s="49"/>
      <c r="CK467" s="49"/>
      <c r="CL467" s="49"/>
      <c r="CM467" s="49"/>
      <c r="CN467" s="49"/>
      <c r="CO467" s="49"/>
      <c r="CP467" s="49"/>
      <c r="CQ467" s="49"/>
      <c r="CR467" s="49"/>
      <c r="CS467" s="49"/>
      <c r="CT467" s="155"/>
      <c r="CU467" s="155"/>
      <c r="CV467" s="155"/>
      <c r="CW467" s="155"/>
      <c r="CX467" s="155"/>
      <c r="CY467" s="155"/>
      <c r="CZ467" s="155"/>
      <c r="DA467" s="155"/>
      <c r="DB467" s="155"/>
      <c r="DC467" s="155"/>
      <c r="DD467" s="155"/>
      <c r="DE467" s="155"/>
      <c r="DF467" s="155"/>
      <c r="DG467" s="155"/>
      <c r="DH467" s="155"/>
      <c r="DI467" s="155"/>
      <c r="DJ467" s="155"/>
      <c r="DK467" s="155"/>
      <c r="DL467" s="155"/>
      <c r="DM467" s="155"/>
      <c r="DN467" s="155"/>
      <c r="DO467" s="155"/>
      <c r="DP467" s="155"/>
      <c r="DQ467" s="155"/>
      <c r="DR467" s="155"/>
      <c r="DS467" s="155"/>
      <c r="DT467" s="155"/>
      <c r="DU467" s="155"/>
      <c r="DV467" s="155"/>
      <c r="DW467" s="155"/>
      <c r="DX467" s="155"/>
    </row>
    <row r="468" spans="1:128" ht="18" customHeight="1">
      <c r="A468" s="155"/>
      <c r="B468" s="155"/>
      <c r="C468" s="155"/>
      <c r="D468" s="155"/>
      <c r="E468" s="155"/>
      <c r="F468" s="155"/>
      <c r="G468" s="155"/>
      <c r="H468" s="155"/>
      <c r="I468" s="270"/>
      <c r="J468" s="270"/>
      <c r="K468" s="270"/>
      <c r="L468" s="270"/>
      <c r="M468" s="270"/>
      <c r="N468" s="270"/>
      <c r="O468" s="155"/>
      <c r="P468" s="155"/>
      <c r="Q468" s="155"/>
      <c r="R468" s="155"/>
      <c r="S468" s="155"/>
      <c r="T468" s="155"/>
      <c r="U468" s="158"/>
      <c r="V468" s="155"/>
      <c r="W468" s="155"/>
      <c r="X468" s="263"/>
      <c r="Y468" s="155"/>
      <c r="Z468" s="155"/>
      <c r="AA468" s="263"/>
      <c r="AB468" s="263"/>
      <c r="AC468" s="155"/>
      <c r="AD468" s="155"/>
      <c r="AE468" s="155"/>
      <c r="AF468" s="155"/>
      <c r="AG468" s="155"/>
      <c r="AH468" s="155"/>
      <c r="AI468" s="155"/>
      <c r="AJ468" s="155"/>
      <c r="AK468" s="155"/>
      <c r="AL468" s="155"/>
      <c r="AM468" s="155"/>
      <c r="AN468" s="155"/>
      <c r="AO468" s="155"/>
      <c r="AP468" s="49"/>
      <c r="AQ468" s="49"/>
      <c r="AR468" s="155"/>
      <c r="AS468" s="155"/>
      <c r="AT468" s="155"/>
      <c r="AU468" s="155"/>
      <c r="AV468" s="155"/>
      <c r="AW468" s="155"/>
      <c r="AX468" s="155"/>
      <c r="AY468" s="155"/>
      <c r="AZ468" s="49"/>
      <c r="BA468" s="49"/>
      <c r="BB468" s="49"/>
      <c r="BC468" s="49"/>
      <c r="BD468" s="49"/>
      <c r="BE468" s="49"/>
      <c r="BF468" s="49"/>
      <c r="BG468" s="49"/>
      <c r="BH468" s="49"/>
      <c r="BI468" s="155"/>
      <c r="BJ468" s="155"/>
      <c r="BK468" s="155"/>
      <c r="BL468" s="49"/>
      <c r="BM468" s="49"/>
      <c r="BN468" s="49"/>
      <c r="BO468" s="49"/>
      <c r="BP468" s="49"/>
      <c r="BQ468" s="49"/>
      <c r="BR468" s="49"/>
      <c r="BS468" s="49"/>
      <c r="BT468" s="49"/>
      <c r="BU468" s="49"/>
      <c r="BV468" s="49"/>
      <c r="BW468" s="49"/>
      <c r="BX468" s="49"/>
      <c r="BY468" s="49"/>
      <c r="BZ468" s="49"/>
      <c r="CA468" s="49"/>
      <c r="CB468" s="49"/>
      <c r="CC468" s="49"/>
      <c r="CD468" s="49"/>
      <c r="CE468" s="49"/>
      <c r="CF468" s="49"/>
      <c r="CG468" s="49"/>
      <c r="CH468" s="49"/>
      <c r="CI468" s="49"/>
      <c r="CJ468" s="49"/>
      <c r="CK468" s="49"/>
      <c r="CL468" s="49"/>
      <c r="CM468" s="49"/>
      <c r="CN468" s="49"/>
      <c r="CO468" s="49"/>
      <c r="CP468" s="49"/>
      <c r="CQ468" s="49"/>
      <c r="CR468" s="49"/>
      <c r="CS468" s="49"/>
      <c r="CT468" s="155"/>
      <c r="CU468" s="155"/>
      <c r="CV468" s="155"/>
      <c r="CW468" s="155"/>
      <c r="CX468" s="155"/>
      <c r="CY468" s="155"/>
      <c r="CZ468" s="155"/>
      <c r="DA468" s="155"/>
      <c r="DB468" s="155"/>
      <c r="DC468" s="155"/>
      <c r="DD468" s="155"/>
      <c r="DE468" s="155"/>
      <c r="DF468" s="155"/>
      <c r="DG468" s="155"/>
      <c r="DH468" s="155"/>
      <c r="DI468" s="155"/>
      <c r="DJ468" s="155"/>
      <c r="DK468" s="155"/>
      <c r="DL468" s="155"/>
      <c r="DM468" s="155"/>
      <c r="DN468" s="155"/>
      <c r="DO468" s="155"/>
      <c r="DP468" s="155"/>
      <c r="DQ468" s="155"/>
      <c r="DR468" s="155"/>
      <c r="DS468" s="155"/>
      <c r="DT468" s="155"/>
      <c r="DU468" s="155"/>
      <c r="DV468" s="155"/>
      <c r="DW468" s="155"/>
      <c r="DX468" s="155"/>
    </row>
    <row r="469" spans="1:128" ht="18" customHeight="1">
      <c r="A469" s="155"/>
      <c r="B469" s="155"/>
      <c r="C469" s="155"/>
      <c r="D469" s="155"/>
      <c r="E469" s="155"/>
      <c r="F469" s="155"/>
      <c r="G469" s="155"/>
      <c r="H469" s="155"/>
      <c r="I469" s="270"/>
      <c r="J469" s="270"/>
      <c r="K469" s="270"/>
      <c r="L469" s="270"/>
      <c r="M469" s="270"/>
      <c r="N469" s="270"/>
      <c r="O469" s="155"/>
      <c r="P469" s="155"/>
      <c r="Q469" s="155"/>
      <c r="R469" s="155"/>
      <c r="S469" s="155"/>
      <c r="T469" s="155"/>
      <c r="U469" s="158"/>
      <c r="V469" s="155"/>
      <c r="W469" s="155"/>
      <c r="X469" s="263"/>
      <c r="Y469" s="155"/>
      <c r="Z469" s="155"/>
      <c r="AA469" s="263"/>
      <c r="AB469" s="263"/>
      <c r="AC469" s="155"/>
      <c r="AD469" s="155"/>
      <c r="AE469" s="155"/>
      <c r="AF469" s="155"/>
      <c r="AG469" s="155"/>
      <c r="AH469" s="155"/>
      <c r="AI469" s="155"/>
      <c r="AJ469" s="155"/>
      <c r="AK469" s="155"/>
      <c r="AL469" s="155"/>
      <c r="AM469" s="155"/>
      <c r="AN469" s="155"/>
      <c r="AO469" s="155"/>
      <c r="AP469" s="49"/>
      <c r="AQ469" s="49"/>
      <c r="AR469" s="155"/>
      <c r="AS469" s="155"/>
      <c r="AT469" s="155"/>
      <c r="AU469" s="155"/>
      <c r="AV469" s="155"/>
      <c r="AW469" s="155"/>
      <c r="AX469" s="155"/>
      <c r="AY469" s="155"/>
      <c r="AZ469" s="49"/>
      <c r="BA469" s="49"/>
      <c r="BB469" s="49"/>
      <c r="BC469" s="49"/>
      <c r="BD469" s="49"/>
      <c r="BE469" s="49"/>
      <c r="BF469" s="49"/>
      <c r="BG469" s="49"/>
      <c r="BH469" s="49"/>
      <c r="BI469" s="155"/>
      <c r="BJ469" s="155"/>
      <c r="BK469" s="155"/>
      <c r="BL469" s="49"/>
      <c r="BM469" s="49"/>
      <c r="BN469" s="49"/>
      <c r="BO469" s="49"/>
      <c r="BP469" s="49"/>
      <c r="BQ469" s="49"/>
      <c r="BR469" s="49"/>
      <c r="BS469" s="49"/>
      <c r="BT469" s="49"/>
      <c r="BU469" s="49"/>
      <c r="BV469" s="49"/>
      <c r="BW469" s="49"/>
      <c r="BX469" s="49"/>
      <c r="BY469" s="49"/>
      <c r="BZ469" s="49"/>
      <c r="CA469" s="49"/>
      <c r="CB469" s="49"/>
      <c r="CC469" s="49"/>
      <c r="CD469" s="49"/>
      <c r="CE469" s="49"/>
      <c r="CF469" s="49"/>
      <c r="CG469" s="49"/>
      <c r="CH469" s="49"/>
      <c r="CI469" s="49"/>
      <c r="CJ469" s="49"/>
      <c r="CK469" s="49"/>
      <c r="CL469" s="49"/>
      <c r="CM469" s="49"/>
      <c r="CN469" s="49"/>
      <c r="CO469" s="49"/>
      <c r="CP469" s="49"/>
      <c r="CQ469" s="49"/>
      <c r="CR469" s="49"/>
      <c r="CS469" s="49"/>
      <c r="CT469" s="155"/>
      <c r="CU469" s="155"/>
      <c r="CV469" s="155"/>
      <c r="CW469" s="155"/>
      <c r="CX469" s="155"/>
      <c r="CY469" s="155"/>
      <c r="CZ469" s="155"/>
      <c r="DA469" s="155"/>
      <c r="DB469" s="155"/>
      <c r="DC469" s="155"/>
      <c r="DD469" s="155"/>
      <c r="DE469" s="155"/>
      <c r="DF469" s="155"/>
      <c r="DG469" s="155"/>
      <c r="DH469" s="155"/>
      <c r="DI469" s="155"/>
      <c r="DJ469" s="155"/>
      <c r="DK469" s="155"/>
      <c r="DL469" s="155"/>
      <c r="DM469" s="155"/>
      <c r="DN469" s="155"/>
      <c r="DO469" s="155"/>
      <c r="DP469" s="155"/>
      <c r="DQ469" s="155"/>
      <c r="DR469" s="155"/>
      <c r="DS469" s="155"/>
      <c r="DT469" s="155"/>
      <c r="DU469" s="155"/>
      <c r="DV469" s="155"/>
      <c r="DW469" s="155"/>
      <c r="DX469" s="155"/>
    </row>
    <row r="470" spans="1:128" ht="18" customHeight="1">
      <c r="A470" s="155"/>
      <c r="B470" s="155"/>
      <c r="C470" s="155"/>
      <c r="D470" s="155"/>
      <c r="E470" s="155"/>
      <c r="F470" s="155"/>
      <c r="G470" s="155"/>
      <c r="H470" s="155"/>
      <c r="I470" s="270"/>
      <c r="J470" s="270"/>
      <c r="K470" s="270"/>
      <c r="L470" s="270"/>
      <c r="M470" s="270"/>
      <c r="N470" s="270"/>
      <c r="O470" s="155"/>
      <c r="P470" s="155"/>
      <c r="Q470" s="155"/>
      <c r="R470" s="155"/>
      <c r="S470" s="155"/>
      <c r="T470" s="155"/>
      <c r="U470" s="158"/>
      <c r="V470" s="155"/>
      <c r="W470" s="155"/>
      <c r="X470" s="263"/>
      <c r="Y470" s="155"/>
      <c r="Z470" s="155"/>
      <c r="AA470" s="263"/>
      <c r="AB470" s="263"/>
      <c r="AC470" s="155"/>
      <c r="AD470" s="155"/>
      <c r="AE470" s="155"/>
      <c r="AF470" s="155"/>
      <c r="AG470" s="155"/>
      <c r="AH470" s="155"/>
      <c r="AI470" s="155"/>
      <c r="AJ470" s="155"/>
      <c r="AK470" s="155"/>
      <c r="AL470" s="155"/>
      <c r="AM470" s="155"/>
      <c r="AN470" s="155"/>
      <c r="AO470" s="155"/>
      <c r="AP470" s="49"/>
      <c r="AQ470" s="49"/>
      <c r="AR470" s="155"/>
      <c r="AS470" s="155"/>
      <c r="AT470" s="155"/>
      <c r="AU470" s="155"/>
      <c r="AV470" s="155"/>
      <c r="AW470" s="155"/>
      <c r="AX470" s="155"/>
      <c r="AY470" s="155"/>
      <c r="AZ470" s="49"/>
      <c r="BA470" s="49"/>
      <c r="BB470" s="49"/>
      <c r="BC470" s="49"/>
      <c r="BD470" s="49"/>
      <c r="BE470" s="49"/>
      <c r="BF470" s="49"/>
      <c r="BG470" s="49"/>
      <c r="BH470" s="49"/>
      <c r="BI470" s="155"/>
      <c r="BJ470" s="155"/>
      <c r="BK470" s="155"/>
      <c r="BL470" s="49"/>
      <c r="BM470" s="49"/>
      <c r="BN470" s="49"/>
      <c r="BO470" s="49"/>
      <c r="BP470" s="49"/>
      <c r="BQ470" s="49"/>
      <c r="BR470" s="49"/>
      <c r="BS470" s="49"/>
      <c r="BT470" s="49"/>
      <c r="BU470" s="49"/>
      <c r="BV470" s="49"/>
      <c r="BW470" s="49"/>
      <c r="BX470" s="49"/>
      <c r="BY470" s="49"/>
      <c r="BZ470" s="49"/>
      <c r="CA470" s="49"/>
      <c r="CB470" s="49"/>
      <c r="CC470" s="49"/>
      <c r="CD470" s="49"/>
      <c r="CE470" s="49"/>
      <c r="CF470" s="49"/>
      <c r="CG470" s="49"/>
      <c r="CH470" s="49"/>
      <c r="CI470" s="49"/>
      <c r="CJ470" s="49"/>
      <c r="CK470" s="49"/>
      <c r="CL470" s="49"/>
      <c r="CM470" s="49"/>
      <c r="CN470" s="49"/>
      <c r="CO470" s="49"/>
      <c r="CP470" s="49"/>
      <c r="CQ470" s="49"/>
      <c r="CR470" s="49"/>
      <c r="CS470" s="49"/>
      <c r="CT470" s="155"/>
      <c r="CU470" s="155"/>
      <c r="CV470" s="155"/>
      <c r="CW470" s="155"/>
      <c r="CX470" s="155"/>
      <c r="CY470" s="155"/>
      <c r="CZ470" s="155"/>
      <c r="DA470" s="155"/>
      <c r="DB470" s="155"/>
      <c r="DC470" s="155"/>
      <c r="DD470" s="155"/>
      <c r="DE470" s="155"/>
      <c r="DF470" s="155"/>
      <c r="DG470" s="155"/>
      <c r="DH470" s="155"/>
      <c r="DI470" s="155"/>
      <c r="DJ470" s="155"/>
      <c r="DK470" s="155"/>
      <c r="DL470" s="155"/>
      <c r="DM470" s="155"/>
      <c r="DN470" s="155"/>
      <c r="DO470" s="155"/>
      <c r="DP470" s="155"/>
      <c r="DQ470" s="155"/>
      <c r="DR470" s="155"/>
      <c r="DS470" s="155"/>
      <c r="DT470" s="155"/>
      <c r="DU470" s="155"/>
      <c r="DV470" s="155"/>
      <c r="DW470" s="155"/>
      <c r="DX470" s="155"/>
    </row>
    <row r="471" spans="1:128" ht="18" customHeight="1">
      <c r="A471" s="155"/>
      <c r="B471" s="155"/>
      <c r="C471" s="155"/>
      <c r="D471" s="155"/>
      <c r="E471" s="155"/>
      <c r="F471" s="155"/>
      <c r="G471" s="155"/>
      <c r="H471" s="155"/>
      <c r="I471" s="270"/>
      <c r="J471" s="270"/>
      <c r="K471" s="270"/>
      <c r="L471" s="270"/>
      <c r="M471" s="270"/>
      <c r="N471" s="270"/>
      <c r="O471" s="155"/>
      <c r="P471" s="155"/>
      <c r="Q471" s="155"/>
      <c r="R471" s="155"/>
      <c r="S471" s="155"/>
      <c r="T471" s="155"/>
      <c r="U471" s="158"/>
      <c r="V471" s="155"/>
      <c r="W471" s="155"/>
      <c r="X471" s="263"/>
      <c r="Y471" s="155"/>
      <c r="Z471" s="155"/>
      <c r="AA471" s="263"/>
      <c r="AB471" s="263"/>
      <c r="AC471" s="155"/>
      <c r="AD471" s="155"/>
      <c r="AE471" s="155"/>
      <c r="AF471" s="155"/>
      <c r="AG471" s="155"/>
      <c r="AH471" s="155"/>
      <c r="AI471" s="155"/>
      <c r="AJ471" s="155"/>
      <c r="AK471" s="155"/>
      <c r="AL471" s="155"/>
      <c r="AM471" s="155"/>
      <c r="AN471" s="155"/>
      <c r="AO471" s="155"/>
      <c r="AP471" s="49"/>
      <c r="AQ471" s="49"/>
      <c r="AR471" s="155"/>
      <c r="AS471" s="155"/>
      <c r="AT471" s="155"/>
      <c r="AU471" s="155"/>
      <c r="AV471" s="155"/>
      <c r="AW471" s="155"/>
      <c r="AX471" s="155"/>
      <c r="AY471" s="155"/>
      <c r="AZ471" s="49"/>
      <c r="BA471" s="49"/>
      <c r="BB471" s="49"/>
      <c r="BC471" s="49"/>
      <c r="BD471" s="49"/>
      <c r="BE471" s="49"/>
      <c r="BF471" s="49"/>
      <c r="BG471" s="49"/>
      <c r="BH471" s="49"/>
      <c r="BI471" s="155"/>
      <c r="BJ471" s="155"/>
      <c r="BK471" s="155"/>
      <c r="BL471" s="49"/>
      <c r="BM471" s="49"/>
      <c r="BN471" s="49"/>
      <c r="BO471" s="49"/>
      <c r="BP471" s="49"/>
      <c r="BQ471" s="49"/>
      <c r="BR471" s="49"/>
      <c r="BS471" s="49"/>
      <c r="BT471" s="49"/>
      <c r="BU471" s="49"/>
      <c r="BV471" s="49"/>
      <c r="BW471" s="49"/>
      <c r="BX471" s="49"/>
      <c r="BY471" s="49"/>
      <c r="BZ471" s="49"/>
      <c r="CA471" s="49"/>
      <c r="CB471" s="49"/>
      <c r="CC471" s="49"/>
      <c r="CD471" s="49"/>
      <c r="CE471" s="49"/>
      <c r="CF471" s="49"/>
      <c r="CG471" s="49"/>
      <c r="CH471" s="49"/>
      <c r="CI471" s="49"/>
      <c r="CJ471" s="49"/>
      <c r="CK471" s="49"/>
      <c r="CL471" s="49"/>
      <c r="CM471" s="49"/>
      <c r="CN471" s="49"/>
      <c r="CO471" s="49"/>
      <c r="CP471" s="49"/>
      <c r="CQ471" s="49"/>
      <c r="CR471" s="49"/>
      <c r="CS471" s="49"/>
      <c r="CT471" s="155"/>
      <c r="CU471" s="155"/>
      <c r="CV471" s="155"/>
      <c r="CW471" s="155"/>
      <c r="CX471" s="155"/>
      <c r="CY471" s="155"/>
      <c r="CZ471" s="155"/>
      <c r="DA471" s="155"/>
      <c r="DB471" s="155"/>
      <c r="DC471" s="155"/>
      <c r="DD471" s="155"/>
      <c r="DE471" s="155"/>
      <c r="DF471" s="155"/>
      <c r="DG471" s="155"/>
      <c r="DH471" s="155"/>
      <c r="DI471" s="155"/>
      <c r="DJ471" s="155"/>
      <c r="DK471" s="155"/>
      <c r="DL471" s="155"/>
      <c r="DM471" s="155"/>
      <c r="DN471" s="155"/>
      <c r="DO471" s="155"/>
      <c r="DP471" s="155"/>
      <c r="DQ471" s="155"/>
      <c r="DR471" s="155"/>
      <c r="DS471" s="155"/>
      <c r="DT471" s="155"/>
      <c r="DU471" s="155"/>
      <c r="DV471" s="155"/>
      <c r="DW471" s="155"/>
      <c r="DX471" s="155"/>
    </row>
    <row r="472" spans="1:128" ht="18" customHeight="1">
      <c r="A472" s="155"/>
      <c r="B472" s="155"/>
      <c r="C472" s="155"/>
      <c r="D472" s="155"/>
      <c r="E472" s="155"/>
      <c r="F472" s="155"/>
      <c r="G472" s="155"/>
      <c r="H472" s="155"/>
      <c r="I472" s="270"/>
      <c r="J472" s="270"/>
      <c r="K472" s="270"/>
      <c r="L472" s="270"/>
      <c r="M472" s="270"/>
      <c r="N472" s="270"/>
      <c r="O472" s="155"/>
      <c r="P472" s="155"/>
      <c r="Q472" s="155"/>
      <c r="R472" s="155"/>
      <c r="S472" s="155"/>
      <c r="T472" s="155"/>
      <c r="U472" s="158"/>
      <c r="V472" s="155"/>
      <c r="W472" s="155"/>
      <c r="X472" s="263"/>
      <c r="Y472" s="155"/>
      <c r="Z472" s="155"/>
      <c r="AA472" s="263"/>
      <c r="AB472" s="263"/>
      <c r="AC472" s="155"/>
      <c r="AD472" s="155"/>
      <c r="AE472" s="155"/>
      <c r="AF472" s="155"/>
      <c r="AG472" s="155"/>
      <c r="AH472" s="155"/>
      <c r="AI472" s="155"/>
      <c r="AJ472" s="155"/>
      <c r="AK472" s="155"/>
      <c r="AL472" s="155"/>
      <c r="AM472" s="155"/>
      <c r="AN472" s="155"/>
      <c r="AO472" s="155"/>
      <c r="AP472" s="49"/>
      <c r="AQ472" s="49"/>
      <c r="AR472" s="155"/>
      <c r="AS472" s="155"/>
      <c r="AT472" s="155"/>
      <c r="AU472" s="155"/>
      <c r="AV472" s="155"/>
      <c r="AW472" s="155"/>
      <c r="AX472" s="155"/>
      <c r="AY472" s="155"/>
      <c r="AZ472" s="49"/>
      <c r="BA472" s="49"/>
      <c r="BB472" s="49"/>
      <c r="BC472" s="49"/>
      <c r="BD472" s="49"/>
      <c r="BE472" s="49"/>
      <c r="BF472" s="49"/>
      <c r="BG472" s="49"/>
      <c r="BH472" s="49"/>
      <c r="BI472" s="155"/>
      <c r="BJ472" s="155"/>
      <c r="BK472" s="155"/>
      <c r="BL472" s="49"/>
      <c r="BM472" s="49"/>
      <c r="BN472" s="49"/>
      <c r="BO472" s="49"/>
      <c r="BP472" s="49"/>
      <c r="BQ472" s="49"/>
      <c r="BR472" s="49"/>
      <c r="BS472" s="49"/>
      <c r="BT472" s="49"/>
      <c r="BU472" s="49"/>
      <c r="BV472" s="49"/>
      <c r="BW472" s="49"/>
      <c r="BX472" s="49"/>
      <c r="BY472" s="49"/>
      <c r="BZ472" s="49"/>
      <c r="CA472" s="49"/>
      <c r="CB472" s="49"/>
      <c r="CC472" s="49"/>
      <c r="CD472" s="49"/>
      <c r="CE472" s="49"/>
      <c r="CF472" s="49"/>
      <c r="CG472" s="49"/>
      <c r="CH472" s="49"/>
      <c r="CI472" s="49"/>
      <c r="CJ472" s="49"/>
      <c r="CK472" s="49"/>
      <c r="CL472" s="49"/>
      <c r="CM472" s="49"/>
      <c r="CN472" s="49"/>
      <c r="CO472" s="49"/>
      <c r="CP472" s="49"/>
      <c r="CQ472" s="49"/>
      <c r="CR472" s="49"/>
      <c r="CS472" s="49"/>
      <c r="CT472" s="155"/>
      <c r="CU472" s="155"/>
      <c r="CV472" s="155"/>
      <c r="CW472" s="155"/>
      <c r="CX472" s="155"/>
      <c r="CY472" s="155"/>
      <c r="CZ472" s="155"/>
      <c r="DA472" s="155"/>
      <c r="DB472" s="155"/>
      <c r="DC472" s="155"/>
      <c r="DD472" s="155"/>
      <c r="DE472" s="155"/>
      <c r="DF472" s="155"/>
      <c r="DG472" s="155"/>
      <c r="DH472" s="155"/>
      <c r="DI472" s="155"/>
      <c r="DJ472" s="155"/>
      <c r="DK472" s="155"/>
      <c r="DL472" s="155"/>
      <c r="DM472" s="155"/>
      <c r="DN472" s="155"/>
      <c r="DO472" s="155"/>
      <c r="DP472" s="155"/>
      <c r="DQ472" s="155"/>
      <c r="DR472" s="155"/>
      <c r="DS472" s="155"/>
      <c r="DT472" s="155"/>
      <c r="DU472" s="155"/>
      <c r="DV472" s="155"/>
      <c r="DW472" s="155"/>
      <c r="DX472" s="155"/>
    </row>
    <row r="473" spans="1:128" ht="18" customHeight="1">
      <c r="A473" s="155"/>
      <c r="B473" s="155"/>
      <c r="C473" s="155"/>
      <c r="D473" s="155"/>
      <c r="E473" s="155"/>
      <c r="F473" s="155"/>
      <c r="G473" s="155"/>
      <c r="H473" s="155"/>
      <c r="I473" s="270"/>
      <c r="J473" s="270"/>
      <c r="K473" s="270"/>
      <c r="L473" s="270"/>
      <c r="M473" s="270"/>
      <c r="N473" s="270"/>
      <c r="O473" s="155"/>
      <c r="P473" s="155"/>
      <c r="Q473" s="155"/>
      <c r="R473" s="155"/>
      <c r="S473" s="155"/>
      <c r="T473" s="155"/>
      <c r="U473" s="158"/>
      <c r="V473" s="155"/>
      <c r="W473" s="155"/>
      <c r="X473" s="263"/>
      <c r="Y473" s="155"/>
      <c r="Z473" s="155"/>
      <c r="AA473" s="263"/>
      <c r="AB473" s="263"/>
      <c r="AC473" s="155"/>
      <c r="AD473" s="155"/>
      <c r="AE473" s="155"/>
      <c r="AF473" s="155"/>
      <c r="AG473" s="155"/>
      <c r="AH473" s="155"/>
      <c r="AI473" s="155"/>
      <c r="AJ473" s="155"/>
      <c r="AK473" s="155"/>
      <c r="AL473" s="155"/>
      <c r="AM473" s="155"/>
      <c r="AN473" s="155"/>
      <c r="AO473" s="155"/>
      <c r="AP473" s="49"/>
      <c r="AQ473" s="49"/>
      <c r="AR473" s="155"/>
      <c r="AS473" s="155"/>
      <c r="AT473" s="155"/>
      <c r="AU473" s="155"/>
      <c r="AV473" s="155"/>
      <c r="AW473" s="155"/>
      <c r="AX473" s="155"/>
      <c r="AY473" s="155"/>
      <c r="AZ473" s="49"/>
      <c r="BA473" s="49"/>
      <c r="BB473" s="49"/>
      <c r="BC473" s="49"/>
      <c r="BD473" s="49"/>
      <c r="BE473" s="49"/>
      <c r="BF473" s="49"/>
      <c r="BG473" s="49"/>
      <c r="BH473" s="49"/>
      <c r="BI473" s="155"/>
      <c r="BJ473" s="155"/>
      <c r="BK473" s="155"/>
      <c r="BL473" s="49"/>
      <c r="BM473" s="49"/>
      <c r="BN473" s="49"/>
      <c r="BO473" s="49"/>
      <c r="BP473" s="49"/>
      <c r="BQ473" s="49"/>
      <c r="BR473" s="49"/>
      <c r="BS473" s="49"/>
      <c r="BT473" s="49"/>
      <c r="BU473" s="49"/>
      <c r="BV473" s="49"/>
      <c r="BW473" s="49"/>
      <c r="BX473" s="49"/>
      <c r="BY473" s="49"/>
      <c r="BZ473" s="49"/>
      <c r="CA473" s="49"/>
      <c r="CB473" s="49"/>
      <c r="CC473" s="49"/>
      <c r="CD473" s="49"/>
      <c r="CE473" s="49"/>
      <c r="CF473" s="49"/>
      <c r="CG473" s="49"/>
      <c r="CH473" s="49"/>
      <c r="CI473" s="49"/>
      <c r="CJ473" s="49"/>
      <c r="CK473" s="49"/>
      <c r="CL473" s="49"/>
      <c r="CM473" s="49"/>
      <c r="CN473" s="49"/>
      <c r="CO473" s="49"/>
      <c r="CP473" s="49"/>
      <c r="CQ473" s="49"/>
      <c r="CR473" s="49"/>
      <c r="CS473" s="49"/>
      <c r="CT473" s="155"/>
      <c r="CU473" s="155"/>
      <c r="CV473" s="155"/>
      <c r="CW473" s="155"/>
      <c r="CX473" s="155"/>
      <c r="CY473" s="155"/>
      <c r="CZ473" s="155"/>
      <c r="DA473" s="155"/>
      <c r="DB473" s="155"/>
      <c r="DC473" s="155"/>
      <c r="DD473" s="155"/>
      <c r="DE473" s="155"/>
      <c r="DF473" s="155"/>
      <c r="DG473" s="155"/>
      <c r="DH473" s="155"/>
      <c r="DI473" s="155"/>
      <c r="DJ473" s="155"/>
      <c r="DK473" s="155"/>
      <c r="DL473" s="155"/>
      <c r="DM473" s="155"/>
      <c r="DN473" s="155"/>
      <c r="DO473" s="155"/>
      <c r="DP473" s="155"/>
      <c r="DQ473" s="155"/>
      <c r="DR473" s="155"/>
      <c r="DS473" s="155"/>
      <c r="DT473" s="155"/>
      <c r="DU473" s="155"/>
      <c r="DV473" s="155"/>
      <c r="DW473" s="155"/>
      <c r="DX473" s="155"/>
    </row>
    <row r="474" spans="1:128" ht="18" customHeight="1">
      <c r="A474" s="155"/>
      <c r="B474" s="155"/>
      <c r="C474" s="155"/>
      <c r="D474" s="155"/>
      <c r="E474" s="155"/>
      <c r="F474" s="155"/>
      <c r="G474" s="155"/>
      <c r="H474" s="155"/>
      <c r="I474" s="270"/>
      <c r="J474" s="270"/>
      <c r="K474" s="270"/>
      <c r="L474" s="270"/>
      <c r="M474" s="270"/>
      <c r="N474" s="270"/>
      <c r="O474" s="155"/>
      <c r="P474" s="155"/>
      <c r="Q474" s="155"/>
      <c r="R474" s="155"/>
      <c r="S474" s="155"/>
      <c r="T474" s="155"/>
      <c r="U474" s="158"/>
      <c r="V474" s="155"/>
      <c r="W474" s="155"/>
      <c r="X474" s="263"/>
      <c r="Y474" s="155"/>
      <c r="Z474" s="155"/>
      <c r="AA474" s="263"/>
      <c r="AB474" s="263"/>
      <c r="AC474" s="155"/>
      <c r="AD474" s="155"/>
      <c r="AE474" s="155"/>
      <c r="AF474" s="155"/>
      <c r="AG474" s="155"/>
      <c r="AH474" s="155"/>
      <c r="AI474" s="155"/>
      <c r="AJ474" s="155"/>
      <c r="AK474" s="155"/>
      <c r="AL474" s="155"/>
      <c r="AM474" s="155"/>
      <c r="AN474" s="155"/>
      <c r="AO474" s="155"/>
      <c r="AP474" s="49"/>
      <c r="AQ474" s="49"/>
      <c r="AR474" s="155"/>
      <c r="AS474" s="155"/>
      <c r="AT474" s="155"/>
      <c r="AU474" s="155"/>
      <c r="AV474" s="155"/>
      <c r="AW474" s="155"/>
      <c r="AX474" s="155"/>
      <c r="AY474" s="155"/>
      <c r="AZ474" s="49"/>
      <c r="BA474" s="49"/>
      <c r="BB474" s="49"/>
      <c r="BC474" s="49"/>
      <c r="BD474" s="49"/>
      <c r="BE474" s="49"/>
      <c r="BF474" s="49"/>
      <c r="BG474" s="49"/>
      <c r="BH474" s="49"/>
      <c r="BI474" s="155"/>
      <c r="BJ474" s="155"/>
      <c r="BK474" s="155"/>
      <c r="BL474" s="49"/>
      <c r="BM474" s="49"/>
      <c r="BN474" s="49"/>
      <c r="BO474" s="49"/>
      <c r="BP474" s="49"/>
      <c r="BQ474" s="49"/>
      <c r="BR474" s="49"/>
      <c r="BS474" s="49"/>
      <c r="BT474" s="49"/>
      <c r="BU474" s="49"/>
      <c r="BV474" s="49"/>
      <c r="BW474" s="49"/>
      <c r="BX474" s="49"/>
      <c r="BY474" s="49"/>
      <c r="BZ474" s="49"/>
      <c r="CA474" s="49"/>
      <c r="CB474" s="49"/>
      <c r="CC474" s="49"/>
      <c r="CD474" s="49"/>
      <c r="CE474" s="49"/>
      <c r="CF474" s="49"/>
      <c r="CG474" s="49"/>
      <c r="CH474" s="49"/>
      <c r="CI474" s="49"/>
      <c r="CJ474" s="49"/>
      <c r="CK474" s="49"/>
      <c r="CL474" s="49"/>
      <c r="CM474" s="49"/>
      <c r="CN474" s="49"/>
      <c r="CO474" s="49"/>
      <c r="CP474" s="49"/>
      <c r="CQ474" s="49"/>
      <c r="CR474" s="49"/>
      <c r="CS474" s="49"/>
      <c r="CT474" s="155"/>
      <c r="CU474" s="155"/>
      <c r="CV474" s="155"/>
      <c r="CW474" s="155"/>
      <c r="CX474" s="155"/>
      <c r="CY474" s="155"/>
      <c r="CZ474" s="155"/>
      <c r="DA474" s="155"/>
      <c r="DB474" s="155"/>
      <c r="DC474" s="155"/>
      <c r="DD474" s="155"/>
      <c r="DE474" s="155"/>
      <c r="DF474" s="155"/>
      <c r="DG474" s="155"/>
      <c r="DH474" s="155"/>
      <c r="DI474" s="155"/>
      <c r="DJ474" s="155"/>
      <c r="DK474" s="155"/>
      <c r="DL474" s="155"/>
      <c r="DM474" s="155"/>
      <c r="DN474" s="155"/>
      <c r="DO474" s="155"/>
      <c r="DP474" s="155"/>
      <c r="DQ474" s="155"/>
      <c r="DR474" s="155"/>
      <c r="DS474" s="155"/>
      <c r="DT474" s="155"/>
      <c r="DU474" s="155"/>
      <c r="DV474" s="155"/>
      <c r="DW474" s="155"/>
      <c r="DX474" s="155"/>
    </row>
    <row r="475" spans="1:128" ht="18" customHeight="1">
      <c r="A475" s="155"/>
      <c r="B475" s="155"/>
      <c r="C475" s="155"/>
      <c r="D475" s="155"/>
      <c r="E475" s="155"/>
      <c r="F475" s="155"/>
      <c r="G475" s="155"/>
      <c r="H475" s="155"/>
      <c r="I475" s="270"/>
      <c r="J475" s="270"/>
      <c r="K475" s="270"/>
      <c r="L475" s="270"/>
      <c r="M475" s="270"/>
      <c r="N475" s="270"/>
      <c r="O475" s="155"/>
      <c r="P475" s="155"/>
      <c r="Q475" s="155"/>
      <c r="R475" s="155"/>
      <c r="S475" s="155"/>
      <c r="T475" s="155"/>
      <c r="U475" s="158"/>
      <c r="V475" s="155"/>
      <c r="W475" s="155"/>
      <c r="X475" s="263"/>
      <c r="Y475" s="155"/>
      <c r="Z475" s="155"/>
      <c r="AA475" s="263"/>
      <c r="AB475" s="263"/>
      <c r="AC475" s="155"/>
      <c r="AD475" s="155"/>
      <c r="AE475" s="155"/>
      <c r="AF475" s="155"/>
      <c r="AG475" s="155"/>
      <c r="AH475" s="155"/>
      <c r="AI475" s="155"/>
      <c r="AJ475" s="155"/>
      <c r="AK475" s="155"/>
      <c r="AL475" s="155"/>
      <c r="AM475" s="155"/>
      <c r="AN475" s="155"/>
      <c r="AO475" s="155"/>
      <c r="AP475" s="49"/>
      <c r="AQ475" s="49"/>
      <c r="AR475" s="155"/>
      <c r="AS475" s="155"/>
      <c r="AT475" s="155"/>
      <c r="AU475" s="155"/>
      <c r="AV475" s="155"/>
      <c r="AW475" s="155"/>
      <c r="AX475" s="155"/>
      <c r="AY475" s="155"/>
      <c r="AZ475" s="49"/>
      <c r="BA475" s="49"/>
      <c r="BB475" s="49"/>
      <c r="BC475" s="49"/>
      <c r="BD475" s="49"/>
      <c r="BE475" s="49"/>
      <c r="BF475" s="49"/>
      <c r="BG475" s="49"/>
      <c r="BH475" s="49"/>
      <c r="BI475" s="155"/>
      <c r="BJ475" s="155"/>
      <c r="BK475" s="155"/>
      <c r="BL475" s="49"/>
      <c r="BM475" s="49"/>
      <c r="BN475" s="49"/>
      <c r="BO475" s="49"/>
      <c r="BP475" s="49"/>
      <c r="BQ475" s="49"/>
      <c r="BR475" s="49"/>
      <c r="BS475" s="49"/>
      <c r="BT475" s="49"/>
      <c r="BU475" s="49"/>
      <c r="BV475" s="49"/>
      <c r="BW475" s="49"/>
      <c r="BX475" s="49"/>
      <c r="BY475" s="49"/>
      <c r="BZ475" s="49"/>
      <c r="CA475" s="49"/>
      <c r="CB475" s="49"/>
      <c r="CC475" s="49"/>
      <c r="CD475" s="49"/>
      <c r="CE475" s="49"/>
      <c r="CF475" s="49"/>
      <c r="CG475" s="49"/>
      <c r="CH475" s="49"/>
      <c r="CI475" s="49"/>
      <c r="CJ475" s="49"/>
      <c r="CK475" s="49"/>
      <c r="CL475" s="49"/>
      <c r="CM475" s="49"/>
      <c r="CN475" s="49"/>
      <c r="CO475" s="49"/>
      <c r="CP475" s="49"/>
      <c r="CQ475" s="49"/>
      <c r="CR475" s="49"/>
      <c r="CS475" s="49"/>
      <c r="CT475" s="155"/>
      <c r="CU475" s="155"/>
      <c r="CV475" s="155"/>
      <c r="CW475" s="155"/>
      <c r="CX475" s="155"/>
      <c r="CY475" s="155"/>
      <c r="CZ475" s="155"/>
      <c r="DA475" s="155"/>
      <c r="DB475" s="155"/>
      <c r="DC475" s="155"/>
      <c r="DD475" s="155"/>
      <c r="DE475" s="155"/>
      <c r="DF475" s="155"/>
      <c r="DG475" s="155"/>
      <c r="DH475" s="155"/>
      <c r="DI475" s="155"/>
      <c r="DJ475" s="155"/>
      <c r="DK475" s="155"/>
      <c r="DL475" s="155"/>
      <c r="DM475" s="155"/>
      <c r="DN475" s="155"/>
      <c r="DO475" s="155"/>
      <c r="DP475" s="155"/>
      <c r="DQ475" s="155"/>
      <c r="DR475" s="155"/>
      <c r="DS475" s="155"/>
      <c r="DT475" s="155"/>
      <c r="DU475" s="155"/>
      <c r="DV475" s="155"/>
      <c r="DW475" s="155"/>
      <c r="DX475" s="155"/>
    </row>
    <row r="476" spans="1:128" ht="18" customHeight="1">
      <c r="A476" s="155"/>
      <c r="B476" s="155"/>
      <c r="C476" s="155"/>
      <c r="D476" s="155"/>
      <c r="E476" s="155"/>
      <c r="F476" s="155"/>
      <c r="G476" s="155"/>
      <c r="H476" s="155"/>
      <c r="I476" s="270"/>
      <c r="J476" s="270"/>
      <c r="K476" s="270"/>
      <c r="L476" s="270"/>
      <c r="M476" s="270"/>
      <c r="N476" s="270"/>
      <c r="O476" s="155"/>
      <c r="P476" s="155"/>
      <c r="Q476" s="155"/>
      <c r="R476" s="155"/>
      <c r="S476" s="155"/>
      <c r="T476" s="155"/>
      <c r="U476" s="158"/>
      <c r="V476" s="155"/>
      <c r="W476" s="155"/>
      <c r="X476" s="263"/>
      <c r="Y476" s="155"/>
      <c r="Z476" s="155"/>
      <c r="AA476" s="263"/>
      <c r="AB476" s="263"/>
      <c r="AC476" s="155"/>
      <c r="AD476" s="155"/>
      <c r="AE476" s="155"/>
      <c r="AF476" s="155"/>
      <c r="AG476" s="155"/>
      <c r="AH476" s="155"/>
      <c r="AI476" s="155"/>
      <c r="AJ476" s="155"/>
      <c r="AK476" s="155"/>
      <c r="AL476" s="155"/>
      <c r="AM476" s="155"/>
      <c r="AN476" s="155"/>
      <c r="AO476" s="155"/>
      <c r="AP476" s="49"/>
      <c r="AQ476" s="49"/>
      <c r="AR476" s="155"/>
      <c r="AS476" s="155"/>
      <c r="AT476" s="155"/>
      <c r="AU476" s="155"/>
      <c r="AV476" s="155"/>
      <c r="AW476" s="155"/>
      <c r="AX476" s="155"/>
      <c r="AY476" s="155"/>
      <c r="AZ476" s="49"/>
      <c r="BA476" s="49"/>
      <c r="BB476" s="49"/>
      <c r="BC476" s="49"/>
      <c r="BD476" s="49"/>
      <c r="BE476" s="49"/>
      <c r="BF476" s="49"/>
      <c r="BG476" s="49"/>
      <c r="BH476" s="49"/>
      <c r="BI476" s="155"/>
      <c r="BJ476" s="155"/>
      <c r="BK476" s="155"/>
      <c r="BL476" s="49"/>
      <c r="BM476" s="49"/>
      <c r="BN476" s="49"/>
      <c r="BO476" s="49"/>
      <c r="BP476" s="49"/>
      <c r="BQ476" s="49"/>
      <c r="BR476" s="49"/>
      <c r="BS476" s="49"/>
      <c r="BT476" s="49"/>
      <c r="BU476" s="49"/>
      <c r="BV476" s="49"/>
      <c r="BW476" s="49"/>
      <c r="BX476" s="49"/>
      <c r="BY476" s="49"/>
      <c r="BZ476" s="49"/>
      <c r="CA476" s="49"/>
      <c r="CB476" s="49"/>
      <c r="CC476" s="49"/>
      <c r="CD476" s="49"/>
      <c r="CE476" s="49"/>
      <c r="CF476" s="49"/>
      <c r="CG476" s="49"/>
      <c r="CH476" s="49"/>
      <c r="CI476" s="49"/>
      <c r="CJ476" s="49"/>
      <c r="CK476" s="49"/>
      <c r="CL476" s="49"/>
      <c r="CM476" s="49"/>
      <c r="CN476" s="49"/>
      <c r="CO476" s="49"/>
      <c r="CP476" s="49"/>
      <c r="CQ476" s="49"/>
      <c r="CR476" s="49"/>
      <c r="CS476" s="49"/>
      <c r="CT476" s="155"/>
      <c r="CU476" s="155"/>
      <c r="CV476" s="155"/>
      <c r="CW476" s="155"/>
      <c r="CX476" s="155"/>
      <c r="CY476" s="155"/>
      <c r="CZ476" s="155"/>
      <c r="DA476" s="155"/>
      <c r="DB476" s="155"/>
      <c r="DC476" s="155"/>
      <c r="DD476" s="155"/>
      <c r="DE476" s="155"/>
      <c r="DF476" s="155"/>
      <c r="DG476" s="155"/>
      <c r="DH476" s="155"/>
      <c r="DI476" s="155"/>
      <c r="DJ476" s="155"/>
      <c r="DK476" s="155"/>
      <c r="DL476" s="155"/>
      <c r="DM476" s="155"/>
      <c r="DN476" s="155"/>
      <c r="DO476" s="155"/>
      <c r="DP476" s="155"/>
      <c r="DQ476" s="155"/>
      <c r="DR476" s="155"/>
      <c r="DS476" s="155"/>
      <c r="DT476" s="155"/>
      <c r="DU476" s="155"/>
      <c r="DV476" s="155"/>
      <c r="DW476" s="155"/>
      <c r="DX476" s="155"/>
    </row>
    <row r="477" spans="1:128" ht="18" customHeight="1">
      <c r="A477" s="155"/>
      <c r="B477" s="155"/>
      <c r="C477" s="155"/>
      <c r="D477" s="155"/>
      <c r="E477" s="155"/>
      <c r="F477" s="155"/>
      <c r="G477" s="155"/>
      <c r="H477" s="155"/>
      <c r="I477" s="270"/>
      <c r="J477" s="270"/>
      <c r="K477" s="270"/>
      <c r="L477" s="270"/>
      <c r="M477" s="270"/>
      <c r="N477" s="270"/>
      <c r="O477" s="155"/>
      <c r="P477" s="155"/>
      <c r="Q477" s="155"/>
      <c r="R477" s="155"/>
      <c r="S477" s="155"/>
      <c r="T477" s="155"/>
      <c r="U477" s="158"/>
      <c r="V477" s="155"/>
      <c r="W477" s="155"/>
      <c r="X477" s="263"/>
      <c r="Y477" s="155"/>
      <c r="Z477" s="155"/>
      <c r="AA477" s="263"/>
      <c r="AB477" s="263"/>
      <c r="AC477" s="155"/>
      <c r="AD477" s="155"/>
      <c r="AE477" s="155"/>
      <c r="AF477" s="155"/>
      <c r="AG477" s="155"/>
      <c r="AH477" s="155"/>
      <c r="AI477" s="155"/>
      <c r="AJ477" s="155"/>
      <c r="AK477" s="155"/>
      <c r="AL477" s="155"/>
      <c r="AM477" s="155"/>
      <c r="AN477" s="155"/>
      <c r="AO477" s="155"/>
      <c r="AP477" s="49"/>
      <c r="AQ477" s="49"/>
      <c r="AR477" s="155"/>
      <c r="AS477" s="155"/>
      <c r="AT477" s="155"/>
      <c r="AU477" s="155"/>
      <c r="AV477" s="155"/>
      <c r="AW477" s="155"/>
      <c r="AX477" s="155"/>
      <c r="AY477" s="155"/>
      <c r="AZ477" s="49"/>
      <c r="BA477" s="49"/>
      <c r="BB477" s="49"/>
      <c r="BC477" s="49"/>
      <c r="BD477" s="49"/>
      <c r="BE477" s="49"/>
      <c r="BF477" s="49"/>
      <c r="BG477" s="49"/>
      <c r="BH477" s="49"/>
      <c r="BI477" s="155"/>
      <c r="BJ477" s="155"/>
      <c r="BK477" s="155"/>
      <c r="BL477" s="49"/>
      <c r="BM477" s="49"/>
      <c r="BN477" s="49"/>
      <c r="BO477" s="49"/>
      <c r="BP477" s="49"/>
      <c r="BQ477" s="49"/>
      <c r="BR477" s="49"/>
      <c r="BS477" s="49"/>
      <c r="BT477" s="49"/>
      <c r="BU477" s="49"/>
      <c r="BV477" s="49"/>
      <c r="BW477" s="49"/>
      <c r="BX477" s="49"/>
      <c r="BY477" s="49"/>
      <c r="BZ477" s="49"/>
      <c r="CA477" s="49"/>
      <c r="CB477" s="49"/>
      <c r="CC477" s="49"/>
      <c r="CD477" s="49"/>
      <c r="CE477" s="49"/>
      <c r="CF477" s="49"/>
      <c r="CG477" s="49"/>
      <c r="CH477" s="49"/>
      <c r="CI477" s="49"/>
      <c r="CJ477" s="49"/>
      <c r="CK477" s="49"/>
      <c r="CL477" s="49"/>
      <c r="CM477" s="49"/>
      <c r="CN477" s="49"/>
      <c r="CO477" s="49"/>
      <c r="CP477" s="49"/>
      <c r="CQ477" s="49"/>
      <c r="CR477" s="49"/>
      <c r="CS477" s="49"/>
      <c r="CT477" s="155"/>
      <c r="CU477" s="155"/>
      <c r="CV477" s="155"/>
      <c r="CW477" s="155"/>
      <c r="CX477" s="155"/>
      <c r="CY477" s="155"/>
      <c r="CZ477" s="155"/>
      <c r="DA477" s="155"/>
      <c r="DB477" s="155"/>
      <c r="DC477" s="155"/>
      <c r="DD477" s="155"/>
      <c r="DE477" s="155"/>
      <c r="DF477" s="155"/>
      <c r="DG477" s="155"/>
      <c r="DH477" s="155"/>
      <c r="DI477" s="155"/>
      <c r="DJ477" s="155"/>
      <c r="DK477" s="155"/>
      <c r="DL477" s="155"/>
      <c r="DM477" s="155"/>
      <c r="DN477" s="155"/>
      <c r="DO477" s="155"/>
      <c r="DP477" s="155"/>
      <c r="DQ477" s="155"/>
      <c r="DR477" s="155"/>
      <c r="DS477" s="155"/>
      <c r="DT477" s="155"/>
      <c r="DU477" s="155"/>
      <c r="DV477" s="155"/>
      <c r="DW477" s="155"/>
      <c r="DX477" s="155"/>
    </row>
    <row r="478" spans="1:128" ht="18" customHeight="1">
      <c r="A478" s="155"/>
      <c r="B478" s="155"/>
      <c r="C478" s="155"/>
      <c r="D478" s="155"/>
      <c r="E478" s="155"/>
      <c r="F478" s="155"/>
      <c r="G478" s="155"/>
      <c r="H478" s="155"/>
      <c r="I478" s="270"/>
      <c r="J478" s="270"/>
      <c r="K478" s="270"/>
      <c r="L478" s="270"/>
      <c r="M478" s="270"/>
      <c r="N478" s="270"/>
      <c r="O478" s="155"/>
      <c r="P478" s="155"/>
      <c r="Q478" s="155"/>
      <c r="R478" s="155"/>
      <c r="S478" s="155"/>
      <c r="T478" s="155"/>
      <c r="U478" s="158"/>
      <c r="V478" s="155"/>
      <c r="W478" s="155"/>
      <c r="X478" s="263"/>
      <c r="Y478" s="155"/>
      <c r="Z478" s="155"/>
      <c r="AA478" s="263"/>
      <c r="AB478" s="263"/>
      <c r="AC478" s="155"/>
      <c r="AD478" s="155"/>
      <c r="AE478" s="155"/>
      <c r="AF478" s="155"/>
      <c r="AG478" s="155"/>
      <c r="AH478" s="155"/>
      <c r="AI478" s="155"/>
      <c r="AJ478" s="155"/>
      <c r="AK478" s="155"/>
      <c r="AL478" s="155"/>
      <c r="AM478" s="155"/>
      <c r="AN478" s="155"/>
      <c r="AO478" s="155"/>
      <c r="AP478" s="49"/>
      <c r="AQ478" s="49"/>
      <c r="AR478" s="155"/>
      <c r="AS478" s="155"/>
      <c r="AT478" s="155"/>
      <c r="AU478" s="155"/>
      <c r="AV478" s="155"/>
      <c r="AW478" s="155"/>
      <c r="AX478" s="155"/>
      <c r="AY478" s="155"/>
      <c r="AZ478" s="49"/>
      <c r="BA478" s="49"/>
      <c r="BB478" s="49"/>
      <c r="BC478" s="49"/>
      <c r="BD478" s="49"/>
      <c r="BE478" s="49"/>
      <c r="BF478" s="49"/>
      <c r="BG478" s="49"/>
      <c r="BH478" s="49"/>
      <c r="BI478" s="155"/>
      <c r="BJ478" s="155"/>
      <c r="BK478" s="155"/>
      <c r="BL478" s="49"/>
      <c r="BM478" s="49"/>
      <c r="BN478" s="49"/>
      <c r="BO478" s="49"/>
      <c r="BP478" s="49"/>
      <c r="BQ478" s="49"/>
      <c r="BR478" s="49"/>
      <c r="BS478" s="49"/>
      <c r="BT478" s="49"/>
      <c r="BU478" s="49"/>
      <c r="BV478" s="49"/>
      <c r="BW478" s="49"/>
      <c r="BX478" s="49"/>
      <c r="BY478" s="49"/>
      <c r="BZ478" s="49"/>
      <c r="CA478" s="49"/>
      <c r="CB478" s="49"/>
      <c r="CC478" s="49"/>
      <c r="CD478" s="49"/>
      <c r="CE478" s="49"/>
      <c r="CF478" s="49"/>
      <c r="CG478" s="49"/>
      <c r="CH478" s="49"/>
      <c r="CI478" s="49"/>
      <c r="CJ478" s="49"/>
      <c r="CK478" s="49"/>
      <c r="CL478" s="49"/>
      <c r="CM478" s="49"/>
      <c r="CN478" s="49"/>
      <c r="CO478" s="49"/>
      <c r="CP478" s="49"/>
      <c r="CQ478" s="49"/>
      <c r="CR478" s="49"/>
      <c r="CS478" s="49"/>
      <c r="CT478" s="155"/>
      <c r="CU478" s="155"/>
      <c r="CV478" s="155"/>
      <c r="CW478" s="155"/>
      <c r="CX478" s="155"/>
      <c r="CY478" s="155"/>
      <c r="CZ478" s="155"/>
      <c r="DA478" s="155"/>
      <c r="DB478" s="155"/>
      <c r="DC478" s="155"/>
      <c r="DD478" s="155"/>
      <c r="DE478" s="155"/>
      <c r="DF478" s="155"/>
      <c r="DG478" s="155"/>
      <c r="DH478" s="155"/>
      <c r="DI478" s="155"/>
      <c r="DJ478" s="155"/>
      <c r="DK478" s="155"/>
      <c r="DL478" s="155"/>
      <c r="DM478" s="155"/>
      <c r="DN478" s="155"/>
      <c r="DO478" s="155"/>
      <c r="DP478" s="155"/>
      <c r="DQ478" s="155"/>
      <c r="DR478" s="155"/>
      <c r="DS478" s="155"/>
      <c r="DT478" s="155"/>
      <c r="DU478" s="155"/>
      <c r="DV478" s="155"/>
      <c r="DW478" s="155"/>
      <c r="DX478" s="155"/>
    </row>
    <row r="479" spans="1:128" ht="18" customHeight="1">
      <c r="A479" s="155"/>
      <c r="B479" s="155"/>
      <c r="C479" s="155"/>
      <c r="D479" s="155"/>
      <c r="E479" s="155"/>
      <c r="F479" s="155"/>
      <c r="G479" s="155"/>
      <c r="H479" s="155"/>
      <c r="I479" s="270"/>
      <c r="J479" s="270"/>
      <c r="K479" s="270"/>
      <c r="L479" s="270"/>
      <c r="M479" s="270"/>
      <c r="N479" s="270"/>
      <c r="O479" s="155"/>
      <c r="P479" s="155"/>
      <c r="Q479" s="155"/>
      <c r="R479" s="155"/>
      <c r="S479" s="155"/>
      <c r="T479" s="155"/>
      <c r="U479" s="158"/>
      <c r="V479" s="155"/>
      <c r="W479" s="155"/>
      <c r="X479" s="263"/>
      <c r="Y479" s="155"/>
      <c r="Z479" s="155"/>
      <c r="AA479" s="263"/>
      <c r="AB479" s="263"/>
      <c r="AC479" s="155"/>
      <c r="AD479" s="155"/>
      <c r="AE479" s="155"/>
      <c r="AF479" s="155"/>
      <c r="AG479" s="155"/>
      <c r="AH479" s="155"/>
      <c r="AI479" s="155"/>
      <c r="AJ479" s="155"/>
      <c r="AK479" s="155"/>
      <c r="AL479" s="155"/>
      <c r="AM479" s="155"/>
      <c r="AN479" s="155"/>
      <c r="AO479" s="155"/>
      <c r="AP479" s="49"/>
      <c r="AQ479" s="49"/>
      <c r="AR479" s="155"/>
      <c r="AS479" s="155"/>
      <c r="AT479" s="155"/>
      <c r="AU479" s="155"/>
      <c r="AV479" s="155"/>
      <c r="AW479" s="155"/>
      <c r="AX479" s="155"/>
      <c r="AY479" s="155"/>
      <c r="AZ479" s="49"/>
      <c r="BA479" s="49"/>
      <c r="BB479" s="49"/>
      <c r="BC479" s="49"/>
      <c r="BD479" s="49"/>
      <c r="BE479" s="49"/>
      <c r="BF479" s="49"/>
      <c r="BG479" s="49"/>
      <c r="BH479" s="49"/>
      <c r="BI479" s="155"/>
      <c r="BJ479" s="155"/>
      <c r="BK479" s="155"/>
      <c r="BL479" s="49"/>
      <c r="BM479" s="49"/>
      <c r="BN479" s="49"/>
      <c r="BO479" s="49"/>
      <c r="BP479" s="49"/>
      <c r="BQ479" s="49"/>
      <c r="BR479" s="49"/>
      <c r="BS479" s="49"/>
      <c r="BT479" s="49"/>
      <c r="BU479" s="49"/>
      <c r="BV479" s="49"/>
      <c r="BW479" s="49"/>
      <c r="BX479" s="49"/>
      <c r="BY479" s="49"/>
      <c r="BZ479" s="49"/>
      <c r="CA479" s="49"/>
      <c r="CB479" s="49"/>
      <c r="CC479" s="49"/>
      <c r="CD479" s="49"/>
      <c r="CE479" s="49"/>
      <c r="CF479" s="49"/>
      <c r="CG479" s="49"/>
      <c r="CH479" s="49"/>
      <c r="CI479" s="49"/>
      <c r="CJ479" s="49"/>
      <c r="CK479" s="49"/>
      <c r="CL479" s="49"/>
      <c r="CM479" s="49"/>
      <c r="CN479" s="49"/>
      <c r="CO479" s="49"/>
      <c r="CP479" s="49"/>
      <c r="CQ479" s="49"/>
      <c r="CR479" s="49"/>
      <c r="CS479" s="49"/>
      <c r="CT479" s="155"/>
      <c r="CU479" s="155"/>
      <c r="CV479" s="155"/>
      <c r="CW479" s="155"/>
      <c r="CX479" s="155"/>
      <c r="CY479" s="155"/>
      <c r="CZ479" s="155"/>
      <c r="DA479" s="155"/>
      <c r="DB479" s="155"/>
      <c r="DC479" s="155"/>
      <c r="DD479" s="155"/>
      <c r="DE479" s="155"/>
      <c r="DF479" s="155"/>
      <c r="DG479" s="155"/>
      <c r="DH479" s="155"/>
      <c r="DI479" s="155"/>
      <c r="DJ479" s="155"/>
      <c r="DK479" s="155"/>
      <c r="DL479" s="155"/>
      <c r="DM479" s="155"/>
      <c r="DN479" s="155"/>
      <c r="DO479" s="155"/>
      <c r="DP479" s="155"/>
      <c r="DQ479" s="155"/>
      <c r="DR479" s="155"/>
      <c r="DS479" s="155"/>
      <c r="DT479" s="155"/>
      <c r="DU479" s="155"/>
      <c r="DV479" s="155"/>
      <c r="DW479" s="155"/>
      <c r="DX479" s="155"/>
    </row>
    <row r="480" spans="1:128" ht="18" customHeight="1">
      <c r="A480" s="155"/>
      <c r="B480" s="155"/>
      <c r="C480" s="155"/>
      <c r="D480" s="155"/>
      <c r="E480" s="155"/>
      <c r="F480" s="155"/>
      <c r="G480" s="155"/>
      <c r="H480" s="155"/>
      <c r="I480" s="270"/>
      <c r="J480" s="270"/>
      <c r="K480" s="270"/>
      <c r="L480" s="270"/>
      <c r="M480" s="270"/>
      <c r="N480" s="270"/>
      <c r="O480" s="155"/>
      <c r="P480" s="155"/>
      <c r="Q480" s="155"/>
      <c r="R480" s="155"/>
      <c r="S480" s="155"/>
      <c r="T480" s="155"/>
      <c r="U480" s="158"/>
      <c r="V480" s="155"/>
      <c r="W480" s="155"/>
      <c r="X480" s="263"/>
      <c r="Y480" s="155"/>
      <c r="Z480" s="155"/>
      <c r="AA480" s="263"/>
      <c r="AB480" s="263"/>
      <c r="AC480" s="155"/>
      <c r="AD480" s="155"/>
      <c r="AE480" s="155"/>
      <c r="AF480" s="155"/>
      <c r="AG480" s="155"/>
      <c r="AH480" s="155"/>
      <c r="AI480" s="155"/>
      <c r="AJ480" s="155"/>
      <c r="AK480" s="155"/>
      <c r="AL480" s="155"/>
      <c r="AM480" s="155"/>
      <c r="AN480" s="155"/>
      <c r="AO480" s="155"/>
      <c r="AP480" s="49"/>
      <c r="AQ480" s="49"/>
      <c r="AR480" s="155"/>
      <c r="AS480" s="155"/>
      <c r="AT480" s="155"/>
      <c r="AU480" s="155"/>
      <c r="AV480" s="155"/>
      <c r="AW480" s="155"/>
      <c r="AX480" s="155"/>
      <c r="AY480" s="155"/>
      <c r="AZ480" s="49"/>
      <c r="BA480" s="49"/>
      <c r="BB480" s="49"/>
      <c r="BC480" s="49"/>
      <c r="BD480" s="49"/>
      <c r="BE480" s="49"/>
      <c r="BF480" s="49"/>
      <c r="BG480" s="49"/>
      <c r="BH480" s="49"/>
      <c r="BI480" s="155"/>
      <c r="BJ480" s="155"/>
      <c r="BK480" s="155"/>
      <c r="BL480" s="49"/>
      <c r="BM480" s="49"/>
      <c r="BN480" s="49"/>
      <c r="BO480" s="49"/>
      <c r="BP480" s="49"/>
      <c r="BQ480" s="49"/>
      <c r="BR480" s="49"/>
      <c r="BS480" s="49"/>
      <c r="BT480" s="49"/>
      <c r="BU480" s="49"/>
      <c r="BV480" s="49"/>
      <c r="BW480" s="49"/>
      <c r="BX480" s="49"/>
      <c r="BY480" s="49"/>
      <c r="BZ480" s="49"/>
      <c r="CA480" s="49"/>
      <c r="CB480" s="49"/>
      <c r="CC480" s="49"/>
      <c r="CD480" s="49"/>
      <c r="CE480" s="49"/>
      <c r="CF480" s="49"/>
      <c r="CG480" s="49"/>
      <c r="CH480" s="49"/>
      <c r="CI480" s="49"/>
      <c r="CJ480" s="49"/>
      <c r="CK480" s="49"/>
      <c r="CL480" s="49"/>
      <c r="CM480" s="49"/>
      <c r="CN480" s="49"/>
      <c r="CO480" s="49"/>
      <c r="CP480" s="49"/>
      <c r="CQ480" s="49"/>
      <c r="CR480" s="49"/>
      <c r="CS480" s="49"/>
      <c r="CT480" s="155"/>
      <c r="CU480" s="155"/>
      <c r="CV480" s="155"/>
      <c r="CW480" s="155"/>
      <c r="CX480" s="155"/>
      <c r="CY480" s="155"/>
      <c r="CZ480" s="155"/>
      <c r="DA480" s="155"/>
      <c r="DB480" s="155"/>
      <c r="DC480" s="155"/>
      <c r="DD480" s="155"/>
      <c r="DE480" s="155"/>
      <c r="DF480" s="155"/>
      <c r="DG480" s="155"/>
      <c r="DH480" s="155"/>
      <c r="DI480" s="155"/>
      <c r="DJ480" s="155"/>
      <c r="DK480" s="155"/>
      <c r="DL480" s="155"/>
      <c r="DM480" s="155"/>
      <c r="DN480" s="155"/>
      <c r="DO480" s="155"/>
      <c r="DP480" s="155"/>
      <c r="DQ480" s="155"/>
      <c r="DR480" s="155"/>
      <c r="DS480" s="155"/>
      <c r="DT480" s="155"/>
      <c r="DU480" s="155"/>
      <c r="DV480" s="155"/>
      <c r="DW480" s="155"/>
      <c r="DX480" s="155"/>
    </row>
    <row r="481" spans="1:128" ht="18" customHeight="1">
      <c r="A481" s="155"/>
      <c r="B481" s="155"/>
      <c r="C481" s="155"/>
      <c r="D481" s="155"/>
      <c r="E481" s="155"/>
      <c r="F481" s="155"/>
      <c r="G481" s="155"/>
      <c r="H481" s="155"/>
      <c r="I481" s="270"/>
      <c r="J481" s="270"/>
      <c r="K481" s="270"/>
      <c r="L481" s="270"/>
      <c r="M481" s="270"/>
      <c r="N481" s="270"/>
      <c r="O481" s="155"/>
      <c r="P481" s="155"/>
      <c r="Q481" s="155"/>
      <c r="R481" s="155"/>
      <c r="S481" s="155"/>
      <c r="T481" s="155"/>
      <c r="U481" s="158"/>
      <c r="V481" s="155"/>
      <c r="W481" s="155"/>
      <c r="X481" s="263"/>
      <c r="Y481" s="155"/>
      <c r="Z481" s="155"/>
      <c r="AA481" s="263"/>
      <c r="AB481" s="263"/>
      <c r="AC481" s="155"/>
      <c r="AD481" s="155"/>
      <c r="AE481" s="155"/>
      <c r="AF481" s="155"/>
      <c r="AG481" s="155"/>
      <c r="AH481" s="155"/>
      <c r="AI481" s="155"/>
      <c r="AJ481" s="155"/>
      <c r="AK481" s="155"/>
      <c r="AL481" s="155"/>
      <c r="AM481" s="155"/>
      <c r="AN481" s="155"/>
      <c r="AO481" s="155"/>
      <c r="AP481" s="49"/>
      <c r="AQ481" s="49"/>
      <c r="AR481" s="155"/>
      <c r="AS481" s="155"/>
      <c r="AT481" s="155"/>
      <c r="AU481" s="155"/>
      <c r="AV481" s="155"/>
      <c r="AW481" s="155"/>
      <c r="AX481" s="155"/>
      <c r="AY481" s="155"/>
      <c r="AZ481" s="49"/>
      <c r="BA481" s="49"/>
      <c r="BB481" s="49"/>
      <c r="BC481" s="49"/>
      <c r="BD481" s="49"/>
      <c r="BE481" s="49"/>
      <c r="BF481" s="49"/>
      <c r="BG481" s="49"/>
      <c r="BH481" s="49"/>
      <c r="BI481" s="155"/>
      <c r="BJ481" s="155"/>
      <c r="BK481" s="155"/>
      <c r="BL481" s="49"/>
      <c r="BM481" s="49"/>
      <c r="BN481" s="49"/>
      <c r="BO481" s="49"/>
      <c r="BP481" s="49"/>
      <c r="BQ481" s="49"/>
      <c r="BR481" s="49"/>
      <c r="BS481" s="49"/>
      <c r="BT481" s="49"/>
      <c r="BU481" s="49"/>
      <c r="BV481" s="49"/>
      <c r="BW481" s="49"/>
      <c r="BX481" s="49"/>
      <c r="BY481" s="49"/>
      <c r="BZ481" s="49"/>
      <c r="CA481" s="49"/>
      <c r="CB481" s="49"/>
      <c r="CC481" s="49"/>
      <c r="CD481" s="49"/>
      <c r="CE481" s="49"/>
      <c r="CF481" s="49"/>
      <c r="CG481" s="49"/>
      <c r="CH481" s="49"/>
      <c r="CI481" s="49"/>
      <c r="CJ481" s="49"/>
      <c r="CK481" s="49"/>
      <c r="CL481" s="49"/>
      <c r="CM481" s="49"/>
      <c r="CN481" s="49"/>
      <c r="CO481" s="49"/>
      <c r="CP481" s="49"/>
      <c r="CQ481" s="49"/>
      <c r="CR481" s="49"/>
      <c r="CS481" s="49"/>
      <c r="CT481" s="155"/>
      <c r="CU481" s="155"/>
      <c r="CV481" s="155"/>
      <c r="CW481" s="155"/>
      <c r="CX481" s="155"/>
      <c r="CY481" s="155"/>
      <c r="CZ481" s="155"/>
      <c r="DA481" s="155"/>
      <c r="DB481" s="155"/>
      <c r="DC481" s="155"/>
      <c r="DD481" s="155"/>
      <c r="DE481" s="155"/>
      <c r="DF481" s="155"/>
      <c r="DG481" s="155"/>
      <c r="DH481" s="155"/>
      <c r="DI481" s="155"/>
      <c r="DJ481" s="155"/>
      <c r="DK481" s="155"/>
      <c r="DL481" s="155"/>
      <c r="DM481" s="155"/>
      <c r="DN481" s="155"/>
      <c r="DO481" s="155"/>
      <c r="DP481" s="155"/>
      <c r="DQ481" s="155"/>
      <c r="DR481" s="155"/>
      <c r="DS481" s="155"/>
      <c r="DT481" s="155"/>
      <c r="DU481" s="155"/>
      <c r="DV481" s="155"/>
      <c r="DW481" s="155"/>
      <c r="DX481" s="155"/>
    </row>
    <row r="482" spans="1:128" ht="18" customHeight="1">
      <c r="A482" s="155"/>
      <c r="B482" s="155"/>
      <c r="C482" s="155"/>
      <c r="D482" s="155"/>
      <c r="E482" s="155"/>
      <c r="F482" s="155"/>
      <c r="G482" s="155"/>
      <c r="H482" s="155"/>
      <c r="I482" s="270"/>
      <c r="J482" s="270"/>
      <c r="K482" s="270"/>
      <c r="L482" s="270"/>
      <c r="M482" s="270"/>
      <c r="N482" s="270"/>
      <c r="O482" s="155"/>
      <c r="P482" s="155"/>
      <c r="Q482" s="155"/>
      <c r="R482" s="155"/>
      <c r="S482" s="155"/>
      <c r="T482" s="155"/>
      <c r="U482" s="158"/>
      <c r="V482" s="155"/>
      <c r="W482" s="155"/>
      <c r="X482" s="263"/>
      <c r="Y482" s="155"/>
      <c r="Z482" s="155"/>
      <c r="AA482" s="263"/>
      <c r="AB482" s="263"/>
      <c r="AC482" s="155"/>
      <c r="AD482" s="155"/>
      <c r="AE482" s="155"/>
      <c r="AF482" s="155"/>
      <c r="AG482" s="155"/>
      <c r="AH482" s="155"/>
      <c r="AI482" s="155"/>
      <c r="AJ482" s="155"/>
      <c r="AK482" s="155"/>
      <c r="AL482" s="155"/>
      <c r="AM482" s="155"/>
      <c r="AN482" s="155"/>
      <c r="AO482" s="155"/>
      <c r="AP482" s="49"/>
      <c r="AQ482" s="49"/>
      <c r="AR482" s="155"/>
      <c r="AS482" s="155"/>
      <c r="AT482" s="155"/>
      <c r="AU482" s="155"/>
      <c r="AV482" s="155"/>
      <c r="AW482" s="155"/>
      <c r="AX482" s="155"/>
      <c r="AY482" s="155"/>
      <c r="AZ482" s="49"/>
      <c r="BA482" s="49"/>
      <c r="BB482" s="49"/>
      <c r="BC482" s="49"/>
      <c r="BD482" s="49"/>
      <c r="BE482" s="49"/>
      <c r="BF482" s="49"/>
      <c r="BG482" s="49"/>
      <c r="BH482" s="49"/>
      <c r="BI482" s="155"/>
      <c r="BJ482" s="155"/>
      <c r="BK482" s="155"/>
      <c r="BL482" s="49"/>
      <c r="BM482" s="49"/>
      <c r="BN482" s="49"/>
      <c r="BO482" s="49"/>
      <c r="BP482" s="49"/>
      <c r="BQ482" s="49"/>
      <c r="BR482" s="49"/>
      <c r="BS482" s="49"/>
      <c r="BT482" s="49"/>
      <c r="BU482" s="49"/>
      <c r="BV482" s="49"/>
      <c r="BW482" s="49"/>
      <c r="BX482" s="49"/>
      <c r="BY482" s="49"/>
      <c r="BZ482" s="49"/>
      <c r="CA482" s="49"/>
      <c r="CB482" s="49"/>
      <c r="CC482" s="49"/>
      <c r="CD482" s="49"/>
      <c r="CE482" s="49"/>
      <c r="CF482" s="49"/>
      <c r="CG482" s="49"/>
      <c r="CH482" s="49"/>
      <c r="CI482" s="49"/>
      <c r="CJ482" s="49"/>
      <c r="CK482" s="49"/>
      <c r="CL482" s="49"/>
      <c r="CM482" s="49"/>
      <c r="CN482" s="49"/>
      <c r="CO482" s="49"/>
      <c r="CP482" s="49"/>
      <c r="CQ482" s="49"/>
      <c r="CR482" s="49"/>
      <c r="CS482" s="49"/>
      <c r="CT482" s="155"/>
      <c r="CU482" s="155"/>
      <c r="CV482" s="155"/>
      <c r="CW482" s="155"/>
      <c r="CX482" s="155"/>
      <c r="CY482" s="155"/>
      <c r="CZ482" s="155"/>
      <c r="DA482" s="155"/>
      <c r="DB482" s="155"/>
      <c r="DC482" s="155"/>
      <c r="DD482" s="155"/>
      <c r="DE482" s="155"/>
      <c r="DF482" s="155"/>
      <c r="DG482" s="155"/>
      <c r="DH482" s="155"/>
      <c r="DI482" s="155"/>
      <c r="DJ482" s="155"/>
      <c r="DK482" s="155"/>
      <c r="DL482" s="155"/>
      <c r="DM482" s="155"/>
      <c r="DN482" s="155"/>
      <c r="DO482" s="155"/>
      <c r="DP482" s="155"/>
      <c r="DQ482" s="155"/>
      <c r="DR482" s="155"/>
      <c r="DS482" s="155"/>
      <c r="DT482" s="155"/>
      <c r="DU482" s="155"/>
      <c r="DV482" s="155"/>
      <c r="DW482" s="155"/>
      <c r="DX482" s="155"/>
    </row>
    <row r="483" spans="1:128" ht="18" customHeight="1">
      <c r="A483" s="155"/>
      <c r="B483" s="155"/>
      <c r="C483" s="155"/>
      <c r="D483" s="155"/>
      <c r="E483" s="155"/>
      <c r="F483" s="155"/>
      <c r="G483" s="155"/>
      <c r="H483" s="155"/>
      <c r="I483" s="270"/>
      <c r="J483" s="270"/>
      <c r="K483" s="270"/>
      <c r="L483" s="270"/>
      <c r="M483" s="270"/>
      <c r="N483" s="270"/>
      <c r="O483" s="155"/>
      <c r="P483" s="155"/>
      <c r="Q483" s="155"/>
      <c r="R483" s="155"/>
      <c r="S483" s="155"/>
      <c r="T483" s="155"/>
      <c r="U483" s="158"/>
      <c r="V483" s="155"/>
      <c r="W483" s="155"/>
      <c r="X483" s="263"/>
      <c r="Y483" s="155"/>
      <c r="Z483" s="155"/>
      <c r="AA483" s="263"/>
      <c r="AB483" s="263"/>
      <c r="AC483" s="155"/>
      <c r="AD483" s="155"/>
      <c r="AE483" s="155"/>
      <c r="AF483" s="155"/>
      <c r="AG483" s="155"/>
      <c r="AH483" s="155"/>
      <c r="AI483" s="155"/>
      <c r="AJ483" s="155"/>
      <c r="AK483" s="155"/>
      <c r="AL483" s="155"/>
      <c r="AM483" s="155"/>
      <c r="AN483" s="155"/>
      <c r="AO483" s="155"/>
      <c r="AP483" s="49"/>
      <c r="AQ483" s="49"/>
      <c r="AR483" s="155"/>
      <c r="AS483" s="155"/>
      <c r="AT483" s="155"/>
      <c r="AU483" s="155"/>
      <c r="AV483" s="155"/>
      <c r="AW483" s="155"/>
      <c r="AX483" s="155"/>
      <c r="AY483" s="155"/>
      <c r="AZ483" s="49"/>
      <c r="BA483" s="49"/>
      <c r="BB483" s="49"/>
      <c r="BC483" s="49"/>
      <c r="BD483" s="49"/>
      <c r="BE483" s="49"/>
      <c r="BF483" s="49"/>
      <c r="BG483" s="49"/>
      <c r="BH483" s="49"/>
      <c r="BI483" s="155"/>
      <c r="BJ483" s="155"/>
      <c r="BK483" s="155"/>
      <c r="BL483" s="49"/>
      <c r="BM483" s="49"/>
      <c r="BN483" s="49"/>
      <c r="BO483" s="49"/>
      <c r="BP483" s="49"/>
      <c r="BQ483" s="49"/>
      <c r="BR483" s="49"/>
      <c r="BS483" s="49"/>
      <c r="BT483" s="49"/>
      <c r="BU483" s="49"/>
      <c r="BV483" s="49"/>
      <c r="BW483" s="49"/>
      <c r="BX483" s="49"/>
      <c r="BY483" s="49"/>
      <c r="BZ483" s="49"/>
      <c r="CA483" s="49"/>
      <c r="CB483" s="49"/>
      <c r="CC483" s="49"/>
      <c r="CD483" s="49"/>
      <c r="CE483" s="49"/>
      <c r="CF483" s="49"/>
      <c r="CG483" s="49"/>
      <c r="CH483" s="49"/>
      <c r="CI483" s="49"/>
      <c r="CJ483" s="49"/>
      <c r="CK483" s="49"/>
      <c r="CL483" s="49"/>
      <c r="CM483" s="49"/>
      <c r="CN483" s="49"/>
      <c r="CO483" s="49"/>
      <c r="CP483" s="49"/>
      <c r="CQ483" s="49"/>
      <c r="CR483" s="49"/>
      <c r="CS483" s="49"/>
      <c r="CT483" s="155"/>
      <c r="CU483" s="155"/>
      <c r="CV483" s="155"/>
      <c r="CW483" s="155"/>
      <c r="CX483" s="155"/>
      <c r="CY483" s="155"/>
      <c r="CZ483" s="155"/>
      <c r="DA483" s="155"/>
      <c r="DB483" s="155"/>
      <c r="DC483" s="155"/>
      <c r="DD483" s="155"/>
      <c r="DE483" s="155"/>
      <c r="DF483" s="155"/>
      <c r="DG483" s="155"/>
      <c r="DH483" s="155"/>
      <c r="DI483" s="155"/>
      <c r="DJ483" s="155"/>
      <c r="DK483" s="155"/>
      <c r="DL483" s="155"/>
      <c r="DM483" s="155"/>
      <c r="DN483" s="155"/>
      <c r="DO483" s="155"/>
      <c r="DP483" s="155"/>
      <c r="DQ483" s="155"/>
      <c r="DR483" s="155"/>
      <c r="DS483" s="155"/>
      <c r="DT483" s="155"/>
      <c r="DU483" s="155"/>
      <c r="DV483" s="155"/>
      <c r="DW483" s="155"/>
      <c r="DX483" s="155"/>
    </row>
    <row r="484" spans="1:128" ht="18" customHeight="1">
      <c r="A484" s="155"/>
      <c r="B484" s="155"/>
      <c r="C484" s="155"/>
      <c r="D484" s="155"/>
      <c r="E484" s="155"/>
      <c r="F484" s="155"/>
      <c r="G484" s="155"/>
      <c r="H484" s="155"/>
      <c r="I484" s="270"/>
      <c r="J484" s="270"/>
      <c r="K484" s="270"/>
      <c r="L484" s="270"/>
      <c r="M484" s="270"/>
      <c r="N484" s="270"/>
      <c r="O484" s="155"/>
      <c r="P484" s="155"/>
      <c r="Q484" s="155"/>
      <c r="R484" s="155"/>
      <c r="S484" s="155"/>
      <c r="T484" s="155"/>
      <c r="U484" s="158"/>
      <c r="V484" s="155"/>
      <c r="W484" s="155"/>
      <c r="X484" s="263"/>
      <c r="Y484" s="155"/>
      <c r="Z484" s="155"/>
      <c r="AA484" s="263"/>
      <c r="AB484" s="263"/>
      <c r="AC484" s="155"/>
      <c r="AD484" s="155"/>
      <c r="AE484" s="155"/>
      <c r="AF484" s="155"/>
      <c r="AG484" s="155"/>
      <c r="AH484" s="155"/>
      <c r="AI484" s="155"/>
      <c r="AJ484" s="155"/>
      <c r="AK484" s="155"/>
      <c r="AL484" s="155"/>
      <c r="AM484" s="155"/>
      <c r="AN484" s="155"/>
      <c r="AO484" s="155"/>
      <c r="AP484" s="49"/>
      <c r="AQ484" s="49"/>
      <c r="AR484" s="155"/>
      <c r="AS484" s="155"/>
      <c r="AT484" s="155"/>
      <c r="AU484" s="155"/>
      <c r="AV484" s="155"/>
      <c r="AW484" s="155"/>
      <c r="AX484" s="155"/>
      <c r="AY484" s="155"/>
      <c r="AZ484" s="49"/>
      <c r="BA484" s="49"/>
      <c r="BB484" s="49"/>
      <c r="BC484" s="49"/>
      <c r="BD484" s="49"/>
      <c r="BE484" s="49"/>
      <c r="BF484" s="49"/>
      <c r="BG484" s="49"/>
      <c r="BH484" s="49"/>
      <c r="BI484" s="155"/>
      <c r="BJ484" s="155"/>
      <c r="BK484" s="155"/>
      <c r="BL484" s="49"/>
      <c r="BM484" s="49"/>
      <c r="BN484" s="49"/>
      <c r="BO484" s="49"/>
      <c r="BP484" s="49"/>
      <c r="BQ484" s="49"/>
      <c r="BR484" s="49"/>
      <c r="BS484" s="49"/>
      <c r="BT484" s="49"/>
      <c r="BU484" s="49"/>
      <c r="BV484" s="49"/>
      <c r="BW484" s="49"/>
      <c r="BX484" s="49"/>
      <c r="BY484" s="49"/>
      <c r="BZ484" s="49"/>
      <c r="CA484" s="49"/>
      <c r="CB484" s="49"/>
      <c r="CC484" s="49"/>
      <c r="CD484" s="49"/>
      <c r="CE484" s="49"/>
      <c r="CF484" s="49"/>
      <c r="CG484" s="49"/>
      <c r="CH484" s="49"/>
      <c r="CI484" s="49"/>
      <c r="CJ484" s="49"/>
      <c r="CK484" s="49"/>
      <c r="CL484" s="49"/>
      <c r="CM484" s="49"/>
      <c r="CN484" s="49"/>
      <c r="CO484" s="49"/>
      <c r="CP484" s="49"/>
      <c r="CQ484" s="49"/>
      <c r="CR484" s="49"/>
      <c r="CS484" s="49"/>
      <c r="CT484" s="155"/>
      <c r="CU484" s="155"/>
      <c r="CV484" s="155"/>
      <c r="CW484" s="155"/>
      <c r="CX484" s="155"/>
      <c r="CY484" s="155"/>
      <c r="CZ484" s="155"/>
      <c r="DA484" s="155"/>
      <c r="DB484" s="155"/>
      <c r="DC484" s="155"/>
      <c r="DD484" s="155"/>
      <c r="DE484" s="155"/>
      <c r="DF484" s="155"/>
      <c r="DG484" s="155"/>
      <c r="DH484" s="155"/>
      <c r="DI484" s="155"/>
      <c r="DJ484" s="155"/>
      <c r="DK484" s="155"/>
      <c r="DL484" s="155"/>
      <c r="DM484" s="155"/>
      <c r="DN484" s="155"/>
      <c r="DO484" s="155"/>
      <c r="DP484" s="155"/>
      <c r="DQ484" s="155"/>
      <c r="DR484" s="155"/>
      <c r="DS484" s="155"/>
      <c r="DT484" s="155"/>
      <c r="DU484" s="155"/>
      <c r="DV484" s="155"/>
      <c r="DW484" s="155"/>
      <c r="DX484" s="155"/>
    </row>
    <row r="485" spans="1:128" ht="18" customHeight="1">
      <c r="A485" s="155"/>
      <c r="B485" s="155"/>
      <c r="C485" s="155"/>
      <c r="D485" s="155"/>
      <c r="E485" s="155"/>
      <c r="F485" s="155"/>
      <c r="G485" s="155"/>
      <c r="H485" s="155"/>
      <c r="I485" s="270"/>
      <c r="J485" s="270"/>
      <c r="K485" s="270"/>
      <c r="L485" s="270"/>
      <c r="M485" s="270"/>
      <c r="N485" s="270"/>
      <c r="O485" s="155"/>
      <c r="P485" s="155"/>
      <c r="Q485" s="155"/>
      <c r="R485" s="155"/>
      <c r="S485" s="155"/>
      <c r="T485" s="155"/>
      <c r="U485" s="158"/>
      <c r="V485" s="155"/>
      <c r="W485" s="155"/>
      <c r="X485" s="263"/>
      <c r="Y485" s="155"/>
      <c r="Z485" s="155"/>
      <c r="AA485" s="263"/>
      <c r="AB485" s="263"/>
      <c r="AC485" s="155"/>
      <c r="AD485" s="155"/>
      <c r="AE485" s="155"/>
      <c r="AF485" s="155"/>
      <c r="AG485" s="155"/>
      <c r="AH485" s="155"/>
      <c r="AI485" s="155"/>
      <c r="AJ485" s="155"/>
      <c r="AK485" s="155"/>
      <c r="AL485" s="155"/>
      <c r="AM485" s="155"/>
      <c r="AN485" s="155"/>
      <c r="AO485" s="155"/>
      <c r="AP485" s="49"/>
      <c r="AQ485" s="49"/>
      <c r="AR485" s="155"/>
      <c r="AS485" s="155"/>
      <c r="AT485" s="155"/>
      <c r="AU485" s="155"/>
      <c r="AV485" s="155"/>
      <c r="AW485" s="155"/>
      <c r="AX485" s="155"/>
      <c r="AY485" s="155"/>
      <c r="AZ485" s="49"/>
      <c r="BA485" s="49"/>
      <c r="BB485" s="49"/>
      <c r="BC485" s="49"/>
      <c r="BD485" s="49"/>
      <c r="BE485" s="49"/>
      <c r="BF485" s="49"/>
      <c r="BG485" s="49"/>
      <c r="BH485" s="49"/>
      <c r="BI485" s="155"/>
      <c r="BJ485" s="155"/>
      <c r="BK485" s="155"/>
      <c r="BL485" s="49"/>
      <c r="BM485" s="49"/>
      <c r="BN485" s="49"/>
      <c r="BO485" s="49"/>
      <c r="BP485" s="49"/>
      <c r="BQ485" s="49"/>
      <c r="BR485" s="49"/>
      <c r="BS485" s="49"/>
      <c r="BT485" s="49"/>
      <c r="BU485" s="49"/>
      <c r="BV485" s="49"/>
      <c r="BW485" s="49"/>
      <c r="BX485" s="49"/>
      <c r="BY485" s="49"/>
      <c r="BZ485" s="49"/>
      <c r="CA485" s="49"/>
      <c r="CB485" s="49"/>
      <c r="CC485" s="49"/>
      <c r="CD485" s="49"/>
      <c r="CE485" s="49"/>
      <c r="CF485" s="49"/>
      <c r="CG485" s="49"/>
      <c r="CH485" s="49"/>
      <c r="CI485" s="49"/>
      <c r="CJ485" s="49"/>
      <c r="CK485" s="49"/>
      <c r="CL485" s="49"/>
      <c r="CM485" s="49"/>
      <c r="CN485" s="49"/>
      <c r="CO485" s="49"/>
      <c r="CP485" s="49"/>
      <c r="CQ485" s="49"/>
      <c r="CR485" s="49"/>
      <c r="CS485" s="49"/>
      <c r="CT485" s="155"/>
      <c r="CU485" s="155"/>
      <c r="CV485" s="155"/>
      <c r="CW485" s="155"/>
      <c r="CX485" s="155"/>
      <c r="CY485" s="155"/>
      <c r="CZ485" s="155"/>
      <c r="DA485" s="155"/>
      <c r="DB485" s="155"/>
      <c r="DC485" s="155"/>
      <c r="DD485" s="155"/>
      <c r="DE485" s="155"/>
      <c r="DF485" s="155"/>
      <c r="DG485" s="155"/>
      <c r="DH485" s="155"/>
      <c r="DI485" s="155"/>
      <c r="DJ485" s="155"/>
      <c r="DK485" s="155"/>
      <c r="DL485" s="155"/>
      <c r="DM485" s="155"/>
      <c r="DN485" s="155"/>
      <c r="DO485" s="155"/>
      <c r="DP485" s="155"/>
      <c r="DQ485" s="155"/>
      <c r="DR485" s="155"/>
      <c r="DS485" s="155"/>
      <c r="DT485" s="155"/>
      <c r="DU485" s="155"/>
      <c r="DV485" s="155"/>
      <c r="DW485" s="155"/>
      <c r="DX485" s="155"/>
    </row>
    <row r="486" spans="1:128" ht="18" customHeight="1">
      <c r="A486" s="155"/>
      <c r="B486" s="155"/>
      <c r="C486" s="155"/>
      <c r="D486" s="155"/>
      <c r="E486" s="155"/>
      <c r="F486" s="155"/>
      <c r="G486" s="155"/>
      <c r="H486" s="155"/>
      <c r="I486" s="270"/>
      <c r="J486" s="270"/>
      <c r="K486" s="270"/>
      <c r="L486" s="270"/>
      <c r="M486" s="270"/>
      <c r="N486" s="270"/>
      <c r="O486" s="155"/>
      <c r="P486" s="155"/>
      <c r="Q486" s="155"/>
      <c r="R486" s="155"/>
      <c r="S486" s="155"/>
      <c r="T486" s="155"/>
      <c r="U486" s="158"/>
      <c r="V486" s="155"/>
      <c r="W486" s="155"/>
      <c r="X486" s="263"/>
      <c r="Y486" s="155"/>
      <c r="Z486" s="155"/>
      <c r="AA486" s="263"/>
      <c r="AB486" s="263"/>
      <c r="AC486" s="155"/>
      <c r="AD486" s="155"/>
      <c r="AE486" s="155"/>
      <c r="AF486" s="155"/>
      <c r="AG486" s="155"/>
      <c r="AH486" s="155"/>
      <c r="AI486" s="155"/>
      <c r="AJ486" s="155"/>
      <c r="AK486" s="155"/>
      <c r="AL486" s="155"/>
      <c r="AM486" s="155"/>
      <c r="AN486" s="155"/>
      <c r="AO486" s="155"/>
      <c r="AP486" s="49"/>
      <c r="AQ486" s="49"/>
      <c r="AR486" s="155"/>
      <c r="AS486" s="155"/>
      <c r="AT486" s="155"/>
      <c r="AU486" s="155"/>
      <c r="AV486" s="155"/>
      <c r="AW486" s="155"/>
      <c r="AX486" s="155"/>
      <c r="AY486" s="155"/>
      <c r="AZ486" s="49"/>
      <c r="BA486" s="49"/>
      <c r="BB486" s="49"/>
      <c r="BC486" s="49"/>
      <c r="BD486" s="49"/>
      <c r="BE486" s="49"/>
      <c r="BF486" s="49"/>
      <c r="BG486" s="49"/>
      <c r="BH486" s="49"/>
      <c r="BI486" s="155"/>
      <c r="BJ486" s="155"/>
      <c r="BK486" s="155"/>
      <c r="BL486" s="49"/>
      <c r="BM486" s="49"/>
      <c r="BN486" s="49"/>
      <c r="BO486" s="49"/>
      <c r="BP486" s="49"/>
      <c r="BQ486" s="49"/>
      <c r="BR486" s="49"/>
      <c r="BS486" s="49"/>
      <c r="BT486" s="49"/>
      <c r="BU486" s="49"/>
      <c r="BV486" s="49"/>
      <c r="BW486" s="49"/>
      <c r="BX486" s="49"/>
      <c r="BY486" s="49"/>
      <c r="BZ486" s="49"/>
      <c r="CA486" s="49"/>
      <c r="CB486" s="49"/>
      <c r="CC486" s="49"/>
      <c r="CD486" s="49"/>
      <c r="CE486" s="49"/>
      <c r="CF486" s="49"/>
      <c r="CG486" s="49"/>
      <c r="CH486" s="49"/>
      <c r="CI486" s="49"/>
      <c r="CJ486" s="49"/>
      <c r="CK486" s="49"/>
      <c r="CL486" s="49"/>
      <c r="CM486" s="49"/>
      <c r="CN486" s="49"/>
      <c r="CO486" s="49"/>
      <c r="CP486" s="49"/>
      <c r="CQ486" s="49"/>
      <c r="CR486" s="49"/>
      <c r="CS486" s="49"/>
      <c r="CT486" s="155"/>
      <c r="CU486" s="155"/>
      <c r="CV486" s="155"/>
      <c r="CW486" s="155"/>
      <c r="CX486" s="155"/>
      <c r="CY486" s="155"/>
      <c r="CZ486" s="155"/>
      <c r="DA486" s="155"/>
      <c r="DB486" s="155"/>
      <c r="DC486" s="155"/>
      <c r="DD486" s="155"/>
      <c r="DE486" s="155"/>
      <c r="DF486" s="155"/>
      <c r="DG486" s="155"/>
      <c r="DH486" s="155"/>
      <c r="DI486" s="155"/>
      <c r="DJ486" s="155"/>
      <c r="DK486" s="155"/>
      <c r="DL486" s="155"/>
      <c r="DM486" s="155"/>
      <c r="DN486" s="155"/>
      <c r="DO486" s="155"/>
      <c r="DP486" s="155"/>
      <c r="DQ486" s="155"/>
      <c r="DR486" s="155"/>
      <c r="DS486" s="155"/>
      <c r="DT486" s="155"/>
      <c r="DU486" s="155"/>
      <c r="DV486" s="155"/>
      <c r="DW486" s="155"/>
      <c r="DX486" s="155"/>
    </row>
    <row r="487" spans="1:128" ht="18" customHeight="1">
      <c r="A487" s="155"/>
      <c r="B487" s="155"/>
      <c r="C487" s="155"/>
      <c r="D487" s="155"/>
      <c r="E487" s="155"/>
      <c r="F487" s="155"/>
      <c r="G487" s="155"/>
      <c r="H487" s="155"/>
      <c r="I487" s="270"/>
      <c r="J487" s="270"/>
      <c r="K487" s="270"/>
      <c r="L487" s="270"/>
      <c r="M487" s="270"/>
      <c r="N487" s="270"/>
      <c r="O487" s="155"/>
      <c r="P487" s="155"/>
      <c r="Q487" s="155"/>
      <c r="R487" s="155"/>
      <c r="S487" s="155"/>
      <c r="T487" s="155"/>
      <c r="U487" s="158"/>
      <c r="V487" s="155"/>
      <c r="W487" s="155"/>
      <c r="X487" s="263"/>
      <c r="Y487" s="155"/>
      <c r="Z487" s="155"/>
      <c r="AA487" s="263"/>
      <c r="AB487" s="263"/>
      <c r="AC487" s="155"/>
      <c r="AD487" s="155"/>
      <c r="AE487" s="155"/>
      <c r="AF487" s="155"/>
      <c r="AG487" s="155"/>
      <c r="AH487" s="155"/>
      <c r="AI487" s="155"/>
      <c r="AJ487" s="155"/>
      <c r="AK487" s="155"/>
      <c r="AL487" s="155"/>
      <c r="AM487" s="155"/>
      <c r="AN487" s="155"/>
      <c r="AO487" s="155"/>
      <c r="AP487" s="49"/>
      <c r="AQ487" s="49"/>
      <c r="AR487" s="155"/>
      <c r="AS487" s="155"/>
      <c r="AT487" s="155"/>
      <c r="AU487" s="155"/>
      <c r="AV487" s="155"/>
      <c r="AW487" s="155"/>
      <c r="AX487" s="155"/>
      <c r="AY487" s="155"/>
      <c r="AZ487" s="49"/>
      <c r="BA487" s="49"/>
      <c r="BB487" s="49"/>
      <c r="BC487" s="49"/>
      <c r="BD487" s="49"/>
      <c r="BE487" s="49"/>
      <c r="BF487" s="49"/>
      <c r="BG487" s="49"/>
      <c r="BH487" s="49"/>
      <c r="BI487" s="155"/>
      <c r="BJ487" s="155"/>
      <c r="BK487" s="155"/>
      <c r="BL487" s="49"/>
      <c r="BM487" s="49"/>
      <c r="BN487" s="49"/>
      <c r="BO487" s="49"/>
      <c r="BP487" s="49"/>
      <c r="BQ487" s="49"/>
      <c r="BR487" s="49"/>
      <c r="BS487" s="49"/>
      <c r="BT487" s="49"/>
      <c r="BU487" s="49"/>
      <c r="BV487" s="49"/>
      <c r="BW487" s="49"/>
      <c r="BX487" s="49"/>
      <c r="BY487" s="49"/>
      <c r="BZ487" s="49"/>
      <c r="CA487" s="49"/>
      <c r="CB487" s="49"/>
      <c r="CC487" s="49"/>
      <c r="CD487" s="49"/>
      <c r="CE487" s="49"/>
      <c r="CF487" s="49"/>
      <c r="CG487" s="49"/>
      <c r="CH487" s="49"/>
      <c r="CI487" s="49"/>
      <c r="CJ487" s="49"/>
      <c r="CK487" s="49"/>
      <c r="CL487" s="49"/>
      <c r="CM487" s="49"/>
      <c r="CN487" s="49"/>
      <c r="CO487" s="49"/>
      <c r="CP487" s="49"/>
      <c r="CQ487" s="49"/>
      <c r="CR487" s="49"/>
      <c r="CS487" s="49"/>
      <c r="CT487" s="155"/>
      <c r="CU487" s="155"/>
      <c r="CV487" s="155"/>
      <c r="CW487" s="155"/>
      <c r="CX487" s="155"/>
      <c r="CY487" s="155"/>
      <c r="CZ487" s="155"/>
      <c r="DA487" s="155"/>
      <c r="DB487" s="155"/>
      <c r="DC487" s="155"/>
      <c r="DD487" s="155"/>
      <c r="DE487" s="155"/>
      <c r="DF487" s="155"/>
      <c r="DG487" s="155"/>
      <c r="DH487" s="155"/>
      <c r="DI487" s="155"/>
      <c r="DJ487" s="155"/>
      <c r="DK487" s="155"/>
      <c r="DL487" s="155"/>
      <c r="DM487" s="155"/>
      <c r="DN487" s="155"/>
      <c r="DO487" s="155"/>
      <c r="DP487" s="155"/>
      <c r="DQ487" s="155"/>
      <c r="DR487" s="155"/>
      <c r="DS487" s="155"/>
      <c r="DT487" s="155"/>
      <c r="DU487" s="155"/>
      <c r="DV487" s="155"/>
      <c r="DW487" s="155"/>
      <c r="DX487" s="155"/>
    </row>
    <row r="488" spans="1:128" ht="18" customHeight="1">
      <c r="A488" s="155"/>
      <c r="B488" s="155"/>
      <c r="C488" s="155"/>
      <c r="D488" s="155"/>
      <c r="E488" s="155"/>
      <c r="F488" s="155"/>
      <c r="G488" s="155"/>
      <c r="H488" s="155"/>
      <c r="I488" s="270"/>
      <c r="J488" s="270"/>
      <c r="K488" s="270"/>
      <c r="L488" s="270"/>
      <c r="M488" s="270"/>
      <c r="N488" s="270"/>
      <c r="O488" s="155"/>
      <c r="P488" s="155"/>
      <c r="Q488" s="155"/>
      <c r="R488" s="155"/>
      <c r="S488" s="155"/>
      <c r="T488" s="155"/>
      <c r="U488" s="158"/>
      <c r="V488" s="155"/>
      <c r="W488" s="155"/>
      <c r="X488" s="263"/>
      <c r="Y488" s="155"/>
      <c r="Z488" s="155"/>
      <c r="AA488" s="263"/>
      <c r="AB488" s="263"/>
      <c r="AC488" s="155"/>
      <c r="AD488" s="155"/>
      <c r="AE488" s="155"/>
      <c r="AF488" s="155"/>
      <c r="AG488" s="155"/>
      <c r="AH488" s="155"/>
      <c r="AI488" s="155"/>
      <c r="AJ488" s="155"/>
      <c r="AK488" s="155"/>
      <c r="AL488" s="155"/>
      <c r="AM488" s="155"/>
      <c r="AN488" s="155"/>
      <c r="AO488" s="155"/>
      <c r="AP488" s="49"/>
      <c r="AQ488" s="49"/>
      <c r="AR488" s="155"/>
      <c r="AS488" s="155"/>
      <c r="AT488" s="155"/>
      <c r="AU488" s="155"/>
      <c r="AV488" s="155"/>
      <c r="AW488" s="155"/>
      <c r="AX488" s="155"/>
      <c r="AY488" s="155"/>
      <c r="AZ488" s="49"/>
      <c r="BA488" s="49"/>
      <c r="BB488" s="49"/>
      <c r="BC488" s="49"/>
      <c r="BD488" s="49"/>
      <c r="BE488" s="49"/>
      <c r="BF488" s="49"/>
      <c r="BG488" s="49"/>
      <c r="BH488" s="49"/>
      <c r="BI488" s="155"/>
      <c r="BJ488" s="155"/>
      <c r="BK488" s="155"/>
      <c r="BL488" s="49"/>
      <c r="BM488" s="49"/>
      <c r="BN488" s="49"/>
      <c r="BO488" s="49"/>
      <c r="BP488" s="49"/>
      <c r="BQ488" s="49"/>
      <c r="BR488" s="49"/>
      <c r="BS488" s="49"/>
      <c r="BT488" s="49"/>
      <c r="BU488" s="49"/>
      <c r="BV488" s="49"/>
      <c r="BW488" s="49"/>
      <c r="BX488" s="49"/>
      <c r="BY488" s="49"/>
      <c r="BZ488" s="49"/>
      <c r="CA488" s="49"/>
      <c r="CB488" s="49"/>
      <c r="CC488" s="49"/>
      <c r="CD488" s="49"/>
      <c r="CE488" s="49"/>
      <c r="CF488" s="49"/>
      <c r="CG488" s="49"/>
      <c r="CH488" s="49"/>
      <c r="CI488" s="49"/>
      <c r="CJ488" s="49"/>
      <c r="CK488" s="49"/>
      <c r="CL488" s="49"/>
      <c r="CM488" s="49"/>
      <c r="CN488" s="49"/>
      <c r="CO488" s="49"/>
      <c r="CP488" s="49"/>
      <c r="CQ488" s="49"/>
      <c r="CR488" s="49"/>
      <c r="CS488" s="49"/>
      <c r="CT488" s="155"/>
      <c r="CU488" s="155"/>
      <c r="CV488" s="155"/>
      <c r="CW488" s="155"/>
      <c r="CX488" s="155"/>
      <c r="CY488" s="155"/>
      <c r="CZ488" s="155"/>
      <c r="DA488" s="155"/>
      <c r="DB488" s="155"/>
      <c r="DC488" s="155"/>
      <c r="DD488" s="155"/>
      <c r="DE488" s="155"/>
      <c r="DF488" s="155"/>
      <c r="DG488" s="155"/>
      <c r="DH488" s="155"/>
      <c r="DI488" s="155"/>
      <c r="DJ488" s="155"/>
      <c r="DK488" s="155"/>
      <c r="DL488" s="155"/>
      <c r="DM488" s="155"/>
      <c r="DN488" s="155"/>
      <c r="DO488" s="155"/>
      <c r="DP488" s="155"/>
      <c r="DQ488" s="155"/>
      <c r="DR488" s="155"/>
      <c r="DS488" s="155"/>
      <c r="DT488" s="155"/>
      <c r="DU488" s="155"/>
      <c r="DV488" s="155"/>
      <c r="DW488" s="155"/>
      <c r="DX488" s="155"/>
    </row>
    <row r="489" spans="1:128" ht="18" customHeight="1">
      <c r="A489" s="155"/>
      <c r="B489" s="155"/>
      <c r="C489" s="155"/>
      <c r="D489" s="155"/>
      <c r="E489" s="155"/>
      <c r="F489" s="155"/>
      <c r="G489" s="155"/>
      <c r="H489" s="155"/>
      <c r="I489" s="270"/>
      <c r="J489" s="270"/>
      <c r="K489" s="270"/>
      <c r="L489" s="270"/>
      <c r="M489" s="270"/>
      <c r="N489" s="270"/>
      <c r="O489" s="155"/>
      <c r="P489" s="155"/>
      <c r="Q489" s="155"/>
      <c r="R489" s="155"/>
      <c r="S489" s="155"/>
      <c r="T489" s="155"/>
      <c r="U489" s="158"/>
      <c r="V489" s="155"/>
      <c r="W489" s="155"/>
      <c r="X489" s="263"/>
      <c r="Y489" s="155"/>
      <c r="Z489" s="155"/>
      <c r="AA489" s="263"/>
      <c r="AB489" s="263"/>
      <c r="AC489" s="155"/>
      <c r="AD489" s="155"/>
      <c r="AE489" s="155"/>
      <c r="AF489" s="155"/>
      <c r="AG489" s="155"/>
      <c r="AH489" s="155"/>
      <c r="AI489" s="155"/>
      <c r="AJ489" s="155"/>
      <c r="AK489" s="155"/>
      <c r="AL489" s="155"/>
      <c r="AM489" s="155"/>
      <c r="AN489" s="155"/>
      <c r="AO489" s="155"/>
      <c r="AP489" s="49"/>
      <c r="AQ489" s="49"/>
      <c r="AR489" s="155"/>
      <c r="AS489" s="155"/>
      <c r="AT489" s="155"/>
      <c r="AU489" s="155"/>
      <c r="AV489" s="155"/>
      <c r="AW489" s="155"/>
      <c r="AX489" s="155"/>
      <c r="AY489" s="155"/>
      <c r="AZ489" s="49"/>
      <c r="BA489" s="49"/>
      <c r="BB489" s="49"/>
      <c r="BC489" s="49"/>
      <c r="BD489" s="49"/>
      <c r="BE489" s="49"/>
      <c r="BF489" s="49"/>
      <c r="BG489" s="49"/>
      <c r="BH489" s="49"/>
      <c r="BI489" s="155"/>
      <c r="BJ489" s="155"/>
      <c r="BK489" s="155"/>
      <c r="BL489" s="49"/>
      <c r="BM489" s="49"/>
      <c r="BN489" s="49"/>
      <c r="BO489" s="49"/>
      <c r="BP489" s="49"/>
      <c r="BQ489" s="49"/>
      <c r="BR489" s="49"/>
      <c r="BS489" s="49"/>
      <c r="BT489" s="49"/>
      <c r="BU489" s="49"/>
      <c r="BV489" s="49"/>
      <c r="BW489" s="49"/>
      <c r="BX489" s="49"/>
      <c r="BY489" s="49"/>
      <c r="BZ489" s="49"/>
      <c r="CA489" s="49"/>
      <c r="CB489" s="49"/>
      <c r="CC489" s="49"/>
      <c r="CD489" s="49"/>
      <c r="CE489" s="49"/>
      <c r="CF489" s="49"/>
      <c r="CG489" s="49"/>
      <c r="CH489" s="49"/>
      <c r="CI489" s="49"/>
      <c r="CJ489" s="49"/>
      <c r="CK489" s="49"/>
      <c r="CL489" s="49"/>
      <c r="CM489" s="49"/>
      <c r="CN489" s="49"/>
      <c r="CO489" s="49"/>
      <c r="CP489" s="49"/>
      <c r="CQ489" s="49"/>
      <c r="CR489" s="49"/>
      <c r="CS489" s="49"/>
      <c r="CT489" s="155"/>
      <c r="CU489" s="155"/>
      <c r="CV489" s="155"/>
      <c r="CW489" s="155"/>
      <c r="CX489" s="155"/>
      <c r="CY489" s="155"/>
      <c r="CZ489" s="155"/>
      <c r="DA489" s="155"/>
      <c r="DB489" s="155"/>
      <c r="DC489" s="155"/>
      <c r="DD489" s="155"/>
      <c r="DE489" s="155"/>
      <c r="DF489" s="155"/>
      <c r="DG489" s="155"/>
      <c r="DH489" s="155"/>
      <c r="DI489" s="155"/>
      <c r="DJ489" s="155"/>
      <c r="DK489" s="155"/>
      <c r="DL489" s="155"/>
      <c r="DM489" s="155"/>
      <c r="DN489" s="155"/>
      <c r="DO489" s="155"/>
      <c r="DP489" s="155"/>
      <c r="DQ489" s="155"/>
      <c r="DR489" s="155"/>
      <c r="DS489" s="155"/>
      <c r="DT489" s="155"/>
      <c r="DU489" s="155"/>
      <c r="DV489" s="155"/>
      <c r="DW489" s="155"/>
      <c r="DX489" s="155"/>
    </row>
    <row r="490" spans="1:128" ht="18" customHeight="1">
      <c r="A490" s="155"/>
      <c r="B490" s="155"/>
      <c r="C490" s="155"/>
      <c r="D490" s="155"/>
      <c r="E490" s="155"/>
      <c r="F490" s="155"/>
      <c r="G490" s="155"/>
      <c r="H490" s="155"/>
      <c r="I490" s="270"/>
      <c r="J490" s="270"/>
      <c r="K490" s="270"/>
      <c r="L490" s="270"/>
      <c r="M490" s="270"/>
      <c r="N490" s="270"/>
      <c r="O490" s="155"/>
      <c r="P490" s="155"/>
      <c r="Q490" s="155"/>
      <c r="R490" s="155"/>
      <c r="S490" s="155"/>
      <c r="T490" s="155"/>
      <c r="U490" s="158"/>
      <c r="V490" s="155"/>
      <c r="W490" s="155"/>
      <c r="X490" s="263"/>
      <c r="Y490" s="155"/>
      <c r="Z490" s="155"/>
      <c r="AA490" s="263"/>
      <c r="AB490" s="263"/>
      <c r="AC490" s="155"/>
      <c r="AD490" s="155"/>
      <c r="AE490" s="155"/>
      <c r="AF490" s="155"/>
      <c r="AG490" s="155"/>
      <c r="AH490" s="155"/>
      <c r="AI490" s="155"/>
      <c r="AJ490" s="155"/>
      <c r="AK490" s="155"/>
      <c r="AL490" s="155"/>
      <c r="AM490" s="155"/>
      <c r="AN490" s="155"/>
      <c r="AO490" s="155"/>
      <c r="AP490" s="49"/>
      <c r="AQ490" s="49"/>
      <c r="AR490" s="155"/>
      <c r="AS490" s="155"/>
      <c r="AT490" s="155"/>
      <c r="AU490" s="155"/>
      <c r="AV490" s="155"/>
      <c r="AW490" s="155"/>
      <c r="AX490" s="155"/>
      <c r="AY490" s="155"/>
      <c r="AZ490" s="49"/>
      <c r="BA490" s="49"/>
      <c r="BB490" s="49"/>
      <c r="BC490" s="49"/>
      <c r="BD490" s="49"/>
      <c r="BE490" s="49"/>
      <c r="BF490" s="49"/>
      <c r="BG490" s="49"/>
      <c r="BH490" s="49"/>
      <c r="BI490" s="155"/>
      <c r="BJ490" s="155"/>
      <c r="BK490" s="155"/>
      <c r="BL490" s="49"/>
      <c r="BM490" s="49"/>
      <c r="BN490" s="49"/>
      <c r="BO490" s="49"/>
      <c r="BP490" s="49"/>
      <c r="BQ490" s="49"/>
      <c r="BR490" s="49"/>
      <c r="BS490" s="49"/>
      <c r="BT490" s="49"/>
      <c r="BU490" s="49"/>
      <c r="BV490" s="49"/>
      <c r="BW490" s="49"/>
      <c r="BX490" s="49"/>
      <c r="BY490" s="49"/>
      <c r="BZ490" s="49"/>
      <c r="CA490" s="49"/>
      <c r="CB490" s="49"/>
      <c r="CC490" s="49"/>
      <c r="CD490" s="49"/>
      <c r="CE490" s="49"/>
      <c r="CF490" s="49"/>
      <c r="CG490" s="49"/>
      <c r="CH490" s="49"/>
      <c r="CI490" s="49"/>
      <c r="CJ490" s="49"/>
      <c r="CK490" s="49"/>
      <c r="CL490" s="49"/>
      <c r="CM490" s="49"/>
      <c r="CN490" s="49"/>
      <c r="CO490" s="49"/>
      <c r="CP490" s="49"/>
      <c r="CQ490" s="49"/>
      <c r="CR490" s="49"/>
      <c r="CS490" s="49"/>
      <c r="CT490" s="155"/>
      <c r="CU490" s="155"/>
      <c r="CV490" s="155"/>
      <c r="CW490" s="155"/>
      <c r="CX490" s="155"/>
      <c r="CY490" s="155"/>
      <c r="CZ490" s="155"/>
      <c r="DA490" s="155"/>
      <c r="DB490" s="155"/>
      <c r="DC490" s="155"/>
      <c r="DD490" s="155"/>
      <c r="DE490" s="155"/>
      <c r="DF490" s="155"/>
      <c r="DG490" s="155"/>
      <c r="DH490" s="155"/>
      <c r="DI490" s="155"/>
      <c r="DJ490" s="155"/>
      <c r="DK490" s="155"/>
      <c r="DL490" s="155"/>
      <c r="DM490" s="155"/>
      <c r="DN490" s="155"/>
      <c r="DO490" s="155"/>
      <c r="DP490" s="155"/>
      <c r="DQ490" s="155"/>
      <c r="DR490" s="155"/>
      <c r="DS490" s="155"/>
      <c r="DT490" s="155"/>
      <c r="DU490" s="155"/>
      <c r="DV490" s="155"/>
      <c r="DW490" s="155"/>
      <c r="DX490" s="155"/>
    </row>
    <row r="491" spans="1:128" ht="18" customHeight="1">
      <c r="A491" s="155"/>
      <c r="B491" s="155"/>
      <c r="C491" s="155"/>
      <c r="D491" s="155"/>
      <c r="E491" s="155"/>
      <c r="F491" s="155"/>
      <c r="G491" s="155"/>
      <c r="H491" s="155"/>
      <c r="I491" s="270"/>
      <c r="J491" s="270"/>
      <c r="K491" s="270"/>
      <c r="L491" s="270"/>
      <c r="M491" s="270"/>
      <c r="N491" s="270"/>
      <c r="O491" s="155"/>
      <c r="P491" s="155"/>
      <c r="Q491" s="155"/>
      <c r="R491" s="155"/>
      <c r="S491" s="155"/>
      <c r="T491" s="155"/>
      <c r="U491" s="158"/>
      <c r="V491" s="155"/>
      <c r="W491" s="155"/>
      <c r="X491" s="263"/>
      <c r="Y491" s="155"/>
      <c r="Z491" s="155"/>
      <c r="AA491" s="263"/>
      <c r="AB491" s="263"/>
      <c r="AC491" s="155"/>
      <c r="AD491" s="155"/>
      <c r="AE491" s="155"/>
      <c r="AF491" s="155"/>
      <c r="AG491" s="155"/>
      <c r="AH491" s="155"/>
      <c r="AI491" s="155"/>
      <c r="AJ491" s="155"/>
      <c r="AK491" s="155"/>
      <c r="AL491" s="155"/>
      <c r="AM491" s="155"/>
      <c r="AN491" s="155"/>
      <c r="AO491" s="155"/>
      <c r="AP491" s="49"/>
      <c r="AQ491" s="49"/>
      <c r="AR491" s="155"/>
      <c r="AS491" s="155"/>
      <c r="AT491" s="155"/>
      <c r="AU491" s="155"/>
      <c r="AV491" s="155"/>
      <c r="AW491" s="155"/>
      <c r="AX491" s="155"/>
      <c r="AY491" s="155"/>
      <c r="AZ491" s="49"/>
      <c r="BA491" s="49"/>
      <c r="BB491" s="49"/>
      <c r="BC491" s="49"/>
      <c r="BD491" s="49"/>
      <c r="BE491" s="49"/>
      <c r="BF491" s="49"/>
      <c r="BG491" s="49"/>
      <c r="BH491" s="49"/>
      <c r="BI491" s="155"/>
      <c r="BJ491" s="155"/>
      <c r="BK491" s="155"/>
      <c r="BL491" s="49"/>
      <c r="BM491" s="49"/>
      <c r="BN491" s="49"/>
      <c r="BO491" s="49"/>
      <c r="BP491" s="49"/>
      <c r="BQ491" s="49"/>
      <c r="BR491" s="49"/>
      <c r="BS491" s="49"/>
      <c r="BT491" s="49"/>
      <c r="BU491" s="49"/>
      <c r="BV491" s="49"/>
      <c r="BW491" s="49"/>
      <c r="BX491" s="49"/>
      <c r="BY491" s="49"/>
      <c r="BZ491" s="49"/>
      <c r="CA491" s="49"/>
      <c r="CB491" s="49"/>
      <c r="CC491" s="49"/>
      <c r="CD491" s="49"/>
      <c r="CE491" s="49"/>
      <c r="CF491" s="49"/>
      <c r="CG491" s="49"/>
      <c r="CH491" s="49"/>
      <c r="CI491" s="49"/>
      <c r="CJ491" s="49"/>
      <c r="CK491" s="49"/>
      <c r="CL491" s="49"/>
      <c r="CM491" s="49"/>
      <c r="CN491" s="49"/>
      <c r="CO491" s="49"/>
      <c r="CP491" s="49"/>
      <c r="CQ491" s="49"/>
      <c r="CR491" s="49"/>
      <c r="CS491" s="49"/>
      <c r="CT491" s="155"/>
      <c r="CU491" s="155"/>
      <c r="CV491" s="155"/>
      <c r="CW491" s="155"/>
      <c r="CX491" s="155"/>
      <c r="CY491" s="155"/>
      <c r="CZ491" s="155"/>
      <c r="DA491" s="155"/>
      <c r="DB491" s="155"/>
      <c r="DC491" s="155"/>
      <c r="DD491" s="155"/>
      <c r="DE491" s="155"/>
      <c r="DF491" s="155"/>
      <c r="DG491" s="155"/>
      <c r="DH491" s="155"/>
      <c r="DI491" s="155"/>
      <c r="DJ491" s="155"/>
      <c r="DK491" s="155"/>
      <c r="DL491" s="155"/>
      <c r="DM491" s="155"/>
      <c r="DN491" s="155"/>
      <c r="DO491" s="155"/>
      <c r="DP491" s="155"/>
      <c r="DQ491" s="155"/>
      <c r="DR491" s="155"/>
      <c r="DS491" s="155"/>
      <c r="DT491" s="155"/>
      <c r="DU491" s="155"/>
      <c r="DV491" s="155"/>
      <c r="DW491" s="155"/>
      <c r="DX491" s="155"/>
    </row>
    <row r="492" spans="1:128" ht="18" customHeight="1">
      <c r="A492" s="155"/>
      <c r="B492" s="155"/>
      <c r="C492" s="155"/>
      <c r="D492" s="155"/>
      <c r="E492" s="155"/>
      <c r="F492" s="155"/>
      <c r="G492" s="155"/>
      <c r="H492" s="155"/>
      <c r="I492" s="270"/>
      <c r="J492" s="270"/>
      <c r="K492" s="270"/>
      <c r="L492" s="270"/>
      <c r="M492" s="270"/>
      <c r="N492" s="270"/>
      <c r="O492" s="155"/>
      <c r="P492" s="155"/>
      <c r="Q492" s="155"/>
      <c r="R492" s="155"/>
      <c r="S492" s="155"/>
      <c r="T492" s="155"/>
      <c r="U492" s="158"/>
      <c r="V492" s="155"/>
      <c r="W492" s="155"/>
      <c r="X492" s="263"/>
      <c r="Y492" s="155"/>
      <c r="Z492" s="155"/>
      <c r="AA492" s="263"/>
      <c r="AB492" s="263"/>
      <c r="AC492" s="155"/>
      <c r="AD492" s="155"/>
      <c r="AE492" s="155"/>
      <c r="AF492" s="155"/>
      <c r="AG492" s="155"/>
      <c r="AH492" s="155"/>
      <c r="AI492" s="155"/>
      <c r="AJ492" s="155"/>
      <c r="AK492" s="155"/>
      <c r="AL492" s="155"/>
      <c r="AM492" s="155"/>
      <c r="AN492" s="155"/>
      <c r="AO492" s="155"/>
      <c r="AP492" s="49"/>
      <c r="AQ492" s="49"/>
      <c r="AR492" s="155"/>
      <c r="AS492" s="155"/>
      <c r="AT492" s="155"/>
      <c r="AU492" s="155"/>
      <c r="AV492" s="155"/>
      <c r="AW492" s="155"/>
      <c r="AX492" s="155"/>
      <c r="AY492" s="155"/>
      <c r="AZ492" s="49"/>
      <c r="BA492" s="49"/>
      <c r="BB492" s="49"/>
      <c r="BC492" s="49"/>
      <c r="BD492" s="49"/>
      <c r="BE492" s="49"/>
      <c r="BF492" s="49"/>
      <c r="BG492" s="49"/>
      <c r="BH492" s="49"/>
      <c r="BI492" s="155"/>
      <c r="BJ492" s="155"/>
      <c r="BK492" s="155"/>
      <c r="BL492" s="49"/>
      <c r="BM492" s="49"/>
      <c r="BN492" s="49"/>
      <c r="BO492" s="49"/>
      <c r="BP492" s="49"/>
      <c r="BQ492" s="49"/>
      <c r="BR492" s="49"/>
      <c r="BS492" s="49"/>
      <c r="BT492" s="49"/>
      <c r="BU492" s="49"/>
      <c r="BV492" s="49"/>
      <c r="BW492" s="49"/>
      <c r="BX492" s="49"/>
      <c r="BY492" s="49"/>
      <c r="BZ492" s="49"/>
      <c r="CA492" s="49"/>
      <c r="CB492" s="49"/>
      <c r="CC492" s="49"/>
      <c r="CD492" s="49"/>
      <c r="CE492" s="49"/>
      <c r="CF492" s="49"/>
      <c r="CG492" s="49"/>
      <c r="CH492" s="49"/>
      <c r="CI492" s="49"/>
      <c r="CJ492" s="49"/>
      <c r="CK492" s="49"/>
      <c r="CL492" s="49"/>
      <c r="CM492" s="49"/>
      <c r="CN492" s="49"/>
      <c r="CO492" s="49"/>
      <c r="CP492" s="49"/>
      <c r="CQ492" s="49"/>
      <c r="CR492" s="49"/>
      <c r="CS492" s="49"/>
      <c r="CT492" s="155"/>
      <c r="CU492" s="155"/>
      <c r="CV492" s="155"/>
      <c r="CW492" s="155"/>
      <c r="CX492" s="155"/>
      <c r="CY492" s="155"/>
      <c r="CZ492" s="155"/>
      <c r="DA492" s="155"/>
      <c r="DB492" s="155"/>
      <c r="DC492" s="155"/>
      <c r="DD492" s="155"/>
      <c r="DE492" s="155"/>
      <c r="DF492" s="155"/>
      <c r="DG492" s="155"/>
      <c r="DH492" s="155"/>
      <c r="DI492" s="155"/>
      <c r="DJ492" s="155"/>
      <c r="DK492" s="155"/>
      <c r="DL492" s="155"/>
      <c r="DM492" s="155"/>
      <c r="DN492" s="155"/>
      <c r="DO492" s="155"/>
      <c r="DP492" s="155"/>
      <c r="DQ492" s="155"/>
      <c r="DR492" s="155"/>
      <c r="DS492" s="155"/>
      <c r="DT492" s="155"/>
      <c r="DU492" s="155"/>
      <c r="DV492" s="155"/>
      <c r="DW492" s="155"/>
      <c r="DX492" s="155"/>
    </row>
    <row r="493" spans="1:128" ht="18" customHeight="1">
      <c r="A493" s="155"/>
      <c r="B493" s="155"/>
      <c r="C493" s="155"/>
      <c r="D493" s="155"/>
      <c r="E493" s="155"/>
      <c r="F493" s="155"/>
      <c r="G493" s="155"/>
      <c r="H493" s="155"/>
      <c r="I493" s="270"/>
      <c r="J493" s="270"/>
      <c r="K493" s="270"/>
      <c r="L493" s="270"/>
      <c r="M493" s="270"/>
      <c r="N493" s="270"/>
      <c r="O493" s="155"/>
      <c r="P493" s="155"/>
      <c r="Q493" s="155"/>
      <c r="R493" s="155"/>
      <c r="S493" s="155"/>
      <c r="T493" s="155"/>
      <c r="U493" s="158"/>
      <c r="V493" s="155"/>
      <c r="W493" s="155"/>
      <c r="X493" s="263"/>
      <c r="Y493" s="155"/>
      <c r="Z493" s="155"/>
      <c r="AA493" s="263"/>
      <c r="AB493" s="263"/>
      <c r="AC493" s="155"/>
      <c r="AD493" s="155"/>
      <c r="AE493" s="155"/>
      <c r="AF493" s="155"/>
      <c r="AG493" s="155"/>
      <c r="AH493" s="155"/>
      <c r="AI493" s="155"/>
      <c r="AJ493" s="155"/>
      <c r="AK493" s="155"/>
      <c r="AL493" s="155"/>
      <c r="AM493" s="155"/>
      <c r="AN493" s="155"/>
      <c r="AO493" s="155"/>
      <c r="AP493" s="49"/>
      <c r="AQ493" s="49"/>
      <c r="AR493" s="155"/>
      <c r="AS493" s="155"/>
      <c r="AT493" s="155"/>
      <c r="AU493" s="155"/>
      <c r="AV493" s="155"/>
      <c r="AW493" s="155"/>
      <c r="AX493" s="155"/>
      <c r="AY493" s="155"/>
      <c r="AZ493" s="49"/>
      <c r="BA493" s="49"/>
      <c r="BB493" s="49"/>
      <c r="BC493" s="49"/>
      <c r="BD493" s="49"/>
      <c r="BE493" s="49"/>
      <c r="BF493" s="49"/>
      <c r="BG493" s="49"/>
      <c r="BH493" s="49"/>
      <c r="BI493" s="155"/>
      <c r="BJ493" s="155"/>
      <c r="BK493" s="155"/>
      <c r="BL493" s="49"/>
      <c r="BM493" s="49"/>
      <c r="BN493" s="49"/>
      <c r="BO493" s="49"/>
      <c r="BP493" s="49"/>
      <c r="BQ493" s="49"/>
      <c r="BR493" s="49"/>
      <c r="BS493" s="49"/>
      <c r="BT493" s="49"/>
      <c r="BU493" s="49"/>
      <c r="BV493" s="49"/>
      <c r="BW493" s="49"/>
      <c r="BX493" s="49"/>
      <c r="BY493" s="49"/>
      <c r="BZ493" s="49"/>
      <c r="CA493" s="49"/>
      <c r="CB493" s="49"/>
      <c r="CC493" s="49"/>
      <c r="CD493" s="49"/>
      <c r="CE493" s="49"/>
      <c r="CF493" s="49"/>
      <c r="CG493" s="49"/>
      <c r="CH493" s="49"/>
      <c r="CI493" s="49"/>
      <c r="CJ493" s="49"/>
      <c r="CK493" s="49"/>
      <c r="CL493" s="49"/>
      <c r="CM493" s="49"/>
      <c r="CN493" s="49"/>
      <c r="CO493" s="49"/>
      <c r="CP493" s="49"/>
      <c r="CQ493" s="49"/>
      <c r="CR493" s="49"/>
      <c r="CS493" s="49"/>
      <c r="CT493" s="155"/>
      <c r="CU493" s="155"/>
      <c r="CV493" s="155"/>
      <c r="CW493" s="155"/>
      <c r="CX493" s="155"/>
      <c r="CY493" s="155"/>
      <c r="CZ493" s="155"/>
      <c r="DA493" s="155"/>
      <c r="DB493" s="155"/>
      <c r="DC493" s="155"/>
      <c r="DD493" s="155"/>
      <c r="DE493" s="155"/>
      <c r="DF493" s="155"/>
      <c r="DG493" s="155"/>
      <c r="DH493" s="155"/>
      <c r="DI493" s="155"/>
      <c r="DJ493" s="155"/>
      <c r="DK493" s="155"/>
      <c r="DL493" s="155"/>
      <c r="DM493" s="155"/>
      <c r="DN493" s="155"/>
      <c r="DO493" s="155"/>
      <c r="DP493" s="155"/>
      <c r="DQ493" s="155"/>
      <c r="DR493" s="155"/>
      <c r="DS493" s="155"/>
      <c r="DT493" s="155"/>
      <c r="DU493" s="155"/>
      <c r="DV493" s="155"/>
      <c r="DW493" s="155"/>
      <c r="DX493" s="155"/>
    </row>
    <row r="494" spans="1:128" ht="18" customHeight="1">
      <c r="A494" s="155"/>
      <c r="B494" s="155"/>
      <c r="C494" s="155"/>
      <c r="D494" s="155"/>
      <c r="E494" s="155"/>
      <c r="F494" s="155"/>
      <c r="G494" s="155"/>
      <c r="H494" s="155"/>
      <c r="I494" s="270"/>
      <c r="J494" s="270"/>
      <c r="K494" s="270"/>
      <c r="L494" s="270"/>
      <c r="M494" s="270"/>
      <c r="N494" s="270"/>
      <c r="O494" s="155"/>
      <c r="P494" s="155"/>
      <c r="Q494" s="155"/>
      <c r="R494" s="155"/>
      <c r="S494" s="155"/>
      <c r="T494" s="155"/>
      <c r="U494" s="158"/>
      <c r="V494" s="155"/>
      <c r="W494" s="155"/>
      <c r="X494" s="263"/>
      <c r="Y494" s="155"/>
      <c r="Z494" s="155"/>
      <c r="AA494" s="263"/>
      <c r="AB494" s="263"/>
      <c r="AC494" s="155"/>
      <c r="AD494" s="155"/>
      <c r="AE494" s="155"/>
      <c r="AF494" s="155"/>
      <c r="AG494" s="155"/>
      <c r="AH494" s="155"/>
      <c r="AI494" s="155"/>
      <c r="AJ494" s="155"/>
      <c r="AK494" s="155"/>
      <c r="AL494" s="155"/>
      <c r="AM494" s="155"/>
      <c r="AN494" s="155"/>
      <c r="AO494" s="155"/>
      <c r="AP494" s="49"/>
      <c r="AQ494" s="49"/>
      <c r="AR494" s="155"/>
      <c r="AS494" s="155"/>
      <c r="AT494" s="155"/>
      <c r="AU494" s="155"/>
      <c r="AV494" s="155"/>
      <c r="AW494" s="155"/>
      <c r="AX494" s="155"/>
      <c r="AY494" s="155"/>
      <c r="AZ494" s="49"/>
      <c r="BA494" s="49"/>
      <c r="BB494" s="49"/>
      <c r="BC494" s="49"/>
      <c r="BD494" s="49"/>
      <c r="BE494" s="49"/>
      <c r="BF494" s="49"/>
      <c r="BG494" s="49"/>
      <c r="BH494" s="49"/>
      <c r="BI494" s="155"/>
      <c r="BJ494" s="155"/>
      <c r="BK494" s="155"/>
      <c r="BL494" s="49"/>
      <c r="BM494" s="49"/>
      <c r="BN494" s="49"/>
      <c r="BO494" s="49"/>
      <c r="BP494" s="49"/>
      <c r="BQ494" s="49"/>
      <c r="BR494" s="49"/>
      <c r="BS494" s="49"/>
      <c r="BT494" s="49"/>
      <c r="BU494" s="49"/>
      <c r="BV494" s="49"/>
      <c r="BW494" s="49"/>
      <c r="BX494" s="49"/>
      <c r="BY494" s="49"/>
      <c r="BZ494" s="49"/>
      <c r="CA494" s="49"/>
      <c r="CB494" s="49"/>
      <c r="CC494" s="49"/>
      <c r="CD494" s="49"/>
      <c r="CE494" s="49"/>
      <c r="CF494" s="49"/>
      <c r="CG494" s="49"/>
      <c r="CH494" s="49"/>
      <c r="CI494" s="49"/>
      <c r="CJ494" s="49"/>
      <c r="CK494" s="49"/>
      <c r="CL494" s="49"/>
      <c r="CM494" s="49"/>
      <c r="CN494" s="49"/>
      <c r="CO494" s="49"/>
      <c r="CP494" s="49"/>
      <c r="CQ494" s="49"/>
      <c r="CR494" s="49"/>
      <c r="CS494" s="49"/>
      <c r="CT494" s="155"/>
      <c r="CU494" s="155"/>
      <c r="CV494" s="155"/>
      <c r="CW494" s="155"/>
      <c r="CX494" s="155"/>
      <c r="CY494" s="155"/>
      <c r="CZ494" s="155"/>
      <c r="DA494" s="155"/>
      <c r="DB494" s="155"/>
      <c r="DC494" s="155"/>
      <c r="DD494" s="155"/>
      <c r="DE494" s="155"/>
      <c r="DF494" s="155"/>
      <c r="DG494" s="155"/>
      <c r="DH494" s="155"/>
      <c r="DI494" s="155"/>
      <c r="DJ494" s="155"/>
      <c r="DK494" s="155"/>
      <c r="DL494" s="155"/>
      <c r="DM494" s="155"/>
      <c r="DN494" s="155"/>
      <c r="DO494" s="155"/>
      <c r="DP494" s="155"/>
      <c r="DQ494" s="155"/>
      <c r="DR494" s="155"/>
      <c r="DS494" s="155"/>
      <c r="DT494" s="155"/>
      <c r="DU494" s="155"/>
      <c r="DV494" s="155"/>
      <c r="DW494" s="155"/>
      <c r="DX494" s="155"/>
    </row>
    <row r="495" spans="1:128" ht="18" customHeight="1">
      <c r="A495" s="155"/>
      <c r="B495" s="155"/>
      <c r="C495" s="155"/>
      <c r="D495" s="155"/>
      <c r="E495" s="155"/>
      <c r="F495" s="155"/>
      <c r="G495" s="155"/>
      <c r="H495" s="155"/>
      <c r="I495" s="270"/>
      <c r="J495" s="270"/>
      <c r="K495" s="270"/>
      <c r="L495" s="270"/>
      <c r="M495" s="270"/>
      <c r="N495" s="270"/>
      <c r="O495" s="155"/>
      <c r="P495" s="155"/>
      <c r="Q495" s="155"/>
      <c r="R495" s="155"/>
      <c r="S495" s="155"/>
      <c r="T495" s="155"/>
      <c r="U495" s="158"/>
      <c r="V495" s="155"/>
      <c r="W495" s="155"/>
      <c r="X495" s="263"/>
      <c r="Y495" s="155"/>
      <c r="Z495" s="155"/>
      <c r="AA495" s="263"/>
      <c r="AB495" s="263"/>
      <c r="AC495" s="155"/>
      <c r="AD495" s="155"/>
      <c r="AE495" s="155"/>
      <c r="AF495" s="155"/>
      <c r="AG495" s="155"/>
      <c r="AH495" s="155"/>
      <c r="AI495" s="155"/>
      <c r="AJ495" s="155"/>
      <c r="AK495" s="155"/>
      <c r="AL495" s="155"/>
      <c r="AM495" s="155"/>
      <c r="AN495" s="155"/>
      <c r="AO495" s="155"/>
      <c r="AP495" s="49"/>
      <c r="AQ495" s="49"/>
      <c r="AR495" s="155"/>
      <c r="AS495" s="155"/>
      <c r="AT495" s="155"/>
      <c r="AU495" s="155"/>
      <c r="AV495" s="155"/>
      <c r="AW495" s="155"/>
      <c r="AX495" s="155"/>
      <c r="AY495" s="155"/>
      <c r="AZ495" s="49"/>
      <c r="BA495" s="49"/>
      <c r="BB495" s="49"/>
      <c r="BC495" s="49"/>
      <c r="BD495" s="49"/>
      <c r="BE495" s="49"/>
      <c r="BF495" s="49"/>
      <c r="BG495" s="49"/>
      <c r="BH495" s="49"/>
      <c r="BI495" s="155"/>
      <c r="BJ495" s="155"/>
      <c r="BK495" s="155"/>
      <c r="BL495" s="49"/>
      <c r="BM495" s="49"/>
      <c r="BN495" s="49"/>
      <c r="BO495" s="49"/>
      <c r="BP495" s="49"/>
      <c r="BQ495" s="49"/>
      <c r="BR495" s="49"/>
      <c r="BS495" s="49"/>
      <c r="BT495" s="49"/>
      <c r="BU495" s="49"/>
      <c r="BV495" s="49"/>
      <c r="BW495" s="49"/>
      <c r="BX495" s="49"/>
      <c r="BY495" s="49"/>
      <c r="BZ495" s="49"/>
      <c r="CA495" s="49"/>
      <c r="CB495" s="49"/>
      <c r="CC495" s="49"/>
      <c r="CD495" s="49"/>
      <c r="CE495" s="49"/>
      <c r="CF495" s="49"/>
      <c r="CG495" s="49"/>
      <c r="CH495" s="49"/>
      <c r="CI495" s="49"/>
      <c r="CJ495" s="49"/>
      <c r="CK495" s="49"/>
      <c r="CL495" s="49"/>
      <c r="CM495" s="49"/>
      <c r="CN495" s="49"/>
      <c r="CO495" s="49"/>
      <c r="CP495" s="49"/>
      <c r="CQ495" s="49"/>
      <c r="CR495" s="49"/>
      <c r="CS495" s="49"/>
      <c r="CT495" s="155"/>
      <c r="CU495" s="155"/>
      <c r="CV495" s="155"/>
      <c r="CW495" s="155"/>
      <c r="CX495" s="155"/>
      <c r="CY495" s="155"/>
      <c r="CZ495" s="155"/>
      <c r="DA495" s="155"/>
      <c r="DB495" s="155"/>
      <c r="DC495" s="155"/>
      <c r="DD495" s="155"/>
      <c r="DE495" s="155"/>
      <c r="DF495" s="155"/>
      <c r="DG495" s="155"/>
      <c r="DH495" s="155"/>
      <c r="DI495" s="155"/>
      <c r="DJ495" s="155"/>
      <c r="DK495" s="155"/>
      <c r="DL495" s="155"/>
      <c r="DM495" s="155"/>
      <c r="DN495" s="155"/>
      <c r="DO495" s="155"/>
      <c r="DP495" s="155"/>
      <c r="DQ495" s="155"/>
      <c r="DR495" s="155"/>
      <c r="DS495" s="155"/>
      <c r="DT495" s="155"/>
      <c r="DU495" s="155"/>
      <c r="DV495" s="155"/>
      <c r="DW495" s="155"/>
      <c r="DX495" s="155"/>
    </row>
    <row r="496" spans="1:128" ht="18" customHeight="1">
      <c r="A496" s="155"/>
      <c r="B496" s="155"/>
      <c r="C496" s="155"/>
      <c r="D496" s="155"/>
      <c r="E496" s="155"/>
      <c r="F496" s="155"/>
      <c r="G496" s="155"/>
      <c r="H496" s="155"/>
      <c r="I496" s="270"/>
      <c r="J496" s="270"/>
      <c r="K496" s="270"/>
      <c r="L496" s="270"/>
      <c r="M496" s="270"/>
      <c r="N496" s="270"/>
      <c r="O496" s="155"/>
      <c r="P496" s="155"/>
      <c r="Q496" s="155"/>
      <c r="R496" s="155"/>
      <c r="S496" s="155"/>
      <c r="T496" s="155"/>
      <c r="U496" s="158"/>
      <c r="V496" s="155"/>
      <c r="W496" s="155"/>
      <c r="X496" s="263"/>
      <c r="Y496" s="155"/>
      <c r="Z496" s="155"/>
      <c r="AA496" s="263"/>
      <c r="AB496" s="263"/>
      <c r="AC496" s="155"/>
      <c r="AD496" s="155"/>
      <c r="AE496" s="155"/>
      <c r="AF496" s="155"/>
      <c r="AG496" s="155"/>
      <c r="AH496" s="155"/>
      <c r="AI496" s="155"/>
      <c r="AJ496" s="155"/>
      <c r="AK496" s="155"/>
      <c r="AL496" s="155"/>
      <c r="AM496" s="155"/>
      <c r="AN496" s="155"/>
      <c r="AO496" s="155"/>
      <c r="AP496" s="49"/>
      <c r="AQ496" s="49"/>
      <c r="AR496" s="155"/>
      <c r="AS496" s="155"/>
      <c r="AT496" s="155"/>
      <c r="AU496" s="155"/>
      <c r="AV496" s="155"/>
      <c r="AW496" s="155"/>
      <c r="AX496" s="155"/>
      <c r="AY496" s="155"/>
      <c r="AZ496" s="49"/>
      <c r="BA496" s="49"/>
      <c r="BB496" s="49"/>
      <c r="BC496" s="49"/>
      <c r="BD496" s="49"/>
      <c r="BE496" s="49"/>
      <c r="BF496" s="49"/>
      <c r="BG496" s="49"/>
      <c r="BH496" s="49"/>
      <c r="BI496" s="155"/>
      <c r="BJ496" s="155"/>
      <c r="BK496" s="155"/>
      <c r="BL496" s="49"/>
      <c r="BM496" s="49"/>
      <c r="BN496" s="49"/>
      <c r="BO496" s="49"/>
      <c r="BP496" s="49"/>
      <c r="BQ496" s="49"/>
      <c r="BR496" s="49"/>
      <c r="BS496" s="49"/>
      <c r="BT496" s="49"/>
      <c r="BU496" s="49"/>
      <c r="BV496" s="49"/>
      <c r="BW496" s="49"/>
      <c r="BX496" s="49"/>
      <c r="BY496" s="49"/>
      <c r="BZ496" s="49"/>
      <c r="CA496" s="49"/>
      <c r="CB496" s="49"/>
      <c r="CC496" s="49"/>
      <c r="CD496" s="49"/>
      <c r="CE496" s="49"/>
      <c r="CF496" s="49"/>
      <c r="CG496" s="49"/>
      <c r="CH496" s="49"/>
      <c r="CI496" s="49"/>
      <c r="CJ496" s="49"/>
      <c r="CK496" s="49"/>
      <c r="CL496" s="49"/>
      <c r="CM496" s="49"/>
      <c r="CN496" s="49"/>
      <c r="CO496" s="49"/>
      <c r="CP496" s="49"/>
      <c r="CQ496" s="49"/>
      <c r="CR496" s="49"/>
      <c r="CS496" s="49"/>
      <c r="CT496" s="155"/>
      <c r="CU496" s="155"/>
      <c r="CV496" s="155"/>
      <c r="CW496" s="155"/>
      <c r="CX496" s="155"/>
      <c r="CY496" s="155"/>
      <c r="CZ496" s="155"/>
      <c r="DA496" s="155"/>
      <c r="DB496" s="155"/>
      <c r="DC496" s="155"/>
      <c r="DD496" s="155"/>
      <c r="DE496" s="155"/>
      <c r="DF496" s="155"/>
      <c r="DG496" s="155"/>
      <c r="DH496" s="155"/>
      <c r="DI496" s="155"/>
      <c r="DJ496" s="155"/>
      <c r="DK496" s="155"/>
      <c r="DL496" s="155"/>
      <c r="DM496" s="155"/>
      <c r="DN496" s="155"/>
      <c r="DO496" s="155"/>
      <c r="DP496" s="155"/>
      <c r="DQ496" s="155"/>
      <c r="DR496" s="155"/>
      <c r="DS496" s="155"/>
      <c r="DT496" s="155"/>
      <c r="DU496" s="155"/>
      <c r="DV496" s="155"/>
      <c r="DW496" s="155"/>
      <c r="DX496" s="155"/>
    </row>
    <row r="497" spans="1:128" ht="18" customHeight="1">
      <c r="A497" s="155"/>
      <c r="B497" s="155"/>
      <c r="C497" s="155"/>
      <c r="D497" s="155"/>
      <c r="E497" s="155"/>
      <c r="F497" s="155"/>
      <c r="G497" s="155"/>
      <c r="H497" s="155"/>
      <c r="I497" s="270"/>
      <c r="J497" s="270"/>
      <c r="K497" s="270"/>
      <c r="L497" s="270"/>
      <c r="M497" s="270"/>
      <c r="N497" s="270"/>
      <c r="O497" s="155"/>
      <c r="P497" s="155"/>
      <c r="Q497" s="155"/>
      <c r="R497" s="155"/>
      <c r="S497" s="155"/>
      <c r="T497" s="155"/>
      <c r="U497" s="158"/>
      <c r="V497" s="155"/>
      <c r="W497" s="155"/>
      <c r="X497" s="263"/>
      <c r="Y497" s="155"/>
      <c r="Z497" s="155"/>
      <c r="AA497" s="263"/>
      <c r="AB497" s="263"/>
      <c r="AC497" s="155"/>
      <c r="AD497" s="155"/>
      <c r="AE497" s="155"/>
      <c r="AF497" s="155"/>
      <c r="AG497" s="155"/>
      <c r="AH497" s="155"/>
      <c r="AI497" s="155"/>
      <c r="AJ497" s="155"/>
      <c r="AK497" s="155"/>
      <c r="AL497" s="155"/>
      <c r="AM497" s="155"/>
      <c r="AN497" s="155"/>
      <c r="AO497" s="155"/>
      <c r="AP497" s="49"/>
      <c r="AQ497" s="49"/>
      <c r="AR497" s="155"/>
      <c r="AS497" s="155"/>
      <c r="AT497" s="155"/>
      <c r="AU497" s="155"/>
      <c r="AV497" s="155"/>
      <c r="AW497" s="155"/>
      <c r="AX497" s="155"/>
      <c r="AY497" s="155"/>
      <c r="AZ497" s="49"/>
      <c r="BA497" s="49"/>
      <c r="BB497" s="49"/>
      <c r="BC497" s="49"/>
      <c r="BD497" s="49"/>
      <c r="BE497" s="49"/>
      <c r="BF497" s="49"/>
      <c r="BG497" s="49"/>
      <c r="BH497" s="49"/>
      <c r="BI497" s="155"/>
      <c r="BJ497" s="155"/>
      <c r="BK497" s="155"/>
      <c r="BL497" s="49"/>
      <c r="BM497" s="49"/>
      <c r="BN497" s="49"/>
      <c r="BO497" s="49"/>
      <c r="BP497" s="49"/>
      <c r="BQ497" s="49"/>
      <c r="BR497" s="49"/>
      <c r="BS497" s="49"/>
      <c r="BT497" s="49"/>
      <c r="BU497" s="49"/>
      <c r="BV497" s="49"/>
      <c r="BW497" s="49"/>
      <c r="BX497" s="49"/>
      <c r="BY497" s="49"/>
      <c r="BZ497" s="49"/>
      <c r="CA497" s="49"/>
      <c r="CB497" s="49"/>
      <c r="CC497" s="49"/>
      <c r="CD497" s="49"/>
      <c r="CE497" s="49"/>
      <c r="CF497" s="49"/>
      <c r="CG497" s="49"/>
      <c r="CH497" s="49"/>
      <c r="CI497" s="49"/>
      <c r="CJ497" s="49"/>
      <c r="CK497" s="49"/>
      <c r="CL497" s="49"/>
      <c r="CM497" s="49"/>
      <c r="CN497" s="49"/>
      <c r="CO497" s="49"/>
      <c r="CP497" s="49"/>
      <c r="CQ497" s="49"/>
      <c r="CR497" s="49"/>
      <c r="CS497" s="49"/>
      <c r="CT497" s="155"/>
      <c r="CU497" s="155"/>
      <c r="CV497" s="155"/>
      <c r="CW497" s="155"/>
      <c r="CX497" s="155"/>
      <c r="CY497" s="155"/>
      <c r="CZ497" s="155"/>
      <c r="DA497" s="155"/>
      <c r="DB497" s="155"/>
      <c r="DC497" s="155"/>
      <c r="DD497" s="155"/>
      <c r="DE497" s="155"/>
      <c r="DF497" s="155"/>
      <c r="DG497" s="155"/>
      <c r="DH497" s="155"/>
      <c r="DI497" s="155"/>
      <c r="DJ497" s="155"/>
      <c r="DK497" s="155"/>
      <c r="DL497" s="155"/>
      <c r="DM497" s="155"/>
      <c r="DN497" s="155"/>
      <c r="DO497" s="155"/>
      <c r="DP497" s="155"/>
      <c r="DQ497" s="155"/>
      <c r="DR497" s="155"/>
      <c r="DS497" s="155"/>
      <c r="DT497" s="155"/>
      <c r="DU497" s="155"/>
      <c r="DV497" s="155"/>
      <c r="DW497" s="155"/>
      <c r="DX497" s="155"/>
    </row>
    <row r="498" spans="1:128" ht="18" customHeight="1">
      <c r="A498" s="155"/>
      <c r="B498" s="155"/>
      <c r="C498" s="155"/>
      <c r="D498" s="155"/>
      <c r="E498" s="155"/>
      <c r="F498" s="155"/>
      <c r="G498" s="155"/>
      <c r="H498" s="155"/>
      <c r="I498" s="270"/>
      <c r="J498" s="270"/>
      <c r="K498" s="270"/>
      <c r="L498" s="270"/>
      <c r="M498" s="270"/>
      <c r="N498" s="270"/>
      <c r="O498" s="155"/>
      <c r="P498" s="155"/>
      <c r="Q498" s="155"/>
      <c r="R498" s="155"/>
      <c r="S498" s="155"/>
      <c r="T498" s="155"/>
      <c r="U498" s="158"/>
      <c r="V498" s="155"/>
      <c r="W498" s="155"/>
      <c r="X498" s="263"/>
      <c r="Y498" s="155"/>
      <c r="Z498" s="155"/>
      <c r="AA498" s="263"/>
      <c r="AB498" s="263"/>
      <c r="AC498" s="155"/>
      <c r="AD498" s="155"/>
      <c r="AE498" s="155"/>
      <c r="AF498" s="155"/>
      <c r="AG498" s="155"/>
      <c r="AH498" s="155"/>
      <c r="AI498" s="155"/>
      <c r="AJ498" s="155"/>
      <c r="AK498" s="155"/>
      <c r="AL498" s="155"/>
      <c r="AM498" s="155"/>
      <c r="AN498" s="155"/>
      <c r="AO498" s="155"/>
      <c r="AP498" s="49"/>
      <c r="AQ498" s="49"/>
      <c r="AR498" s="155"/>
      <c r="AS498" s="155"/>
      <c r="AT498" s="155"/>
      <c r="AU498" s="155"/>
      <c r="AV498" s="155"/>
      <c r="AW498" s="155"/>
      <c r="AX498" s="155"/>
      <c r="AY498" s="155"/>
      <c r="AZ498" s="49"/>
      <c r="BA498" s="49"/>
      <c r="BB498" s="49"/>
      <c r="BC498" s="49"/>
      <c r="BD498" s="49"/>
      <c r="BE498" s="49"/>
      <c r="BF498" s="49"/>
      <c r="BG498" s="49"/>
      <c r="BH498" s="49"/>
      <c r="BI498" s="155"/>
      <c r="BJ498" s="155"/>
      <c r="BK498" s="155"/>
      <c r="BL498" s="49"/>
      <c r="BM498" s="49"/>
      <c r="BN498" s="49"/>
      <c r="BO498" s="49"/>
      <c r="BP498" s="49"/>
      <c r="BQ498" s="49"/>
      <c r="BR498" s="49"/>
      <c r="BS498" s="49"/>
      <c r="BT498" s="49"/>
      <c r="BU498" s="49"/>
      <c r="BV498" s="49"/>
      <c r="BW498" s="49"/>
      <c r="BX498" s="49"/>
      <c r="BY498" s="49"/>
      <c r="BZ498" s="49"/>
      <c r="CA498" s="49"/>
      <c r="CB498" s="49"/>
      <c r="CC498" s="49"/>
      <c r="CD498" s="49"/>
      <c r="CE498" s="49"/>
      <c r="CF498" s="49"/>
      <c r="CG498" s="49"/>
      <c r="CH498" s="49"/>
      <c r="CI498" s="49"/>
      <c r="CJ498" s="49"/>
      <c r="CK498" s="49"/>
      <c r="CL498" s="49"/>
      <c r="CM498" s="49"/>
      <c r="CN498" s="49"/>
      <c r="CO498" s="49"/>
      <c r="CP498" s="49"/>
      <c r="CQ498" s="49"/>
      <c r="CR498" s="49"/>
      <c r="CS498" s="49"/>
      <c r="CT498" s="155"/>
      <c r="CU498" s="155"/>
      <c r="CV498" s="155"/>
      <c r="CW498" s="155"/>
      <c r="CX498" s="155"/>
      <c r="CY498" s="155"/>
      <c r="CZ498" s="155"/>
      <c r="DA498" s="155"/>
      <c r="DB498" s="155"/>
      <c r="DC498" s="155"/>
      <c r="DD498" s="155"/>
      <c r="DE498" s="155"/>
      <c r="DF498" s="155"/>
      <c r="DG498" s="155"/>
      <c r="DH498" s="155"/>
      <c r="DI498" s="155"/>
      <c r="DJ498" s="155"/>
      <c r="DK498" s="155"/>
      <c r="DL498" s="155"/>
      <c r="DM498" s="155"/>
      <c r="DN498" s="155"/>
      <c r="DO498" s="155"/>
      <c r="DP498" s="155"/>
      <c r="DQ498" s="155"/>
      <c r="DR498" s="155"/>
      <c r="DS498" s="155"/>
      <c r="DT498" s="155"/>
      <c r="DU498" s="155"/>
      <c r="DV498" s="155"/>
      <c r="DW498" s="155"/>
      <c r="DX498" s="155"/>
    </row>
    <row r="499" spans="1:128" ht="18" customHeight="1">
      <c r="A499" s="155"/>
      <c r="B499" s="155"/>
      <c r="C499" s="155"/>
      <c r="D499" s="155"/>
      <c r="E499" s="155"/>
      <c r="F499" s="155"/>
      <c r="G499" s="155"/>
      <c r="H499" s="155"/>
      <c r="I499" s="270"/>
      <c r="J499" s="270"/>
      <c r="K499" s="270"/>
      <c r="L499" s="270"/>
      <c r="M499" s="270"/>
      <c r="N499" s="270"/>
      <c r="O499" s="155"/>
      <c r="P499" s="155"/>
      <c r="Q499" s="155"/>
      <c r="R499" s="155"/>
      <c r="S499" s="155"/>
      <c r="T499" s="155"/>
      <c r="U499" s="158"/>
      <c r="V499" s="155"/>
      <c r="W499" s="155"/>
      <c r="X499" s="263"/>
      <c r="Y499" s="155"/>
      <c r="Z499" s="155"/>
      <c r="AA499" s="263"/>
      <c r="AB499" s="263"/>
      <c r="AC499" s="155"/>
      <c r="AD499" s="155"/>
      <c r="AE499" s="155"/>
      <c r="AF499" s="155"/>
      <c r="AG499" s="155"/>
      <c r="AH499" s="155"/>
      <c r="AI499" s="155"/>
      <c r="AJ499" s="155"/>
      <c r="AK499" s="155"/>
      <c r="AL499" s="155"/>
      <c r="AM499" s="155"/>
      <c r="AN499" s="155"/>
      <c r="AO499" s="155"/>
      <c r="AP499" s="49"/>
      <c r="AQ499" s="49"/>
      <c r="AR499" s="155"/>
      <c r="AS499" s="155"/>
      <c r="AT499" s="155"/>
      <c r="AU499" s="155"/>
      <c r="AV499" s="155"/>
      <c r="AW499" s="155"/>
      <c r="AX499" s="155"/>
      <c r="AY499" s="155"/>
      <c r="AZ499" s="49"/>
      <c r="BA499" s="49"/>
      <c r="BB499" s="49"/>
      <c r="BC499" s="49"/>
      <c r="BD499" s="49"/>
      <c r="BE499" s="49"/>
      <c r="BF499" s="49"/>
      <c r="BG499" s="49"/>
      <c r="BH499" s="49"/>
      <c r="BI499" s="155"/>
      <c r="BJ499" s="155"/>
      <c r="BK499" s="155"/>
      <c r="BL499" s="49"/>
      <c r="BM499" s="49"/>
      <c r="BN499" s="49"/>
      <c r="BO499" s="49"/>
      <c r="BP499" s="49"/>
      <c r="BQ499" s="49"/>
      <c r="BR499" s="49"/>
      <c r="BS499" s="49"/>
      <c r="BT499" s="49"/>
      <c r="BU499" s="49"/>
      <c r="BV499" s="49"/>
      <c r="BW499" s="49"/>
      <c r="BX499" s="49"/>
      <c r="BY499" s="49"/>
      <c r="BZ499" s="49"/>
      <c r="CA499" s="49"/>
      <c r="CB499" s="49"/>
      <c r="CC499" s="49"/>
      <c r="CD499" s="49"/>
      <c r="CE499" s="49"/>
      <c r="CF499" s="49"/>
      <c r="CG499" s="49"/>
      <c r="CH499" s="49"/>
      <c r="CI499" s="49"/>
      <c r="CJ499" s="49"/>
      <c r="CK499" s="49"/>
      <c r="CL499" s="49"/>
      <c r="CM499" s="49"/>
      <c r="CN499" s="49"/>
      <c r="CO499" s="49"/>
      <c r="CP499" s="49"/>
      <c r="CQ499" s="49"/>
      <c r="CR499" s="49"/>
      <c r="CS499" s="49"/>
      <c r="CT499" s="155"/>
      <c r="CU499" s="155"/>
      <c r="CV499" s="155"/>
      <c r="CW499" s="155"/>
      <c r="CX499" s="155"/>
      <c r="CY499" s="155"/>
      <c r="CZ499" s="155"/>
      <c r="DA499" s="155"/>
      <c r="DB499" s="155"/>
      <c r="DC499" s="155"/>
      <c r="DD499" s="155"/>
      <c r="DE499" s="155"/>
      <c r="DF499" s="155"/>
      <c r="DG499" s="155"/>
      <c r="DH499" s="155"/>
      <c r="DI499" s="155"/>
      <c r="DJ499" s="155"/>
      <c r="DK499" s="155"/>
      <c r="DL499" s="155"/>
      <c r="DM499" s="155"/>
      <c r="DN499" s="155"/>
      <c r="DO499" s="155"/>
      <c r="DP499" s="155"/>
      <c r="DQ499" s="155"/>
      <c r="DR499" s="155"/>
      <c r="DS499" s="155"/>
      <c r="DT499" s="155"/>
      <c r="DU499" s="155"/>
      <c r="DV499" s="155"/>
      <c r="DW499" s="155"/>
      <c r="DX499" s="155"/>
    </row>
    <row r="500" spans="1:128" ht="18" customHeight="1">
      <c r="A500" s="155"/>
      <c r="B500" s="155"/>
      <c r="C500" s="155"/>
      <c r="D500" s="155"/>
      <c r="E500" s="155"/>
      <c r="F500" s="155"/>
      <c r="G500" s="155"/>
      <c r="H500" s="155"/>
      <c r="I500" s="270"/>
      <c r="J500" s="270"/>
      <c r="K500" s="270"/>
      <c r="L500" s="270"/>
      <c r="M500" s="270"/>
      <c r="N500" s="270"/>
      <c r="O500" s="155"/>
      <c r="P500" s="155"/>
      <c r="Q500" s="155"/>
      <c r="R500" s="155"/>
      <c r="S500" s="155"/>
      <c r="T500" s="155"/>
      <c r="U500" s="158"/>
      <c r="V500" s="155"/>
      <c r="W500" s="155"/>
      <c r="X500" s="263"/>
      <c r="Y500" s="155"/>
      <c r="Z500" s="155"/>
      <c r="AA500" s="263"/>
      <c r="AB500" s="263"/>
      <c r="AC500" s="155"/>
      <c r="AD500" s="155"/>
      <c r="AE500" s="155"/>
      <c r="AF500" s="155"/>
      <c r="AG500" s="155"/>
      <c r="AH500" s="155"/>
      <c r="AI500" s="155"/>
      <c r="AJ500" s="155"/>
      <c r="AK500" s="155"/>
      <c r="AL500" s="155"/>
      <c r="AM500" s="155"/>
      <c r="AN500" s="155"/>
      <c r="AO500" s="155"/>
      <c r="AP500" s="49"/>
      <c r="AQ500" s="49"/>
      <c r="AR500" s="155"/>
      <c r="AS500" s="155"/>
      <c r="AT500" s="155"/>
      <c r="AU500" s="155"/>
      <c r="AV500" s="155"/>
      <c r="AW500" s="155"/>
      <c r="AX500" s="155"/>
      <c r="AY500" s="155"/>
      <c r="AZ500" s="49"/>
      <c r="BA500" s="49"/>
      <c r="BB500" s="49"/>
      <c r="BC500" s="49"/>
      <c r="BD500" s="49"/>
      <c r="BE500" s="49"/>
      <c r="BF500" s="49"/>
      <c r="BG500" s="49"/>
      <c r="BH500" s="49"/>
      <c r="BI500" s="155"/>
      <c r="BJ500" s="155"/>
      <c r="BK500" s="155"/>
      <c r="BL500" s="49"/>
      <c r="BM500" s="49"/>
      <c r="BN500" s="49"/>
      <c r="BO500" s="49"/>
      <c r="BP500" s="49"/>
      <c r="BQ500" s="49"/>
      <c r="BR500" s="49"/>
      <c r="BS500" s="49"/>
      <c r="BT500" s="49"/>
      <c r="BU500" s="49"/>
      <c r="BV500" s="49"/>
      <c r="BW500" s="49"/>
      <c r="BX500" s="49"/>
      <c r="BY500" s="49"/>
      <c r="BZ500" s="49"/>
      <c r="CA500" s="49"/>
      <c r="CB500" s="49"/>
      <c r="CC500" s="49"/>
      <c r="CD500" s="49"/>
      <c r="CE500" s="49"/>
      <c r="CF500" s="49"/>
      <c r="CG500" s="49"/>
      <c r="CH500" s="49"/>
      <c r="CI500" s="49"/>
      <c r="CJ500" s="49"/>
      <c r="CK500" s="49"/>
      <c r="CL500" s="49"/>
      <c r="CM500" s="49"/>
      <c r="CN500" s="49"/>
      <c r="CO500" s="49"/>
      <c r="CP500" s="49"/>
      <c r="CQ500" s="49"/>
      <c r="CR500" s="49"/>
      <c r="CS500" s="49"/>
      <c r="CT500" s="155"/>
      <c r="CU500" s="155"/>
      <c r="CV500" s="155"/>
      <c r="CW500" s="155"/>
      <c r="CX500" s="155"/>
      <c r="CY500" s="155"/>
      <c r="CZ500" s="155"/>
      <c r="DA500" s="155"/>
      <c r="DB500" s="155"/>
      <c r="DC500" s="155"/>
      <c r="DD500" s="155"/>
      <c r="DE500" s="155"/>
      <c r="DF500" s="155"/>
      <c r="DG500" s="155"/>
      <c r="DH500" s="155"/>
      <c r="DI500" s="155"/>
      <c r="DJ500" s="155"/>
      <c r="DK500" s="155"/>
      <c r="DL500" s="155"/>
      <c r="DM500" s="155"/>
      <c r="DN500" s="155"/>
      <c r="DO500" s="155"/>
      <c r="DP500" s="155"/>
      <c r="DQ500" s="155"/>
      <c r="DR500" s="155"/>
      <c r="DS500" s="155"/>
      <c r="DT500" s="155"/>
      <c r="DU500" s="155"/>
      <c r="DV500" s="155"/>
      <c r="DW500" s="155"/>
      <c r="DX500" s="155"/>
    </row>
    <row r="501" spans="1:128" ht="18" customHeight="1">
      <c r="A501" s="155"/>
      <c r="B501" s="155"/>
      <c r="C501" s="155"/>
      <c r="D501" s="155"/>
      <c r="E501" s="155"/>
      <c r="F501" s="155"/>
      <c r="G501" s="155"/>
      <c r="H501" s="155"/>
      <c r="I501" s="270"/>
      <c r="J501" s="270"/>
      <c r="K501" s="270"/>
      <c r="L501" s="270"/>
      <c r="M501" s="270"/>
      <c r="N501" s="270"/>
      <c r="O501" s="155"/>
      <c r="P501" s="155"/>
      <c r="Q501" s="155"/>
      <c r="R501" s="155"/>
      <c r="S501" s="155"/>
      <c r="T501" s="155"/>
      <c r="U501" s="158"/>
      <c r="V501" s="155"/>
      <c r="W501" s="155"/>
      <c r="X501" s="263"/>
      <c r="Y501" s="155"/>
      <c r="Z501" s="155"/>
      <c r="AA501" s="263"/>
      <c r="AB501" s="263"/>
      <c r="AC501" s="155"/>
      <c r="AD501" s="155"/>
      <c r="AE501" s="155"/>
      <c r="AF501" s="155"/>
      <c r="AG501" s="155"/>
      <c r="AH501" s="155"/>
      <c r="AI501" s="155"/>
      <c r="AJ501" s="155"/>
      <c r="AK501" s="155"/>
      <c r="AL501" s="155"/>
      <c r="AM501" s="155"/>
      <c r="AN501" s="155"/>
      <c r="AO501" s="155"/>
      <c r="AP501" s="49"/>
      <c r="AQ501" s="49"/>
      <c r="AR501" s="155"/>
      <c r="AS501" s="155"/>
      <c r="AT501" s="155"/>
      <c r="AU501" s="155"/>
      <c r="AV501" s="155"/>
      <c r="AW501" s="155"/>
      <c r="AX501" s="155"/>
      <c r="AY501" s="155"/>
      <c r="AZ501" s="49"/>
      <c r="BA501" s="49"/>
      <c r="BB501" s="49"/>
      <c r="BC501" s="49"/>
      <c r="BD501" s="49"/>
      <c r="BE501" s="49"/>
      <c r="BF501" s="49"/>
      <c r="BG501" s="49"/>
      <c r="BH501" s="49"/>
      <c r="BI501" s="155"/>
      <c r="BJ501" s="155"/>
      <c r="BK501" s="155"/>
      <c r="BL501" s="49"/>
      <c r="BM501" s="49"/>
      <c r="BN501" s="49"/>
      <c r="BO501" s="49"/>
      <c r="BP501" s="49"/>
      <c r="BQ501" s="49"/>
      <c r="BR501" s="49"/>
      <c r="BS501" s="49"/>
      <c r="BT501" s="49"/>
      <c r="BU501" s="49"/>
      <c r="BV501" s="49"/>
      <c r="BW501" s="49"/>
      <c r="BX501" s="49"/>
      <c r="BY501" s="49"/>
      <c r="BZ501" s="49"/>
      <c r="CA501" s="49"/>
      <c r="CB501" s="49"/>
      <c r="CC501" s="49"/>
      <c r="CD501" s="49"/>
      <c r="CE501" s="49"/>
      <c r="CF501" s="49"/>
      <c r="CG501" s="49"/>
      <c r="CH501" s="49"/>
      <c r="CI501" s="49"/>
      <c r="CJ501" s="49"/>
      <c r="CK501" s="49"/>
      <c r="CL501" s="49"/>
      <c r="CM501" s="49"/>
      <c r="CN501" s="49"/>
      <c r="CO501" s="49"/>
      <c r="CP501" s="49"/>
      <c r="CQ501" s="49"/>
      <c r="CR501" s="49"/>
      <c r="CS501" s="49"/>
      <c r="CT501" s="155"/>
      <c r="CU501" s="155"/>
      <c r="CV501" s="155"/>
      <c r="CW501" s="155"/>
      <c r="CX501" s="155"/>
      <c r="CY501" s="155"/>
      <c r="CZ501" s="155"/>
      <c r="DA501" s="155"/>
      <c r="DB501" s="155"/>
      <c r="DC501" s="155"/>
      <c r="DD501" s="155"/>
      <c r="DE501" s="155"/>
      <c r="DF501" s="155"/>
      <c r="DG501" s="155"/>
      <c r="DH501" s="155"/>
      <c r="DI501" s="155"/>
      <c r="DJ501" s="155"/>
      <c r="DK501" s="155"/>
      <c r="DL501" s="155"/>
      <c r="DM501" s="155"/>
      <c r="DN501" s="155"/>
      <c r="DO501" s="155"/>
      <c r="DP501" s="155"/>
      <c r="DQ501" s="155"/>
      <c r="DR501" s="155"/>
      <c r="DS501" s="155"/>
      <c r="DT501" s="155"/>
      <c r="DU501" s="155"/>
      <c r="DV501" s="155"/>
      <c r="DW501" s="155"/>
      <c r="DX501" s="155"/>
    </row>
    <row r="502" spans="1:128" ht="18" customHeight="1">
      <c r="A502" s="155"/>
      <c r="B502" s="155"/>
      <c r="C502" s="155"/>
      <c r="D502" s="155"/>
      <c r="E502" s="155"/>
      <c r="F502" s="155"/>
      <c r="G502" s="155"/>
      <c r="H502" s="155"/>
      <c r="I502" s="270"/>
      <c r="J502" s="270"/>
      <c r="K502" s="270"/>
      <c r="L502" s="270"/>
      <c r="M502" s="270"/>
      <c r="N502" s="270"/>
      <c r="O502" s="155"/>
      <c r="P502" s="155"/>
      <c r="Q502" s="155"/>
      <c r="R502" s="155"/>
      <c r="S502" s="155"/>
      <c r="T502" s="155"/>
      <c r="U502" s="158"/>
      <c r="V502" s="155"/>
      <c r="W502" s="155"/>
      <c r="X502" s="263"/>
      <c r="Y502" s="155"/>
      <c r="Z502" s="155"/>
      <c r="AA502" s="263"/>
      <c r="AB502" s="263"/>
      <c r="AC502" s="155"/>
      <c r="AD502" s="155"/>
      <c r="AE502" s="155"/>
      <c r="AF502" s="155"/>
      <c r="AG502" s="155"/>
      <c r="AH502" s="155"/>
      <c r="AI502" s="155"/>
      <c r="AJ502" s="155"/>
      <c r="AK502" s="155"/>
      <c r="AL502" s="155"/>
      <c r="AM502" s="155"/>
      <c r="AN502" s="155"/>
      <c r="AO502" s="155"/>
      <c r="AP502" s="49"/>
      <c r="AQ502" s="49"/>
      <c r="AR502" s="155"/>
      <c r="AS502" s="155"/>
      <c r="AT502" s="155"/>
      <c r="AU502" s="155"/>
      <c r="AV502" s="155"/>
      <c r="AW502" s="155"/>
      <c r="AX502" s="155"/>
      <c r="AY502" s="155"/>
      <c r="AZ502" s="49"/>
      <c r="BA502" s="49"/>
      <c r="BB502" s="49"/>
      <c r="BC502" s="49"/>
      <c r="BD502" s="49"/>
      <c r="BE502" s="49"/>
      <c r="BF502" s="49"/>
      <c r="BG502" s="49"/>
      <c r="BH502" s="49"/>
      <c r="BI502" s="155"/>
      <c r="BJ502" s="155"/>
      <c r="BK502" s="155"/>
      <c r="BL502" s="49"/>
      <c r="BM502" s="49"/>
      <c r="BN502" s="49"/>
      <c r="BO502" s="49"/>
      <c r="BP502" s="49"/>
      <c r="BQ502" s="49"/>
      <c r="BR502" s="49"/>
      <c r="BS502" s="49"/>
      <c r="BT502" s="49"/>
      <c r="BU502" s="49"/>
      <c r="BV502" s="49"/>
      <c r="BW502" s="49"/>
      <c r="BX502" s="49"/>
      <c r="BY502" s="49"/>
      <c r="BZ502" s="49"/>
      <c r="CA502" s="49"/>
      <c r="CB502" s="49"/>
      <c r="CC502" s="49"/>
      <c r="CD502" s="49"/>
      <c r="CE502" s="49"/>
      <c r="CF502" s="49"/>
      <c r="CG502" s="49"/>
      <c r="CH502" s="49"/>
      <c r="CI502" s="49"/>
      <c r="CJ502" s="49"/>
      <c r="CK502" s="49"/>
      <c r="CL502" s="49"/>
      <c r="CM502" s="49"/>
      <c r="CN502" s="49"/>
      <c r="CO502" s="49"/>
      <c r="CP502" s="49"/>
      <c r="CQ502" s="49"/>
      <c r="CR502" s="49"/>
      <c r="CS502" s="49"/>
      <c r="CT502" s="155"/>
      <c r="CU502" s="155"/>
      <c r="CV502" s="155"/>
      <c r="CW502" s="155"/>
      <c r="CX502" s="155"/>
      <c r="CY502" s="155"/>
      <c r="CZ502" s="155"/>
      <c r="DA502" s="155"/>
      <c r="DB502" s="155"/>
      <c r="DC502" s="155"/>
      <c r="DD502" s="155"/>
      <c r="DE502" s="155"/>
      <c r="DF502" s="155"/>
      <c r="DG502" s="155"/>
      <c r="DH502" s="155"/>
      <c r="DI502" s="155"/>
      <c r="DJ502" s="155"/>
      <c r="DK502" s="155"/>
      <c r="DL502" s="155"/>
      <c r="DM502" s="155"/>
      <c r="DN502" s="155"/>
      <c r="DO502" s="155"/>
      <c r="DP502" s="155"/>
      <c r="DQ502" s="155"/>
      <c r="DR502" s="155"/>
      <c r="DS502" s="155"/>
      <c r="DT502" s="155"/>
      <c r="DU502" s="155"/>
      <c r="DV502" s="155"/>
      <c r="DW502" s="155"/>
      <c r="DX502" s="155"/>
    </row>
    <row r="503" spans="1:128" ht="18" customHeight="1">
      <c r="A503" s="155"/>
      <c r="B503" s="155"/>
      <c r="C503" s="155"/>
      <c r="D503" s="155"/>
      <c r="E503" s="155"/>
      <c r="F503" s="155"/>
      <c r="G503" s="155"/>
      <c r="H503" s="155"/>
      <c r="I503" s="270"/>
      <c r="J503" s="270"/>
      <c r="K503" s="270"/>
      <c r="L503" s="270"/>
      <c r="M503" s="270"/>
      <c r="N503" s="270"/>
      <c r="O503" s="155"/>
      <c r="P503" s="155"/>
      <c r="Q503" s="155"/>
      <c r="R503" s="155"/>
      <c r="S503" s="155"/>
      <c r="T503" s="155"/>
      <c r="U503" s="158"/>
      <c r="V503" s="155"/>
      <c r="W503" s="155"/>
      <c r="X503" s="263"/>
      <c r="Y503" s="155"/>
      <c r="Z503" s="155"/>
      <c r="AA503" s="263"/>
      <c r="AB503" s="263"/>
      <c r="AC503" s="155"/>
      <c r="AD503" s="155"/>
      <c r="AE503" s="155"/>
      <c r="AF503" s="155"/>
      <c r="AG503" s="155"/>
      <c r="AH503" s="155"/>
      <c r="AI503" s="155"/>
      <c r="AJ503" s="155"/>
      <c r="AK503" s="155"/>
      <c r="AL503" s="155"/>
      <c r="AM503" s="155"/>
      <c r="AN503" s="155"/>
      <c r="AO503" s="155"/>
      <c r="AP503" s="49"/>
      <c r="AQ503" s="49"/>
      <c r="AR503" s="155"/>
      <c r="AS503" s="155"/>
      <c r="AT503" s="155"/>
      <c r="AU503" s="155"/>
      <c r="AV503" s="155"/>
      <c r="AW503" s="155"/>
      <c r="AX503" s="155"/>
      <c r="AY503" s="155"/>
      <c r="AZ503" s="49"/>
      <c r="BA503" s="49"/>
      <c r="BB503" s="49"/>
      <c r="BC503" s="49"/>
      <c r="BD503" s="49"/>
      <c r="BE503" s="49"/>
      <c r="BF503" s="49"/>
      <c r="BG503" s="49"/>
      <c r="BH503" s="49"/>
      <c r="BI503" s="155"/>
      <c r="BJ503" s="155"/>
      <c r="BK503" s="155"/>
      <c r="BL503" s="49"/>
      <c r="BM503" s="49"/>
      <c r="BN503" s="49"/>
      <c r="BO503" s="49"/>
      <c r="BP503" s="49"/>
      <c r="BQ503" s="49"/>
      <c r="BR503" s="49"/>
      <c r="BS503" s="49"/>
      <c r="BT503" s="49"/>
      <c r="BU503" s="49"/>
      <c r="BV503" s="49"/>
      <c r="BW503" s="49"/>
      <c r="BX503" s="49"/>
      <c r="BY503" s="49"/>
      <c r="BZ503" s="49"/>
      <c r="CA503" s="49"/>
      <c r="CB503" s="49"/>
      <c r="CC503" s="49"/>
      <c r="CD503" s="49"/>
      <c r="CE503" s="49"/>
      <c r="CF503" s="49"/>
      <c r="CG503" s="49"/>
      <c r="CH503" s="49"/>
      <c r="CI503" s="49"/>
      <c r="CJ503" s="49"/>
      <c r="CK503" s="49"/>
      <c r="CL503" s="49"/>
      <c r="CM503" s="49"/>
      <c r="CN503" s="49"/>
      <c r="CO503" s="49"/>
      <c r="CP503" s="49"/>
      <c r="CQ503" s="49"/>
      <c r="CR503" s="49"/>
      <c r="CS503" s="49"/>
      <c r="CT503" s="155"/>
      <c r="CU503" s="155"/>
      <c r="CV503" s="155"/>
      <c r="CW503" s="155"/>
      <c r="CX503" s="155"/>
      <c r="CY503" s="155"/>
      <c r="CZ503" s="155"/>
      <c r="DA503" s="155"/>
      <c r="DB503" s="155"/>
      <c r="DC503" s="155"/>
      <c r="DD503" s="155"/>
      <c r="DE503" s="155"/>
      <c r="DF503" s="155"/>
      <c r="DG503" s="155"/>
      <c r="DH503" s="155"/>
      <c r="DI503" s="155"/>
      <c r="DJ503" s="155"/>
      <c r="DK503" s="155"/>
      <c r="DL503" s="155"/>
      <c r="DM503" s="155"/>
      <c r="DN503" s="155"/>
      <c r="DO503" s="155"/>
      <c r="DP503" s="155"/>
      <c r="DQ503" s="155"/>
      <c r="DR503" s="155"/>
      <c r="DS503" s="155"/>
      <c r="DT503" s="155"/>
      <c r="DU503" s="155"/>
      <c r="DV503" s="155"/>
      <c r="DW503" s="155"/>
      <c r="DX503" s="155"/>
    </row>
    <row r="504" spans="1:128" ht="18" customHeight="1">
      <c r="A504" s="155"/>
      <c r="B504" s="155"/>
      <c r="C504" s="155"/>
      <c r="D504" s="155"/>
      <c r="E504" s="155"/>
      <c r="F504" s="155"/>
      <c r="G504" s="155"/>
      <c r="H504" s="155"/>
      <c r="I504" s="270"/>
      <c r="J504" s="270"/>
      <c r="K504" s="270"/>
      <c r="L504" s="270"/>
      <c r="M504" s="270"/>
      <c r="N504" s="270"/>
      <c r="O504" s="155"/>
      <c r="P504" s="155"/>
      <c r="Q504" s="155"/>
      <c r="R504" s="155"/>
      <c r="S504" s="155"/>
      <c r="T504" s="155"/>
      <c r="U504" s="158"/>
      <c r="V504" s="155"/>
      <c r="W504" s="155"/>
      <c r="X504" s="263"/>
      <c r="Y504" s="155"/>
      <c r="Z504" s="155"/>
      <c r="AA504" s="263"/>
      <c r="AB504" s="263"/>
      <c r="AC504" s="155"/>
      <c r="AD504" s="155"/>
      <c r="AE504" s="155"/>
      <c r="AF504" s="155"/>
      <c r="AG504" s="155"/>
      <c r="AH504" s="155"/>
      <c r="AI504" s="155"/>
      <c r="AJ504" s="155"/>
      <c r="AK504" s="155"/>
      <c r="AL504" s="155"/>
      <c r="AM504" s="155"/>
      <c r="AN504" s="155"/>
      <c r="AO504" s="155"/>
      <c r="AP504" s="49"/>
      <c r="AQ504" s="49"/>
      <c r="AR504" s="155"/>
      <c r="AS504" s="155"/>
      <c r="AT504" s="155"/>
      <c r="AU504" s="155"/>
      <c r="AV504" s="155"/>
      <c r="AW504" s="155"/>
      <c r="AX504" s="155"/>
      <c r="AY504" s="155"/>
      <c r="AZ504" s="49"/>
      <c r="BA504" s="49"/>
      <c r="BB504" s="49"/>
      <c r="BC504" s="49"/>
      <c r="BD504" s="49"/>
      <c r="BE504" s="49"/>
      <c r="BF504" s="49"/>
      <c r="BG504" s="49"/>
      <c r="BH504" s="49"/>
      <c r="BI504" s="155"/>
      <c r="BJ504" s="155"/>
      <c r="BK504" s="155"/>
      <c r="BL504" s="49"/>
      <c r="BM504" s="49"/>
      <c r="BN504" s="49"/>
      <c r="BO504" s="49"/>
      <c r="BP504" s="49"/>
      <c r="BQ504" s="49"/>
      <c r="BR504" s="49"/>
      <c r="BS504" s="49"/>
      <c r="BT504" s="49"/>
      <c r="BU504" s="49"/>
      <c r="BV504" s="49"/>
      <c r="BW504" s="49"/>
      <c r="BX504" s="49"/>
      <c r="BY504" s="49"/>
      <c r="BZ504" s="49"/>
      <c r="CA504" s="49"/>
      <c r="CB504" s="49"/>
      <c r="CC504" s="49"/>
      <c r="CD504" s="49"/>
      <c r="CE504" s="49"/>
      <c r="CF504" s="49"/>
      <c r="CG504" s="49"/>
      <c r="CH504" s="49"/>
      <c r="CI504" s="49"/>
      <c r="CJ504" s="49"/>
      <c r="CK504" s="49"/>
      <c r="CL504" s="49"/>
      <c r="CM504" s="49"/>
      <c r="CN504" s="49"/>
      <c r="CO504" s="49"/>
      <c r="CP504" s="49"/>
      <c r="CQ504" s="49"/>
      <c r="CR504" s="49"/>
      <c r="CS504" s="49"/>
      <c r="CT504" s="155"/>
      <c r="CU504" s="155"/>
      <c r="CV504" s="155"/>
      <c r="CW504" s="155"/>
      <c r="CX504" s="155"/>
      <c r="CY504" s="155"/>
      <c r="CZ504" s="155"/>
      <c r="DA504" s="155"/>
      <c r="DB504" s="155"/>
      <c r="DC504" s="155"/>
      <c r="DD504" s="155"/>
      <c r="DE504" s="155"/>
      <c r="DF504" s="155"/>
      <c r="DG504" s="155"/>
      <c r="DH504" s="155"/>
      <c r="DI504" s="155"/>
      <c r="DJ504" s="155"/>
      <c r="DK504" s="155"/>
      <c r="DL504" s="155"/>
      <c r="DM504" s="155"/>
      <c r="DN504" s="155"/>
      <c r="DO504" s="155"/>
      <c r="DP504" s="155"/>
      <c r="DQ504" s="155"/>
      <c r="DR504" s="155"/>
      <c r="DS504" s="155"/>
      <c r="DT504" s="155"/>
      <c r="DU504" s="155"/>
      <c r="DV504" s="155"/>
      <c r="DW504" s="155"/>
      <c r="DX504" s="155"/>
    </row>
    <row r="505" spans="1:128" ht="18" customHeight="1">
      <c r="A505" s="155"/>
      <c r="B505" s="155"/>
      <c r="C505" s="155"/>
      <c r="D505" s="155"/>
      <c r="E505" s="155"/>
      <c r="F505" s="155"/>
      <c r="G505" s="155"/>
      <c r="H505" s="155"/>
      <c r="I505" s="270"/>
      <c r="J505" s="270"/>
      <c r="K505" s="270"/>
      <c r="L505" s="270"/>
      <c r="M505" s="270"/>
      <c r="N505" s="270"/>
      <c r="O505" s="155"/>
      <c r="P505" s="155"/>
      <c r="Q505" s="155"/>
      <c r="R505" s="155"/>
      <c r="S505" s="155"/>
      <c r="T505" s="155"/>
      <c r="U505" s="158"/>
      <c r="V505" s="155"/>
      <c r="W505" s="155"/>
      <c r="X505" s="263"/>
      <c r="Y505" s="155"/>
      <c r="Z505" s="155"/>
      <c r="AA505" s="263"/>
      <c r="AB505" s="263"/>
      <c r="AC505" s="155"/>
      <c r="AD505" s="155"/>
      <c r="AE505" s="155"/>
      <c r="AF505" s="155"/>
      <c r="AG505" s="155"/>
      <c r="AH505" s="155"/>
      <c r="AI505" s="155"/>
      <c r="AJ505" s="155"/>
      <c r="AK505" s="155"/>
      <c r="AL505" s="155"/>
      <c r="AM505" s="155"/>
      <c r="AN505" s="155"/>
      <c r="AO505" s="155"/>
      <c r="AP505" s="49"/>
      <c r="AQ505" s="49"/>
      <c r="AR505" s="155"/>
      <c r="AS505" s="155"/>
      <c r="AT505" s="155"/>
      <c r="AU505" s="155"/>
      <c r="AV505" s="155"/>
      <c r="AW505" s="155"/>
      <c r="AX505" s="155"/>
      <c r="AY505" s="155"/>
      <c r="AZ505" s="49"/>
      <c r="BA505" s="49"/>
      <c r="BB505" s="49"/>
      <c r="BC505" s="49"/>
      <c r="BD505" s="49"/>
      <c r="BE505" s="49"/>
      <c r="BF505" s="49"/>
      <c r="BG505" s="49"/>
      <c r="BH505" s="49"/>
      <c r="BI505" s="155"/>
      <c r="BJ505" s="155"/>
      <c r="BK505" s="155"/>
      <c r="BL505" s="49"/>
      <c r="BM505" s="49"/>
      <c r="BN505" s="49"/>
      <c r="BO505" s="49"/>
      <c r="BP505" s="49"/>
      <c r="BQ505" s="49"/>
      <c r="BR505" s="49"/>
      <c r="BS505" s="49"/>
      <c r="BT505" s="49"/>
      <c r="BU505" s="49"/>
      <c r="BV505" s="49"/>
      <c r="BW505" s="49"/>
      <c r="BX505" s="49"/>
      <c r="BY505" s="49"/>
      <c r="BZ505" s="49"/>
      <c r="CA505" s="49"/>
      <c r="CB505" s="49"/>
      <c r="CC505" s="49"/>
      <c r="CD505" s="49"/>
      <c r="CE505" s="49"/>
      <c r="CF505" s="49"/>
      <c r="CG505" s="49"/>
      <c r="CH505" s="49"/>
      <c r="CI505" s="49"/>
      <c r="CJ505" s="49"/>
      <c r="CK505" s="49"/>
      <c r="CL505" s="49"/>
      <c r="CM505" s="49"/>
      <c r="CN505" s="49"/>
      <c r="CO505" s="49"/>
      <c r="CP505" s="49"/>
      <c r="CQ505" s="49"/>
      <c r="CR505" s="49"/>
      <c r="CS505" s="49"/>
      <c r="CT505" s="155"/>
      <c r="CU505" s="155"/>
      <c r="CV505" s="155"/>
      <c r="CW505" s="155"/>
      <c r="CX505" s="155"/>
      <c r="CY505" s="155"/>
      <c r="CZ505" s="155"/>
      <c r="DA505" s="155"/>
      <c r="DB505" s="155"/>
      <c r="DC505" s="155"/>
      <c r="DD505" s="155"/>
      <c r="DE505" s="155"/>
      <c r="DF505" s="155"/>
      <c r="DG505" s="155"/>
      <c r="DH505" s="155"/>
      <c r="DI505" s="155"/>
      <c r="DJ505" s="155"/>
      <c r="DK505" s="155"/>
      <c r="DL505" s="155"/>
      <c r="DM505" s="155"/>
      <c r="DN505" s="155"/>
      <c r="DO505" s="155"/>
      <c r="DP505" s="155"/>
      <c r="DQ505" s="155"/>
      <c r="DR505" s="155"/>
      <c r="DS505" s="155"/>
      <c r="DT505" s="155"/>
      <c r="DU505" s="155"/>
      <c r="DV505" s="155"/>
      <c r="DW505" s="155"/>
      <c r="DX505" s="155"/>
    </row>
    <row r="506" spans="1:128" ht="18" customHeight="1">
      <c r="A506" s="155"/>
      <c r="B506" s="155"/>
      <c r="C506" s="155"/>
      <c r="D506" s="155"/>
      <c r="E506" s="155"/>
      <c r="F506" s="155"/>
      <c r="G506" s="155"/>
      <c r="H506" s="155"/>
      <c r="I506" s="270"/>
      <c r="J506" s="270"/>
      <c r="K506" s="270"/>
      <c r="L506" s="270"/>
      <c r="M506" s="270"/>
      <c r="N506" s="270"/>
      <c r="O506" s="155"/>
      <c r="P506" s="155"/>
      <c r="Q506" s="155"/>
      <c r="R506" s="155"/>
      <c r="S506" s="155"/>
      <c r="T506" s="155"/>
      <c r="U506" s="158"/>
      <c r="V506" s="155"/>
      <c r="W506" s="155"/>
      <c r="X506" s="263"/>
      <c r="Y506" s="155"/>
      <c r="Z506" s="155"/>
      <c r="AA506" s="263"/>
      <c r="AB506" s="263"/>
      <c r="AC506" s="155"/>
      <c r="AD506" s="155"/>
      <c r="AE506" s="155"/>
      <c r="AF506" s="155"/>
      <c r="AG506" s="155"/>
      <c r="AH506" s="155"/>
      <c r="AI506" s="155"/>
      <c r="AJ506" s="155"/>
      <c r="AK506" s="155"/>
      <c r="AL506" s="155"/>
      <c r="AM506" s="155"/>
      <c r="AN506" s="155"/>
      <c r="AO506" s="155"/>
      <c r="AP506" s="49"/>
      <c r="AQ506" s="49"/>
      <c r="AR506" s="155"/>
      <c r="AS506" s="155"/>
      <c r="AT506" s="155"/>
      <c r="AU506" s="155"/>
      <c r="AV506" s="155"/>
      <c r="AW506" s="155"/>
      <c r="AX506" s="155"/>
      <c r="AY506" s="155"/>
      <c r="AZ506" s="49"/>
      <c r="BA506" s="49"/>
      <c r="BB506" s="49"/>
      <c r="BC506" s="49"/>
      <c r="BD506" s="49"/>
      <c r="BE506" s="49"/>
      <c r="BF506" s="49"/>
      <c r="BG506" s="49"/>
      <c r="BH506" s="49"/>
      <c r="BI506" s="155"/>
      <c r="BJ506" s="155"/>
      <c r="BK506" s="155"/>
      <c r="BL506" s="49"/>
      <c r="BM506" s="49"/>
      <c r="BN506" s="49"/>
      <c r="BO506" s="49"/>
      <c r="BP506" s="49"/>
      <c r="BQ506" s="49"/>
      <c r="BR506" s="49"/>
      <c r="BS506" s="49"/>
      <c r="BT506" s="49"/>
      <c r="BU506" s="49"/>
      <c r="BV506" s="49"/>
      <c r="BW506" s="49"/>
      <c r="BX506" s="49"/>
      <c r="BY506" s="49"/>
      <c r="BZ506" s="49"/>
      <c r="CA506" s="49"/>
      <c r="CB506" s="49"/>
      <c r="CC506" s="49"/>
      <c r="CD506" s="49"/>
      <c r="CE506" s="49"/>
      <c r="CF506" s="49"/>
      <c r="CG506" s="49"/>
      <c r="CH506" s="49"/>
      <c r="CI506" s="49"/>
      <c r="CJ506" s="49"/>
      <c r="CK506" s="49"/>
      <c r="CL506" s="49"/>
      <c r="CM506" s="49"/>
      <c r="CN506" s="49"/>
      <c r="CO506" s="49"/>
      <c r="CP506" s="49"/>
      <c r="CQ506" s="49"/>
      <c r="CR506" s="49"/>
      <c r="CS506" s="49"/>
      <c r="CT506" s="155"/>
      <c r="CU506" s="155"/>
      <c r="CV506" s="155"/>
      <c r="CW506" s="155"/>
      <c r="CX506" s="155"/>
      <c r="CY506" s="155"/>
      <c r="CZ506" s="155"/>
      <c r="DA506" s="155"/>
      <c r="DB506" s="155"/>
      <c r="DC506" s="155"/>
      <c r="DD506" s="155"/>
      <c r="DE506" s="155"/>
      <c r="DF506" s="155"/>
      <c r="DG506" s="155"/>
      <c r="DH506" s="155"/>
      <c r="DI506" s="155"/>
      <c r="DJ506" s="155"/>
      <c r="DK506" s="155"/>
      <c r="DL506" s="155"/>
      <c r="DM506" s="155"/>
      <c r="DN506" s="155"/>
      <c r="DO506" s="155"/>
      <c r="DP506" s="155"/>
      <c r="DQ506" s="155"/>
      <c r="DR506" s="155"/>
      <c r="DS506" s="155"/>
      <c r="DT506" s="155"/>
      <c r="DU506" s="155"/>
      <c r="DV506" s="155"/>
      <c r="DW506" s="155"/>
      <c r="DX506" s="155"/>
    </row>
    <row r="507" spans="1:128" ht="18" customHeight="1">
      <c r="A507" s="155"/>
      <c r="B507" s="155"/>
      <c r="C507" s="155"/>
      <c r="D507" s="155"/>
      <c r="E507" s="155"/>
      <c r="F507" s="155"/>
      <c r="G507" s="155"/>
      <c r="H507" s="155"/>
      <c r="I507" s="270"/>
      <c r="J507" s="270"/>
      <c r="K507" s="270"/>
      <c r="L507" s="270"/>
      <c r="M507" s="270"/>
      <c r="N507" s="270"/>
      <c r="O507" s="155"/>
      <c r="P507" s="155"/>
      <c r="Q507" s="155"/>
      <c r="R507" s="155"/>
      <c r="S507" s="155"/>
      <c r="T507" s="155"/>
      <c r="U507" s="158"/>
      <c r="V507" s="155"/>
      <c r="W507" s="155"/>
      <c r="X507" s="263"/>
      <c r="Y507" s="155"/>
      <c r="Z507" s="155"/>
      <c r="AA507" s="263"/>
      <c r="AB507" s="263"/>
      <c r="AC507" s="155"/>
      <c r="AD507" s="155"/>
      <c r="AE507" s="155"/>
      <c r="AF507" s="155"/>
      <c r="AG507" s="155"/>
      <c r="AH507" s="155"/>
      <c r="AI507" s="155"/>
      <c r="AJ507" s="155"/>
      <c r="AK507" s="155"/>
      <c r="AL507" s="155"/>
      <c r="AM507" s="155"/>
      <c r="AN507" s="155"/>
      <c r="AO507" s="155"/>
      <c r="AP507" s="49"/>
      <c r="AQ507" s="49"/>
      <c r="AR507" s="155"/>
      <c r="AS507" s="155"/>
      <c r="AT507" s="155"/>
      <c r="AU507" s="155"/>
      <c r="AV507" s="155"/>
      <c r="AW507" s="155"/>
      <c r="AX507" s="155"/>
      <c r="AY507" s="155"/>
      <c r="AZ507" s="49"/>
      <c r="BA507" s="49"/>
      <c r="BB507" s="49"/>
      <c r="BC507" s="49"/>
      <c r="BD507" s="49"/>
      <c r="BE507" s="49"/>
      <c r="BF507" s="49"/>
      <c r="BG507" s="49"/>
      <c r="BH507" s="49"/>
      <c r="BI507" s="155"/>
      <c r="BJ507" s="155"/>
      <c r="BK507" s="155"/>
      <c r="BL507" s="49"/>
      <c r="BM507" s="49"/>
      <c r="BN507" s="49"/>
      <c r="BO507" s="49"/>
      <c r="BP507" s="49"/>
      <c r="BQ507" s="49"/>
      <c r="BR507" s="49"/>
      <c r="BS507" s="49"/>
      <c r="BT507" s="49"/>
      <c r="BU507" s="49"/>
      <c r="BV507" s="49"/>
      <c r="BW507" s="49"/>
      <c r="BX507" s="49"/>
      <c r="BY507" s="49"/>
      <c r="BZ507" s="49"/>
      <c r="CA507" s="49"/>
      <c r="CB507" s="49"/>
      <c r="CC507" s="49"/>
      <c r="CD507" s="49"/>
      <c r="CE507" s="49"/>
      <c r="CF507" s="49"/>
      <c r="CG507" s="49"/>
      <c r="CH507" s="49"/>
      <c r="CI507" s="49"/>
      <c r="CJ507" s="49"/>
      <c r="CK507" s="49"/>
      <c r="CL507" s="49"/>
      <c r="CM507" s="49"/>
      <c r="CN507" s="49"/>
      <c r="CO507" s="49"/>
      <c r="CP507" s="49"/>
      <c r="CQ507" s="49"/>
      <c r="CR507" s="49"/>
      <c r="CS507" s="49"/>
      <c r="CT507" s="155"/>
      <c r="CU507" s="155"/>
      <c r="CV507" s="155"/>
      <c r="CW507" s="155"/>
      <c r="CX507" s="155"/>
      <c r="CY507" s="155"/>
      <c r="CZ507" s="155"/>
      <c r="DA507" s="155"/>
      <c r="DB507" s="155"/>
      <c r="DC507" s="155"/>
      <c r="DD507" s="155"/>
      <c r="DE507" s="155"/>
      <c r="DF507" s="155"/>
      <c r="DG507" s="155"/>
      <c r="DH507" s="155"/>
      <c r="DI507" s="155"/>
      <c r="DJ507" s="155"/>
      <c r="DK507" s="155"/>
      <c r="DL507" s="155"/>
      <c r="DM507" s="155"/>
      <c r="DN507" s="155"/>
      <c r="DO507" s="155"/>
      <c r="DP507" s="155"/>
      <c r="DQ507" s="155"/>
      <c r="DR507" s="155"/>
      <c r="DS507" s="155"/>
      <c r="DT507" s="155"/>
      <c r="DU507" s="155"/>
      <c r="DV507" s="155"/>
      <c r="DW507" s="155"/>
      <c r="DX507" s="155"/>
    </row>
    <row r="508" spans="1:128" ht="18" customHeight="1">
      <c r="A508" s="155"/>
      <c r="B508" s="155"/>
      <c r="C508" s="155"/>
      <c r="D508" s="155"/>
      <c r="E508" s="155"/>
      <c r="F508" s="155"/>
      <c r="G508" s="155"/>
      <c r="H508" s="155"/>
      <c r="I508" s="270"/>
      <c r="J508" s="270"/>
      <c r="K508" s="270"/>
      <c r="L508" s="270"/>
      <c r="M508" s="270"/>
      <c r="N508" s="270"/>
      <c r="O508" s="155"/>
      <c r="P508" s="155"/>
      <c r="Q508" s="155"/>
      <c r="R508" s="155"/>
      <c r="S508" s="155"/>
      <c r="T508" s="155"/>
      <c r="U508" s="158"/>
      <c r="V508" s="155"/>
      <c r="W508" s="155"/>
      <c r="X508" s="263"/>
      <c r="Y508" s="155"/>
      <c r="Z508" s="155"/>
      <c r="AA508" s="263"/>
      <c r="AB508" s="263"/>
      <c r="AC508" s="155"/>
      <c r="AD508" s="155"/>
      <c r="AE508" s="155"/>
      <c r="AF508" s="155"/>
      <c r="AG508" s="155"/>
      <c r="AH508" s="155"/>
      <c r="AI508" s="155"/>
      <c r="AJ508" s="155"/>
      <c r="AK508" s="155"/>
      <c r="AL508" s="155"/>
      <c r="AM508" s="155"/>
      <c r="AN508" s="155"/>
      <c r="AO508" s="155"/>
      <c r="AP508" s="49"/>
      <c r="AQ508" s="49"/>
      <c r="AR508" s="155"/>
      <c r="AS508" s="155"/>
      <c r="AT508" s="155"/>
      <c r="AU508" s="155"/>
      <c r="AV508" s="155"/>
      <c r="AW508" s="155"/>
      <c r="AX508" s="155"/>
      <c r="AY508" s="155"/>
      <c r="AZ508" s="49"/>
      <c r="BA508" s="49"/>
      <c r="BB508" s="49"/>
      <c r="BC508" s="49"/>
      <c r="BD508" s="49"/>
      <c r="BE508" s="49"/>
      <c r="BF508" s="49"/>
      <c r="BG508" s="49"/>
      <c r="BH508" s="49"/>
      <c r="BI508" s="155"/>
      <c r="BJ508" s="155"/>
      <c r="BK508" s="155"/>
      <c r="BL508" s="49"/>
      <c r="BM508" s="49"/>
      <c r="BN508" s="49"/>
      <c r="BO508" s="49"/>
      <c r="BP508" s="49"/>
      <c r="BQ508" s="49"/>
      <c r="BR508" s="49"/>
      <c r="BS508" s="49"/>
      <c r="BT508" s="49"/>
      <c r="BU508" s="49"/>
      <c r="BV508" s="49"/>
      <c r="BW508" s="49"/>
      <c r="BX508" s="49"/>
      <c r="BY508" s="49"/>
      <c r="BZ508" s="49"/>
      <c r="CA508" s="49"/>
      <c r="CB508" s="49"/>
      <c r="CC508" s="49"/>
      <c r="CD508" s="49"/>
      <c r="CE508" s="49"/>
      <c r="CF508" s="49"/>
      <c r="CG508" s="49"/>
      <c r="CH508" s="49"/>
      <c r="CI508" s="49"/>
      <c r="CJ508" s="49"/>
      <c r="CK508" s="49"/>
      <c r="CL508" s="49"/>
      <c r="CM508" s="49"/>
      <c r="CN508" s="49"/>
      <c r="CO508" s="49"/>
      <c r="CP508" s="49"/>
      <c r="CQ508" s="49"/>
      <c r="CR508" s="49"/>
      <c r="CS508" s="49"/>
      <c r="CT508" s="155"/>
      <c r="CU508" s="155"/>
      <c r="CV508" s="155"/>
      <c r="CW508" s="155"/>
      <c r="CX508" s="155"/>
      <c r="CY508" s="155"/>
      <c r="CZ508" s="155"/>
      <c r="DA508" s="155"/>
      <c r="DB508" s="155"/>
      <c r="DC508" s="155"/>
      <c r="DD508" s="155"/>
      <c r="DE508" s="155"/>
      <c r="DF508" s="155"/>
      <c r="DG508" s="155"/>
      <c r="DH508" s="155"/>
      <c r="DI508" s="155"/>
      <c r="DJ508" s="155"/>
      <c r="DK508" s="155"/>
      <c r="DL508" s="155"/>
      <c r="DM508" s="155"/>
      <c r="DN508" s="155"/>
      <c r="DO508" s="155"/>
      <c r="DP508" s="155"/>
      <c r="DQ508" s="155"/>
      <c r="DR508" s="155"/>
      <c r="DS508" s="155"/>
      <c r="DT508" s="155"/>
      <c r="DU508" s="155"/>
      <c r="DV508" s="155"/>
      <c r="DW508" s="155"/>
      <c r="DX508" s="155"/>
    </row>
    <row r="509" spans="1:128" ht="18" customHeight="1">
      <c r="A509" s="155"/>
      <c r="B509" s="155"/>
      <c r="C509" s="155"/>
      <c r="D509" s="155"/>
      <c r="E509" s="155"/>
      <c r="F509" s="155"/>
      <c r="G509" s="155"/>
      <c r="H509" s="155"/>
      <c r="I509" s="270"/>
      <c r="J509" s="270"/>
      <c r="K509" s="270"/>
      <c r="L509" s="270"/>
      <c r="M509" s="270"/>
      <c r="N509" s="270"/>
      <c r="O509" s="155"/>
      <c r="P509" s="155"/>
      <c r="Q509" s="155"/>
      <c r="R509" s="155"/>
      <c r="S509" s="155"/>
      <c r="T509" s="155"/>
      <c r="U509" s="158"/>
      <c r="V509" s="155"/>
      <c r="W509" s="155"/>
      <c r="X509" s="263"/>
      <c r="Y509" s="155"/>
      <c r="Z509" s="155"/>
      <c r="AA509" s="263"/>
      <c r="AB509" s="263"/>
      <c r="AC509" s="155"/>
      <c r="AD509" s="155"/>
      <c r="AE509" s="155"/>
      <c r="AF509" s="155"/>
      <c r="AG509" s="155"/>
      <c r="AH509" s="155"/>
      <c r="AI509" s="155"/>
      <c r="AJ509" s="155"/>
      <c r="AK509" s="155"/>
      <c r="AL509" s="155"/>
      <c r="AM509" s="155"/>
      <c r="AN509" s="155"/>
      <c r="AO509" s="155"/>
      <c r="AP509" s="49"/>
      <c r="AQ509" s="49"/>
      <c r="AR509" s="155"/>
      <c r="AS509" s="155"/>
      <c r="AT509" s="155"/>
      <c r="AU509" s="155"/>
      <c r="AV509" s="155"/>
      <c r="AW509" s="155"/>
      <c r="AX509" s="155"/>
      <c r="AY509" s="155"/>
      <c r="AZ509" s="49"/>
      <c r="BA509" s="49"/>
      <c r="BB509" s="49"/>
      <c r="BC509" s="49"/>
      <c r="BD509" s="49"/>
      <c r="BE509" s="49"/>
      <c r="BF509" s="49"/>
      <c r="BG509" s="49"/>
      <c r="BH509" s="49"/>
      <c r="BI509" s="155"/>
      <c r="BJ509" s="155"/>
      <c r="BK509" s="155"/>
      <c r="BL509" s="49"/>
      <c r="BM509" s="49"/>
      <c r="BN509" s="49"/>
      <c r="BO509" s="49"/>
      <c r="BP509" s="49"/>
      <c r="BQ509" s="49"/>
      <c r="BR509" s="49"/>
      <c r="BS509" s="49"/>
      <c r="BT509" s="49"/>
      <c r="BU509" s="49"/>
      <c r="BV509" s="49"/>
      <c r="BW509" s="49"/>
      <c r="BX509" s="49"/>
      <c r="BY509" s="49"/>
      <c r="BZ509" s="49"/>
      <c r="CA509" s="49"/>
      <c r="CB509" s="49"/>
      <c r="CC509" s="49"/>
      <c r="CD509" s="49"/>
      <c r="CE509" s="49"/>
      <c r="CF509" s="49"/>
      <c r="CG509" s="49"/>
      <c r="CH509" s="49"/>
      <c r="CI509" s="49"/>
      <c r="CJ509" s="49"/>
      <c r="CK509" s="49"/>
      <c r="CL509" s="49"/>
      <c r="CM509" s="49"/>
      <c r="CN509" s="49"/>
      <c r="CO509" s="49"/>
      <c r="CP509" s="49"/>
      <c r="CQ509" s="49"/>
      <c r="CR509" s="49"/>
      <c r="CS509" s="49"/>
      <c r="CT509" s="155"/>
      <c r="CU509" s="155"/>
      <c r="CV509" s="155"/>
      <c r="CW509" s="155"/>
      <c r="CX509" s="155"/>
      <c r="CY509" s="155"/>
      <c r="CZ509" s="155"/>
      <c r="DA509" s="155"/>
      <c r="DB509" s="155"/>
      <c r="DC509" s="155"/>
      <c r="DD509" s="155"/>
      <c r="DE509" s="155"/>
      <c r="DF509" s="155"/>
      <c r="DG509" s="155"/>
      <c r="DH509" s="155"/>
      <c r="DI509" s="155"/>
      <c r="DJ509" s="155"/>
      <c r="DK509" s="155"/>
      <c r="DL509" s="155"/>
      <c r="DM509" s="155"/>
      <c r="DN509" s="155"/>
      <c r="DO509" s="155"/>
      <c r="DP509" s="155"/>
      <c r="DQ509" s="155"/>
      <c r="DR509" s="155"/>
      <c r="DS509" s="155"/>
      <c r="DT509" s="155"/>
      <c r="DU509" s="155"/>
      <c r="DV509" s="155"/>
      <c r="DW509" s="155"/>
      <c r="DX509" s="155"/>
    </row>
    <row r="510" spans="1:128" ht="18" customHeight="1">
      <c r="A510" s="155"/>
      <c r="B510" s="155"/>
      <c r="C510" s="155"/>
      <c r="D510" s="155"/>
      <c r="E510" s="155"/>
      <c r="F510" s="155"/>
      <c r="G510" s="155"/>
      <c r="H510" s="155"/>
      <c r="I510" s="270"/>
      <c r="J510" s="270"/>
      <c r="K510" s="270"/>
      <c r="L510" s="270"/>
      <c r="M510" s="270"/>
      <c r="N510" s="270"/>
      <c r="O510" s="155"/>
      <c r="P510" s="155"/>
      <c r="Q510" s="155"/>
      <c r="R510" s="155"/>
      <c r="S510" s="155"/>
      <c r="T510" s="155"/>
      <c r="U510" s="158"/>
      <c r="V510" s="155"/>
      <c r="W510" s="155"/>
      <c r="X510" s="263"/>
      <c r="Y510" s="155"/>
      <c r="Z510" s="155"/>
      <c r="AA510" s="263"/>
      <c r="AB510" s="263"/>
      <c r="AC510" s="155"/>
      <c r="AD510" s="155"/>
      <c r="AE510" s="155"/>
      <c r="AF510" s="155"/>
      <c r="AG510" s="155"/>
      <c r="AH510" s="155"/>
      <c r="AI510" s="155"/>
      <c r="AJ510" s="155"/>
      <c r="AK510" s="155"/>
      <c r="AL510" s="155"/>
      <c r="AM510" s="155"/>
      <c r="AN510" s="155"/>
      <c r="AO510" s="155"/>
      <c r="AP510" s="49"/>
      <c r="AQ510" s="49"/>
      <c r="AR510" s="155"/>
      <c r="AS510" s="155"/>
      <c r="AT510" s="155"/>
      <c r="AU510" s="155"/>
      <c r="AV510" s="155"/>
      <c r="AW510" s="155"/>
      <c r="AX510" s="155"/>
      <c r="AY510" s="155"/>
      <c r="AZ510" s="49"/>
      <c r="BA510" s="49"/>
      <c r="BB510" s="49"/>
      <c r="BC510" s="49"/>
      <c r="BD510" s="49"/>
      <c r="BE510" s="49"/>
      <c r="BF510" s="49"/>
      <c r="BG510" s="49"/>
      <c r="BH510" s="49"/>
      <c r="BI510" s="155"/>
      <c r="BJ510" s="155"/>
      <c r="BK510" s="155"/>
      <c r="BL510" s="49"/>
      <c r="BM510" s="49"/>
      <c r="BN510" s="49"/>
      <c r="BO510" s="49"/>
      <c r="BP510" s="49"/>
      <c r="BQ510" s="49"/>
      <c r="BR510" s="49"/>
      <c r="BS510" s="49"/>
      <c r="BT510" s="49"/>
      <c r="BU510" s="49"/>
      <c r="BV510" s="49"/>
      <c r="BW510" s="49"/>
      <c r="BX510" s="49"/>
      <c r="BY510" s="49"/>
      <c r="BZ510" s="49"/>
      <c r="CA510" s="49"/>
      <c r="CB510" s="49"/>
      <c r="CC510" s="49"/>
      <c r="CD510" s="49"/>
      <c r="CE510" s="49"/>
      <c r="CF510" s="49"/>
      <c r="CG510" s="49"/>
      <c r="CH510" s="49"/>
      <c r="CI510" s="49"/>
      <c r="CJ510" s="49"/>
      <c r="CK510" s="49"/>
      <c r="CL510" s="49"/>
      <c r="CM510" s="49"/>
      <c r="CN510" s="49"/>
      <c r="CO510" s="49"/>
      <c r="CP510" s="49"/>
      <c r="CQ510" s="49"/>
      <c r="CR510" s="49"/>
      <c r="CS510" s="49"/>
      <c r="CT510" s="155"/>
      <c r="CU510" s="155"/>
      <c r="CV510" s="155"/>
      <c r="CW510" s="155"/>
      <c r="CX510" s="155"/>
      <c r="CY510" s="155"/>
      <c r="CZ510" s="155"/>
      <c r="DA510" s="155"/>
      <c r="DB510" s="155"/>
      <c r="DC510" s="155"/>
      <c r="DD510" s="155"/>
      <c r="DE510" s="155"/>
      <c r="DF510" s="155"/>
      <c r="DG510" s="155"/>
      <c r="DH510" s="155"/>
      <c r="DI510" s="155"/>
      <c r="DJ510" s="155"/>
      <c r="DK510" s="155"/>
      <c r="DL510" s="155"/>
      <c r="DM510" s="155"/>
      <c r="DN510" s="155"/>
      <c r="DO510" s="155"/>
      <c r="DP510" s="155"/>
      <c r="DQ510" s="155"/>
      <c r="DR510" s="155"/>
      <c r="DS510" s="155"/>
      <c r="DT510" s="155"/>
      <c r="DU510" s="155"/>
      <c r="DV510" s="155"/>
      <c r="DW510" s="155"/>
      <c r="DX510" s="155"/>
    </row>
    <row r="511" spans="1:128" ht="18" customHeight="1">
      <c r="A511" s="155"/>
      <c r="B511" s="155"/>
      <c r="C511" s="155"/>
      <c r="D511" s="155"/>
      <c r="E511" s="155"/>
      <c r="F511" s="155"/>
      <c r="G511" s="155"/>
      <c r="H511" s="155"/>
      <c r="I511" s="270"/>
      <c r="J511" s="270"/>
      <c r="K511" s="270"/>
      <c r="L511" s="270"/>
      <c r="M511" s="270"/>
      <c r="N511" s="270"/>
      <c r="O511" s="155"/>
      <c r="P511" s="155"/>
      <c r="Q511" s="155"/>
      <c r="R511" s="155"/>
      <c r="S511" s="155"/>
      <c r="T511" s="155"/>
      <c r="U511" s="158"/>
      <c r="V511" s="155"/>
      <c r="W511" s="155"/>
      <c r="X511" s="263"/>
      <c r="Y511" s="155"/>
      <c r="Z511" s="155"/>
      <c r="AA511" s="263"/>
      <c r="AB511" s="263"/>
      <c r="AC511" s="155"/>
      <c r="AD511" s="155"/>
      <c r="AE511" s="155"/>
      <c r="AF511" s="155"/>
      <c r="AG511" s="155"/>
      <c r="AH511" s="155"/>
      <c r="AI511" s="155"/>
      <c r="AJ511" s="155"/>
      <c r="AK511" s="155"/>
      <c r="AL511" s="155"/>
      <c r="AM511" s="155"/>
      <c r="AN511" s="155"/>
      <c r="AO511" s="155"/>
      <c r="AP511" s="49"/>
      <c r="AQ511" s="49"/>
      <c r="AR511" s="155"/>
      <c r="AS511" s="155"/>
      <c r="AT511" s="155"/>
      <c r="AU511" s="155"/>
      <c r="AV511" s="155"/>
      <c r="AW511" s="155"/>
      <c r="AX511" s="155"/>
      <c r="AY511" s="155"/>
      <c r="AZ511" s="49"/>
      <c r="BA511" s="49"/>
      <c r="BB511" s="49"/>
      <c r="BC511" s="49"/>
      <c r="BD511" s="49"/>
      <c r="BE511" s="49"/>
      <c r="BF511" s="49"/>
      <c r="BG511" s="49"/>
      <c r="BH511" s="49"/>
      <c r="BI511" s="155"/>
      <c r="BJ511" s="155"/>
      <c r="BK511" s="155"/>
      <c r="BL511" s="49"/>
      <c r="BM511" s="49"/>
      <c r="BN511" s="49"/>
      <c r="BO511" s="49"/>
      <c r="BP511" s="49"/>
      <c r="BQ511" s="49"/>
      <c r="BR511" s="49"/>
      <c r="BS511" s="49"/>
      <c r="BT511" s="49"/>
      <c r="BU511" s="49"/>
      <c r="BV511" s="49"/>
      <c r="BW511" s="49"/>
      <c r="BX511" s="49"/>
      <c r="BY511" s="49"/>
      <c r="BZ511" s="49"/>
      <c r="CA511" s="49"/>
      <c r="CB511" s="49"/>
      <c r="CC511" s="49"/>
      <c r="CD511" s="49"/>
      <c r="CE511" s="49"/>
      <c r="CF511" s="49"/>
      <c r="CG511" s="49"/>
      <c r="CH511" s="49"/>
      <c r="CI511" s="49"/>
      <c r="CJ511" s="49"/>
      <c r="CK511" s="49"/>
      <c r="CL511" s="49"/>
      <c r="CM511" s="49"/>
      <c r="CN511" s="49"/>
      <c r="CO511" s="49"/>
      <c r="CP511" s="49"/>
      <c r="CQ511" s="49"/>
      <c r="CR511" s="49"/>
      <c r="CS511" s="49"/>
      <c r="CT511" s="155"/>
      <c r="CU511" s="155"/>
      <c r="CV511" s="155"/>
      <c r="CW511" s="155"/>
      <c r="CX511" s="155"/>
      <c r="CY511" s="155"/>
      <c r="CZ511" s="155"/>
      <c r="DA511" s="155"/>
      <c r="DB511" s="155"/>
      <c r="DC511" s="155"/>
      <c r="DD511" s="155"/>
      <c r="DE511" s="155"/>
      <c r="DF511" s="155"/>
      <c r="DG511" s="155"/>
      <c r="DH511" s="155"/>
      <c r="DI511" s="155"/>
      <c r="DJ511" s="155"/>
      <c r="DK511" s="155"/>
      <c r="DL511" s="155"/>
      <c r="DM511" s="155"/>
      <c r="DN511" s="155"/>
      <c r="DO511" s="155"/>
      <c r="DP511" s="155"/>
      <c r="DQ511" s="155"/>
      <c r="DR511" s="155"/>
      <c r="DS511" s="155"/>
      <c r="DT511" s="155"/>
      <c r="DU511" s="155"/>
      <c r="DV511" s="155"/>
      <c r="DW511" s="155"/>
      <c r="DX511" s="155"/>
    </row>
    <row r="512" spans="1:128" ht="18" customHeight="1">
      <c r="A512" s="155"/>
      <c r="B512" s="155"/>
      <c r="C512" s="155"/>
      <c r="D512" s="155"/>
      <c r="E512" s="155"/>
      <c r="F512" s="155"/>
      <c r="G512" s="155"/>
      <c r="H512" s="155"/>
      <c r="I512" s="270"/>
      <c r="J512" s="270"/>
      <c r="K512" s="270"/>
      <c r="L512" s="270"/>
      <c r="M512" s="270"/>
      <c r="N512" s="270"/>
      <c r="O512" s="155"/>
      <c r="P512" s="155"/>
      <c r="Q512" s="155"/>
      <c r="R512" s="155"/>
      <c r="S512" s="155"/>
      <c r="T512" s="155"/>
      <c r="U512" s="158"/>
      <c r="V512" s="155"/>
      <c r="W512" s="155"/>
      <c r="X512" s="263"/>
      <c r="Y512" s="155"/>
      <c r="Z512" s="155"/>
      <c r="AA512" s="263"/>
      <c r="AB512" s="263"/>
      <c r="AC512" s="155"/>
      <c r="AD512" s="155"/>
      <c r="AE512" s="155"/>
      <c r="AF512" s="155"/>
      <c r="AG512" s="155"/>
      <c r="AH512" s="155"/>
      <c r="AI512" s="155"/>
      <c r="AJ512" s="155"/>
      <c r="AK512" s="155"/>
      <c r="AL512" s="155"/>
      <c r="AM512" s="155"/>
      <c r="AN512" s="155"/>
      <c r="AO512" s="155"/>
      <c r="AP512" s="49"/>
      <c r="AQ512" s="49"/>
      <c r="AR512" s="155"/>
      <c r="AS512" s="155"/>
      <c r="AT512" s="155"/>
      <c r="AU512" s="155"/>
      <c r="AV512" s="155"/>
      <c r="AW512" s="155"/>
      <c r="AX512" s="155"/>
      <c r="AY512" s="155"/>
      <c r="AZ512" s="49"/>
      <c r="BA512" s="49"/>
      <c r="BB512" s="49"/>
      <c r="BC512" s="49"/>
      <c r="BD512" s="49"/>
      <c r="BE512" s="49"/>
      <c r="BF512" s="49"/>
      <c r="BG512" s="49"/>
      <c r="BH512" s="49"/>
      <c r="BI512" s="155"/>
      <c r="BJ512" s="155"/>
      <c r="BK512" s="155"/>
      <c r="BL512" s="49"/>
      <c r="BM512" s="49"/>
      <c r="BN512" s="49"/>
      <c r="BO512" s="49"/>
      <c r="BP512" s="49"/>
      <c r="BQ512" s="49"/>
      <c r="BR512" s="49"/>
      <c r="BS512" s="49"/>
      <c r="BT512" s="49"/>
      <c r="BU512" s="49"/>
      <c r="BV512" s="49"/>
      <c r="BW512" s="49"/>
      <c r="BX512" s="49"/>
      <c r="BY512" s="49"/>
      <c r="BZ512" s="49"/>
      <c r="CA512" s="49"/>
      <c r="CB512" s="49"/>
      <c r="CC512" s="49"/>
      <c r="CD512" s="49"/>
      <c r="CE512" s="49"/>
      <c r="CF512" s="49"/>
      <c r="CG512" s="49"/>
      <c r="CH512" s="49"/>
      <c r="CI512" s="49"/>
      <c r="CJ512" s="49"/>
      <c r="CK512" s="49"/>
      <c r="CL512" s="49"/>
      <c r="CM512" s="49"/>
      <c r="CN512" s="49"/>
      <c r="CO512" s="49"/>
      <c r="CP512" s="49"/>
      <c r="CQ512" s="49"/>
      <c r="CR512" s="49"/>
      <c r="CS512" s="49"/>
      <c r="CT512" s="155"/>
      <c r="CU512" s="155"/>
      <c r="CV512" s="155"/>
      <c r="CW512" s="155"/>
      <c r="CX512" s="155"/>
      <c r="CY512" s="155"/>
      <c r="CZ512" s="155"/>
      <c r="DA512" s="155"/>
      <c r="DB512" s="155"/>
      <c r="DC512" s="155"/>
      <c r="DD512" s="155"/>
      <c r="DE512" s="155"/>
      <c r="DF512" s="155"/>
      <c r="DG512" s="155"/>
      <c r="DH512" s="155"/>
      <c r="DI512" s="155"/>
      <c r="DJ512" s="155"/>
      <c r="DK512" s="155"/>
      <c r="DL512" s="155"/>
      <c r="DM512" s="155"/>
      <c r="DN512" s="155"/>
      <c r="DO512" s="155"/>
      <c r="DP512" s="155"/>
      <c r="DQ512" s="155"/>
      <c r="DR512" s="155"/>
      <c r="DS512" s="155"/>
      <c r="DT512" s="155"/>
      <c r="DU512" s="155"/>
      <c r="DV512" s="155"/>
      <c r="DW512" s="155"/>
      <c r="DX512" s="155"/>
    </row>
    <row r="513" spans="1:128" ht="18" customHeight="1">
      <c r="A513" s="155"/>
      <c r="B513" s="155"/>
      <c r="C513" s="155"/>
      <c r="D513" s="155"/>
      <c r="E513" s="155"/>
      <c r="F513" s="155"/>
      <c r="G513" s="155"/>
      <c r="H513" s="155"/>
      <c r="I513" s="270"/>
      <c r="J513" s="270"/>
      <c r="K513" s="270"/>
      <c r="L513" s="270"/>
      <c r="M513" s="270"/>
      <c r="N513" s="270"/>
      <c r="O513" s="155"/>
      <c r="P513" s="155"/>
      <c r="Q513" s="155"/>
      <c r="R513" s="155"/>
      <c r="S513" s="155"/>
      <c r="T513" s="155"/>
      <c r="U513" s="158"/>
      <c r="V513" s="155"/>
      <c r="W513" s="155"/>
      <c r="X513" s="263"/>
      <c r="Y513" s="155"/>
      <c r="Z513" s="155"/>
      <c r="AA513" s="263"/>
      <c r="AB513" s="263"/>
      <c r="AC513" s="155"/>
      <c r="AD513" s="155"/>
      <c r="AE513" s="155"/>
      <c r="AF513" s="155"/>
      <c r="AG513" s="155"/>
      <c r="AH513" s="155"/>
      <c r="AI513" s="155"/>
      <c r="AJ513" s="155"/>
      <c r="AK513" s="155"/>
      <c r="AL513" s="155"/>
      <c r="AM513" s="155"/>
      <c r="AN513" s="155"/>
      <c r="AO513" s="155"/>
      <c r="AP513" s="49"/>
      <c r="AQ513" s="49"/>
      <c r="AR513" s="155"/>
      <c r="AS513" s="155"/>
      <c r="AT513" s="155"/>
      <c r="AU513" s="155"/>
      <c r="AV513" s="155"/>
      <c r="AW513" s="155"/>
      <c r="AX513" s="155"/>
      <c r="AY513" s="155"/>
      <c r="AZ513" s="49"/>
      <c r="BA513" s="49"/>
      <c r="BB513" s="49"/>
      <c r="BC513" s="49"/>
      <c r="BD513" s="49"/>
      <c r="BE513" s="49"/>
      <c r="BF513" s="49"/>
      <c r="BG513" s="49"/>
      <c r="BH513" s="49"/>
      <c r="BI513" s="155"/>
      <c r="BJ513" s="155"/>
      <c r="BK513" s="155"/>
      <c r="BL513" s="49"/>
      <c r="BM513" s="49"/>
      <c r="BN513" s="49"/>
      <c r="BO513" s="49"/>
      <c r="BP513" s="49"/>
      <c r="BQ513" s="49"/>
      <c r="BR513" s="49"/>
      <c r="BS513" s="49"/>
      <c r="BT513" s="49"/>
      <c r="BU513" s="49"/>
      <c r="BV513" s="49"/>
      <c r="BW513" s="49"/>
      <c r="BX513" s="49"/>
      <c r="BY513" s="49"/>
      <c r="BZ513" s="49"/>
      <c r="CA513" s="49"/>
      <c r="CB513" s="49"/>
      <c r="CC513" s="49"/>
      <c r="CD513" s="49"/>
      <c r="CE513" s="49"/>
      <c r="CF513" s="49"/>
      <c r="CG513" s="49"/>
      <c r="CH513" s="49"/>
      <c r="CI513" s="49"/>
      <c r="CJ513" s="49"/>
      <c r="CK513" s="49"/>
      <c r="CL513" s="49"/>
      <c r="CM513" s="49"/>
      <c r="CN513" s="49"/>
      <c r="CO513" s="49"/>
      <c r="CP513" s="49"/>
      <c r="CQ513" s="49"/>
      <c r="CR513" s="49"/>
      <c r="CS513" s="49"/>
      <c r="CT513" s="155"/>
      <c r="CU513" s="155"/>
      <c r="CV513" s="155"/>
      <c r="CW513" s="155"/>
      <c r="CX513" s="155"/>
      <c r="CY513" s="155"/>
      <c r="CZ513" s="155"/>
      <c r="DA513" s="155"/>
      <c r="DB513" s="155"/>
      <c r="DC513" s="155"/>
      <c r="DD513" s="155"/>
      <c r="DE513" s="155"/>
      <c r="DF513" s="155"/>
      <c r="DG513" s="155"/>
      <c r="DH513" s="155"/>
      <c r="DI513" s="155"/>
      <c r="DJ513" s="155"/>
      <c r="DK513" s="155"/>
      <c r="DL513" s="155"/>
      <c r="DM513" s="155"/>
      <c r="DN513" s="155"/>
      <c r="DO513" s="155"/>
      <c r="DP513" s="155"/>
      <c r="DQ513" s="155"/>
      <c r="DR513" s="155"/>
      <c r="DS513" s="155"/>
      <c r="DT513" s="155"/>
      <c r="DU513" s="155"/>
      <c r="DV513" s="155"/>
      <c r="DW513" s="155"/>
      <c r="DX513" s="155"/>
    </row>
    <row r="514" spans="1:128" ht="18" customHeight="1">
      <c r="A514" s="155"/>
      <c r="B514" s="155"/>
      <c r="C514" s="155"/>
      <c r="D514" s="155"/>
      <c r="E514" s="155"/>
      <c r="F514" s="155"/>
      <c r="G514" s="155"/>
      <c r="H514" s="155"/>
      <c r="I514" s="270"/>
      <c r="J514" s="270"/>
      <c r="K514" s="270"/>
      <c r="L514" s="270"/>
      <c r="M514" s="270"/>
      <c r="N514" s="270"/>
      <c r="O514" s="155"/>
      <c r="P514" s="155"/>
      <c r="Q514" s="155"/>
      <c r="R514" s="155"/>
      <c r="S514" s="155"/>
      <c r="T514" s="155"/>
      <c r="U514" s="158"/>
      <c r="V514" s="155"/>
      <c r="W514" s="155"/>
      <c r="X514" s="263"/>
      <c r="Y514" s="155"/>
      <c r="Z514" s="155"/>
      <c r="AA514" s="263"/>
      <c r="AB514" s="263"/>
      <c r="AC514" s="155"/>
      <c r="AD514" s="155"/>
      <c r="AE514" s="155"/>
      <c r="AF514" s="155"/>
      <c r="AG514" s="155"/>
      <c r="AH514" s="155"/>
      <c r="AI514" s="155"/>
      <c r="AJ514" s="155"/>
      <c r="AK514" s="155"/>
      <c r="AL514" s="155"/>
      <c r="AM514" s="155"/>
      <c r="AN514" s="155"/>
      <c r="AO514" s="155"/>
      <c r="AP514" s="49"/>
      <c r="AQ514" s="49"/>
      <c r="AR514" s="155"/>
      <c r="AS514" s="155"/>
      <c r="AT514" s="155"/>
      <c r="AU514" s="155"/>
      <c r="AV514" s="155"/>
      <c r="AW514" s="155"/>
      <c r="AX514" s="155"/>
      <c r="AY514" s="155"/>
      <c r="AZ514" s="49"/>
      <c r="BA514" s="49"/>
      <c r="BB514" s="49"/>
      <c r="BC514" s="49"/>
      <c r="BD514" s="49"/>
      <c r="BE514" s="49"/>
      <c r="BF514" s="49"/>
      <c r="BG514" s="49"/>
      <c r="BH514" s="49"/>
      <c r="BI514" s="155"/>
      <c r="BJ514" s="155"/>
      <c r="BK514" s="155"/>
      <c r="BL514" s="49"/>
      <c r="BM514" s="49"/>
      <c r="BN514" s="49"/>
      <c r="BO514" s="49"/>
      <c r="BP514" s="49"/>
      <c r="BQ514" s="49"/>
      <c r="BR514" s="49"/>
      <c r="BS514" s="49"/>
      <c r="BT514" s="49"/>
      <c r="BU514" s="49"/>
      <c r="BV514" s="49"/>
      <c r="BW514" s="49"/>
      <c r="BX514" s="49"/>
      <c r="BY514" s="49"/>
      <c r="BZ514" s="49"/>
      <c r="CA514" s="49"/>
      <c r="CB514" s="49"/>
      <c r="CC514" s="49"/>
      <c r="CD514" s="49"/>
      <c r="CE514" s="49"/>
      <c r="CF514" s="49"/>
      <c r="CG514" s="49"/>
      <c r="CH514" s="49"/>
      <c r="CI514" s="49"/>
      <c r="CJ514" s="49"/>
      <c r="CK514" s="49"/>
      <c r="CL514" s="49"/>
      <c r="CM514" s="49"/>
      <c r="CN514" s="49"/>
      <c r="CO514" s="49"/>
      <c r="CP514" s="49"/>
      <c r="CQ514" s="49"/>
      <c r="CR514" s="49"/>
      <c r="CS514" s="49"/>
      <c r="CT514" s="155"/>
      <c r="CU514" s="155"/>
      <c r="CV514" s="155"/>
      <c r="CW514" s="155"/>
      <c r="CX514" s="155"/>
      <c r="CY514" s="155"/>
      <c r="CZ514" s="155"/>
      <c r="DA514" s="155"/>
      <c r="DB514" s="155"/>
      <c r="DC514" s="155"/>
      <c r="DD514" s="155"/>
      <c r="DE514" s="155"/>
      <c r="DF514" s="155"/>
      <c r="DG514" s="155"/>
      <c r="DH514" s="155"/>
      <c r="DI514" s="155"/>
      <c r="DJ514" s="155"/>
      <c r="DK514" s="155"/>
      <c r="DL514" s="155"/>
      <c r="DM514" s="155"/>
      <c r="DN514" s="155"/>
      <c r="DO514" s="155"/>
      <c r="DP514" s="155"/>
      <c r="DQ514" s="155"/>
      <c r="DR514" s="155"/>
      <c r="DS514" s="155"/>
      <c r="DT514" s="155"/>
      <c r="DU514" s="155"/>
      <c r="DV514" s="155"/>
      <c r="DW514" s="155"/>
      <c r="DX514" s="155"/>
    </row>
    <row r="515" spans="1:128" ht="18" customHeight="1">
      <c r="A515" s="155"/>
      <c r="B515" s="155"/>
      <c r="C515" s="155"/>
      <c r="D515" s="155"/>
      <c r="E515" s="155"/>
      <c r="F515" s="155"/>
      <c r="G515" s="155"/>
      <c r="H515" s="155"/>
      <c r="I515" s="270"/>
      <c r="J515" s="270"/>
      <c r="K515" s="270"/>
      <c r="L515" s="270"/>
      <c r="M515" s="270"/>
      <c r="N515" s="270"/>
      <c r="O515" s="155"/>
      <c r="P515" s="155"/>
      <c r="Q515" s="155"/>
      <c r="R515" s="155"/>
      <c r="S515" s="155"/>
      <c r="T515" s="155"/>
      <c r="U515" s="158"/>
      <c r="V515" s="155"/>
      <c r="W515" s="155"/>
      <c r="X515" s="263"/>
      <c r="Y515" s="155"/>
      <c r="Z515" s="155"/>
      <c r="AA515" s="263"/>
      <c r="AB515" s="263"/>
      <c r="AC515" s="155"/>
      <c r="AD515" s="155"/>
      <c r="AE515" s="155"/>
      <c r="AF515" s="155"/>
      <c r="AG515" s="155"/>
      <c r="AH515" s="155"/>
      <c r="AI515" s="155"/>
      <c r="AJ515" s="155"/>
      <c r="AK515" s="155"/>
      <c r="AL515" s="155"/>
      <c r="AM515" s="155"/>
      <c r="AN515" s="155"/>
      <c r="AO515" s="155"/>
      <c r="AP515" s="49"/>
      <c r="AQ515" s="49"/>
      <c r="AR515" s="155"/>
      <c r="AS515" s="155"/>
      <c r="AT515" s="155"/>
      <c r="AU515" s="155"/>
      <c r="AV515" s="155"/>
      <c r="AW515" s="155"/>
      <c r="AX515" s="155"/>
      <c r="AY515" s="155"/>
      <c r="AZ515" s="49"/>
      <c r="BA515" s="49"/>
      <c r="BB515" s="49"/>
      <c r="BC515" s="49"/>
      <c r="BD515" s="49"/>
      <c r="BE515" s="49"/>
      <c r="BF515" s="49"/>
      <c r="BG515" s="49"/>
      <c r="BH515" s="49"/>
      <c r="BI515" s="155"/>
      <c r="BJ515" s="155"/>
      <c r="BK515" s="155"/>
      <c r="BL515" s="49"/>
      <c r="BM515" s="49"/>
      <c r="BN515" s="49"/>
      <c r="BO515" s="49"/>
      <c r="BP515" s="49"/>
      <c r="BQ515" s="49"/>
      <c r="BR515" s="49"/>
      <c r="BS515" s="49"/>
      <c r="BT515" s="49"/>
      <c r="BU515" s="49"/>
      <c r="BV515" s="49"/>
      <c r="BW515" s="49"/>
      <c r="BX515" s="49"/>
      <c r="BY515" s="49"/>
      <c r="BZ515" s="49"/>
      <c r="CA515" s="49"/>
      <c r="CB515" s="49"/>
      <c r="CC515" s="49"/>
      <c r="CD515" s="49"/>
      <c r="CE515" s="49"/>
      <c r="CF515" s="49"/>
      <c r="CG515" s="49"/>
      <c r="CH515" s="49"/>
      <c r="CI515" s="49"/>
      <c r="CJ515" s="49"/>
      <c r="CK515" s="49"/>
      <c r="CL515" s="49"/>
      <c r="CM515" s="49"/>
      <c r="CN515" s="49"/>
      <c r="CO515" s="49"/>
      <c r="CP515" s="49"/>
      <c r="CQ515" s="49"/>
      <c r="CR515" s="49"/>
      <c r="CS515" s="49"/>
      <c r="CT515" s="155"/>
      <c r="CU515" s="155"/>
      <c r="CV515" s="155"/>
      <c r="CW515" s="155"/>
      <c r="CX515" s="155"/>
      <c r="CY515" s="155"/>
      <c r="CZ515" s="155"/>
      <c r="DA515" s="155"/>
      <c r="DB515" s="155"/>
      <c r="DC515" s="155"/>
      <c r="DD515" s="155"/>
      <c r="DE515" s="155"/>
      <c r="DF515" s="155"/>
      <c r="DG515" s="155"/>
      <c r="DH515" s="155"/>
      <c r="DI515" s="155"/>
      <c r="DJ515" s="155"/>
      <c r="DK515" s="155"/>
      <c r="DL515" s="155"/>
      <c r="DM515" s="155"/>
      <c r="DN515" s="155"/>
      <c r="DO515" s="155"/>
      <c r="DP515" s="155"/>
      <c r="DQ515" s="155"/>
      <c r="DR515" s="155"/>
      <c r="DS515" s="155"/>
      <c r="DT515" s="155"/>
      <c r="DU515" s="155"/>
      <c r="DV515" s="155"/>
      <c r="DW515" s="155"/>
      <c r="DX515" s="155"/>
    </row>
    <row r="516" spans="1:128" ht="18" customHeight="1">
      <c r="A516" s="155"/>
      <c r="B516" s="155"/>
      <c r="C516" s="155"/>
      <c r="D516" s="155"/>
      <c r="E516" s="155"/>
      <c r="F516" s="155"/>
      <c r="G516" s="155"/>
      <c r="H516" s="155"/>
      <c r="I516" s="270"/>
      <c r="J516" s="270"/>
      <c r="K516" s="270"/>
      <c r="L516" s="270"/>
      <c r="M516" s="270"/>
      <c r="N516" s="270"/>
      <c r="O516" s="155"/>
      <c r="P516" s="155"/>
      <c r="Q516" s="155"/>
      <c r="R516" s="155"/>
      <c r="S516" s="155"/>
      <c r="T516" s="155"/>
      <c r="U516" s="158"/>
      <c r="V516" s="155"/>
      <c r="W516" s="155"/>
      <c r="X516" s="263"/>
      <c r="Y516" s="155"/>
      <c r="Z516" s="155"/>
      <c r="AA516" s="263"/>
      <c r="AB516" s="263"/>
      <c r="AC516" s="155"/>
      <c r="AD516" s="155"/>
      <c r="AE516" s="155"/>
      <c r="AF516" s="155"/>
      <c r="AG516" s="155"/>
      <c r="AH516" s="155"/>
      <c r="AI516" s="155"/>
      <c r="AJ516" s="155"/>
      <c r="AK516" s="155"/>
      <c r="AL516" s="155"/>
      <c r="AM516" s="155"/>
      <c r="AN516" s="155"/>
      <c r="AO516" s="155"/>
      <c r="AP516" s="49"/>
      <c r="AQ516" s="49"/>
      <c r="AR516" s="155"/>
      <c r="AS516" s="155"/>
      <c r="AT516" s="155"/>
      <c r="AU516" s="155"/>
      <c r="AV516" s="155"/>
      <c r="AW516" s="155"/>
      <c r="AX516" s="155"/>
      <c r="AY516" s="155"/>
      <c r="AZ516" s="49"/>
      <c r="BA516" s="49"/>
      <c r="BB516" s="49"/>
      <c r="BC516" s="49"/>
      <c r="BD516" s="49"/>
      <c r="BE516" s="49"/>
      <c r="BF516" s="49"/>
      <c r="BG516" s="49"/>
      <c r="BH516" s="49"/>
      <c r="BI516" s="155"/>
      <c r="BJ516" s="155"/>
      <c r="BK516" s="155"/>
      <c r="BL516" s="49"/>
      <c r="BM516" s="49"/>
      <c r="BN516" s="49"/>
      <c r="BO516" s="49"/>
      <c r="BP516" s="49"/>
      <c r="BQ516" s="49"/>
      <c r="BR516" s="49"/>
      <c r="BS516" s="49"/>
      <c r="BT516" s="49"/>
      <c r="BU516" s="49"/>
      <c r="BV516" s="49"/>
      <c r="BW516" s="49"/>
      <c r="BX516" s="49"/>
      <c r="BY516" s="49"/>
      <c r="BZ516" s="49"/>
      <c r="CA516" s="49"/>
      <c r="CB516" s="49"/>
      <c r="CC516" s="49"/>
      <c r="CD516" s="49"/>
      <c r="CE516" s="49"/>
      <c r="CF516" s="49"/>
      <c r="CG516" s="49"/>
      <c r="CH516" s="49"/>
      <c r="CI516" s="49"/>
      <c r="CJ516" s="49"/>
      <c r="CK516" s="49"/>
      <c r="CL516" s="49"/>
      <c r="CM516" s="49"/>
      <c r="CN516" s="49"/>
      <c r="CO516" s="49"/>
      <c r="CP516" s="49"/>
      <c r="CQ516" s="49"/>
      <c r="CR516" s="49"/>
      <c r="CS516" s="49"/>
      <c r="CT516" s="155"/>
      <c r="CU516" s="155"/>
      <c r="CV516" s="155"/>
      <c r="CW516" s="155"/>
      <c r="CX516" s="155"/>
      <c r="CY516" s="155"/>
      <c r="CZ516" s="155"/>
      <c r="DA516" s="155"/>
      <c r="DB516" s="155"/>
      <c r="DC516" s="155"/>
      <c r="DD516" s="155"/>
      <c r="DE516" s="155"/>
      <c r="DF516" s="155"/>
      <c r="DG516" s="155"/>
      <c r="DH516" s="155"/>
      <c r="DI516" s="155"/>
      <c r="DJ516" s="155"/>
      <c r="DK516" s="155"/>
      <c r="DL516" s="155"/>
      <c r="DM516" s="155"/>
      <c r="DN516" s="155"/>
      <c r="DO516" s="155"/>
      <c r="DP516" s="155"/>
      <c r="DQ516" s="155"/>
      <c r="DR516" s="155"/>
      <c r="DS516" s="155"/>
      <c r="DT516" s="155"/>
      <c r="DU516" s="155"/>
      <c r="DV516" s="155"/>
      <c r="DW516" s="155"/>
      <c r="DX516" s="155"/>
    </row>
    <row r="517" spans="1:128" ht="18" customHeight="1">
      <c r="A517" s="155"/>
      <c r="B517" s="155"/>
      <c r="C517" s="155"/>
      <c r="D517" s="155"/>
      <c r="E517" s="155"/>
      <c r="F517" s="155"/>
      <c r="G517" s="155"/>
      <c r="H517" s="155"/>
      <c r="I517" s="270"/>
      <c r="J517" s="270"/>
      <c r="K517" s="270"/>
      <c r="L517" s="270"/>
      <c r="M517" s="270"/>
      <c r="N517" s="270"/>
      <c r="O517" s="155"/>
      <c r="P517" s="155"/>
      <c r="Q517" s="155"/>
      <c r="R517" s="155"/>
      <c r="S517" s="155"/>
      <c r="T517" s="155"/>
      <c r="U517" s="158"/>
      <c r="V517" s="155"/>
      <c r="W517" s="155"/>
      <c r="X517" s="263"/>
      <c r="Y517" s="155"/>
      <c r="Z517" s="155"/>
      <c r="AA517" s="263"/>
      <c r="AB517" s="263"/>
      <c r="AC517" s="155"/>
      <c r="AD517" s="155"/>
      <c r="AE517" s="155"/>
      <c r="AF517" s="155"/>
      <c r="AG517" s="155"/>
      <c r="AH517" s="155"/>
      <c r="AI517" s="155"/>
      <c r="AJ517" s="155"/>
      <c r="AK517" s="155"/>
      <c r="AL517" s="155"/>
      <c r="AM517" s="155"/>
      <c r="AN517" s="155"/>
      <c r="AO517" s="155"/>
      <c r="AP517" s="49"/>
      <c r="AQ517" s="49"/>
      <c r="AR517" s="155"/>
      <c r="AS517" s="155"/>
      <c r="AT517" s="155"/>
      <c r="AU517" s="155"/>
      <c r="AV517" s="155"/>
      <c r="AW517" s="155"/>
      <c r="AX517" s="155"/>
      <c r="AY517" s="155"/>
      <c r="AZ517" s="49"/>
      <c r="BA517" s="49"/>
      <c r="BB517" s="49"/>
      <c r="BC517" s="49"/>
      <c r="BD517" s="49"/>
      <c r="BE517" s="49"/>
      <c r="BF517" s="49"/>
      <c r="BG517" s="49"/>
      <c r="BH517" s="49"/>
      <c r="BI517" s="155"/>
      <c r="BJ517" s="155"/>
      <c r="BK517" s="155"/>
      <c r="BL517" s="49"/>
      <c r="BM517" s="49"/>
      <c r="BN517" s="49"/>
      <c r="BO517" s="49"/>
      <c r="BP517" s="49"/>
      <c r="BQ517" s="49"/>
      <c r="BR517" s="49"/>
      <c r="BS517" s="49"/>
      <c r="BT517" s="49"/>
      <c r="BU517" s="49"/>
      <c r="BV517" s="49"/>
      <c r="BW517" s="49"/>
      <c r="BX517" s="49"/>
      <c r="BY517" s="49"/>
      <c r="BZ517" s="49"/>
      <c r="CA517" s="49"/>
      <c r="CB517" s="49"/>
      <c r="CC517" s="49"/>
      <c r="CD517" s="49"/>
      <c r="CE517" s="49"/>
      <c r="CF517" s="49"/>
      <c r="CG517" s="49"/>
      <c r="CH517" s="49"/>
      <c r="CI517" s="49"/>
      <c r="CJ517" s="49"/>
      <c r="CK517" s="49"/>
      <c r="CL517" s="49"/>
      <c r="CM517" s="49"/>
      <c r="CN517" s="49"/>
      <c r="CO517" s="49"/>
      <c r="CP517" s="49"/>
      <c r="CQ517" s="49"/>
      <c r="CR517" s="49"/>
      <c r="CS517" s="49"/>
      <c r="CT517" s="155"/>
      <c r="CU517" s="155"/>
      <c r="CV517" s="155"/>
      <c r="CW517" s="155"/>
      <c r="CX517" s="155"/>
      <c r="CY517" s="155"/>
      <c r="CZ517" s="155"/>
      <c r="DA517" s="155"/>
      <c r="DB517" s="155"/>
      <c r="DC517" s="155"/>
      <c r="DD517" s="155"/>
      <c r="DE517" s="155"/>
      <c r="DF517" s="155"/>
      <c r="DG517" s="155"/>
      <c r="DH517" s="155"/>
      <c r="DI517" s="155"/>
      <c r="DJ517" s="155"/>
      <c r="DK517" s="155"/>
      <c r="DL517" s="155"/>
      <c r="DM517" s="155"/>
      <c r="DN517" s="155"/>
      <c r="DO517" s="155"/>
      <c r="DP517" s="155"/>
      <c r="DQ517" s="155"/>
      <c r="DR517" s="155"/>
      <c r="DS517" s="155"/>
      <c r="DT517" s="155"/>
      <c r="DU517" s="155"/>
      <c r="DV517" s="155"/>
      <c r="DW517" s="155"/>
      <c r="DX517" s="155"/>
    </row>
    <row r="518" spans="1:128" ht="18" customHeight="1">
      <c r="A518" s="155"/>
      <c r="B518" s="155"/>
      <c r="C518" s="155"/>
      <c r="D518" s="155"/>
      <c r="E518" s="155"/>
      <c r="F518" s="155"/>
      <c r="G518" s="155"/>
      <c r="H518" s="155"/>
      <c r="I518" s="270"/>
      <c r="J518" s="270"/>
      <c r="K518" s="270"/>
      <c r="L518" s="270"/>
      <c r="M518" s="270"/>
      <c r="N518" s="270"/>
      <c r="O518" s="155"/>
      <c r="P518" s="155"/>
      <c r="Q518" s="155"/>
      <c r="R518" s="155"/>
      <c r="S518" s="155"/>
      <c r="T518" s="155"/>
      <c r="U518" s="158"/>
      <c r="V518" s="155"/>
      <c r="W518" s="155"/>
      <c r="X518" s="263"/>
      <c r="Y518" s="155"/>
      <c r="Z518" s="155"/>
      <c r="AA518" s="263"/>
      <c r="AB518" s="263"/>
      <c r="AC518" s="155"/>
      <c r="AD518" s="155"/>
      <c r="AE518" s="155"/>
      <c r="AF518" s="155"/>
      <c r="AG518" s="155"/>
      <c r="AH518" s="155"/>
      <c r="AI518" s="155"/>
      <c r="AJ518" s="155"/>
      <c r="AK518" s="155"/>
      <c r="AL518" s="155"/>
      <c r="AM518" s="155"/>
      <c r="AN518" s="155"/>
      <c r="AO518" s="155"/>
      <c r="AP518" s="49"/>
      <c r="AQ518" s="49"/>
      <c r="AR518" s="155"/>
      <c r="AS518" s="155"/>
      <c r="AT518" s="155"/>
      <c r="AU518" s="155"/>
      <c r="AV518" s="155"/>
      <c r="AW518" s="155"/>
      <c r="AX518" s="155"/>
      <c r="AY518" s="155"/>
      <c r="AZ518" s="49"/>
      <c r="BA518" s="49"/>
      <c r="BB518" s="49"/>
      <c r="BC518" s="49"/>
      <c r="BD518" s="49"/>
      <c r="BE518" s="49"/>
      <c r="BF518" s="49"/>
      <c r="BG518" s="49"/>
      <c r="BH518" s="49"/>
      <c r="BI518" s="155"/>
      <c r="BJ518" s="155"/>
      <c r="BK518" s="155"/>
      <c r="BL518" s="49"/>
      <c r="BM518" s="49"/>
      <c r="BN518" s="49"/>
      <c r="BO518" s="49"/>
      <c r="BP518" s="49"/>
      <c r="BQ518" s="49"/>
      <c r="BR518" s="49"/>
      <c r="BS518" s="49"/>
      <c r="BT518" s="49"/>
      <c r="BU518" s="49"/>
      <c r="BV518" s="49"/>
      <c r="BW518" s="49"/>
      <c r="BX518" s="49"/>
      <c r="BY518" s="49"/>
      <c r="BZ518" s="49"/>
      <c r="CA518" s="49"/>
      <c r="CB518" s="49"/>
      <c r="CC518" s="49"/>
      <c r="CD518" s="49"/>
      <c r="CE518" s="49"/>
      <c r="CF518" s="49"/>
      <c r="CG518" s="49"/>
      <c r="CH518" s="49"/>
      <c r="CI518" s="49"/>
      <c r="CJ518" s="49"/>
      <c r="CK518" s="49"/>
      <c r="CL518" s="49"/>
      <c r="CM518" s="49"/>
      <c r="CN518" s="49"/>
      <c r="CO518" s="49"/>
      <c r="CP518" s="49"/>
      <c r="CQ518" s="49"/>
      <c r="CR518" s="49"/>
      <c r="CS518" s="49"/>
      <c r="CT518" s="155"/>
      <c r="CU518" s="155"/>
      <c r="CV518" s="155"/>
      <c r="CW518" s="155"/>
      <c r="CX518" s="155"/>
      <c r="CY518" s="155"/>
      <c r="CZ518" s="155"/>
      <c r="DA518" s="155"/>
      <c r="DB518" s="155"/>
      <c r="DC518" s="155"/>
      <c r="DD518" s="155"/>
      <c r="DE518" s="155"/>
      <c r="DF518" s="155"/>
      <c r="DG518" s="155"/>
      <c r="DH518" s="155"/>
      <c r="DI518" s="155"/>
      <c r="DJ518" s="155"/>
      <c r="DK518" s="155"/>
      <c r="DL518" s="155"/>
      <c r="DM518" s="155"/>
      <c r="DN518" s="155"/>
      <c r="DO518" s="155"/>
      <c r="DP518" s="155"/>
      <c r="DQ518" s="155"/>
      <c r="DR518" s="155"/>
      <c r="DS518" s="155"/>
      <c r="DT518" s="155"/>
      <c r="DU518" s="155"/>
      <c r="DV518" s="155"/>
      <c r="DW518" s="155"/>
      <c r="DX518" s="155"/>
    </row>
    <row r="519" spans="1:128" ht="18" customHeight="1">
      <c r="A519" s="155"/>
      <c r="B519" s="155"/>
      <c r="C519" s="155"/>
      <c r="D519" s="155"/>
      <c r="E519" s="155"/>
      <c r="F519" s="155"/>
      <c r="G519" s="155"/>
      <c r="H519" s="155"/>
      <c r="I519" s="270"/>
      <c r="J519" s="270"/>
      <c r="K519" s="270"/>
      <c r="L519" s="270"/>
      <c r="M519" s="270"/>
      <c r="N519" s="270"/>
      <c r="O519" s="155"/>
      <c r="P519" s="155"/>
      <c r="Q519" s="155"/>
      <c r="R519" s="155"/>
      <c r="S519" s="155"/>
      <c r="T519" s="155"/>
      <c r="U519" s="158"/>
      <c r="V519" s="155"/>
      <c r="W519" s="155"/>
      <c r="X519" s="263"/>
      <c r="Y519" s="155"/>
      <c r="Z519" s="155"/>
      <c r="AA519" s="263"/>
      <c r="AB519" s="263"/>
      <c r="AC519" s="155"/>
      <c r="AD519" s="155"/>
      <c r="AE519" s="155"/>
      <c r="AF519" s="155"/>
      <c r="AG519" s="155"/>
      <c r="AH519" s="155"/>
      <c r="AI519" s="155"/>
      <c r="AJ519" s="155"/>
      <c r="AK519" s="155"/>
      <c r="AL519" s="155"/>
      <c r="AM519" s="155"/>
      <c r="AN519" s="155"/>
      <c r="AO519" s="155"/>
      <c r="AP519" s="49"/>
      <c r="AQ519" s="49"/>
      <c r="AR519" s="155"/>
      <c r="AS519" s="155"/>
      <c r="AT519" s="155"/>
      <c r="AU519" s="155"/>
      <c r="AV519" s="155"/>
      <c r="AW519" s="155"/>
      <c r="AX519" s="155"/>
      <c r="AY519" s="155"/>
      <c r="AZ519" s="49"/>
      <c r="BA519" s="49"/>
      <c r="BB519" s="49"/>
      <c r="BC519" s="49"/>
      <c r="BD519" s="49"/>
      <c r="BE519" s="49"/>
      <c r="BF519" s="49"/>
      <c r="BG519" s="49"/>
      <c r="BH519" s="49"/>
      <c r="BI519" s="155"/>
      <c r="BJ519" s="155"/>
      <c r="BK519" s="155"/>
      <c r="BL519" s="49"/>
      <c r="BM519" s="49"/>
      <c r="BN519" s="49"/>
      <c r="BO519" s="49"/>
      <c r="BP519" s="49"/>
      <c r="BQ519" s="49"/>
      <c r="BR519" s="49"/>
      <c r="BS519" s="49"/>
      <c r="BT519" s="49"/>
      <c r="BU519" s="49"/>
      <c r="BV519" s="49"/>
      <c r="BW519" s="49"/>
      <c r="BX519" s="49"/>
      <c r="BY519" s="49"/>
      <c r="BZ519" s="49"/>
      <c r="CA519" s="49"/>
      <c r="CB519" s="49"/>
      <c r="CC519" s="49"/>
      <c r="CD519" s="49"/>
      <c r="CE519" s="49"/>
      <c r="CF519" s="49"/>
      <c r="CG519" s="49"/>
      <c r="CH519" s="49"/>
      <c r="CI519" s="49"/>
      <c r="CJ519" s="49"/>
      <c r="CK519" s="49"/>
      <c r="CL519" s="49"/>
      <c r="CM519" s="49"/>
      <c r="CN519" s="49"/>
      <c r="CO519" s="49"/>
      <c r="CP519" s="49"/>
      <c r="CQ519" s="49"/>
      <c r="CR519" s="49"/>
      <c r="CS519" s="49"/>
      <c r="CT519" s="155"/>
      <c r="CU519" s="155"/>
      <c r="CV519" s="155"/>
      <c r="CW519" s="155"/>
      <c r="CX519" s="155"/>
      <c r="CY519" s="155"/>
      <c r="CZ519" s="155"/>
      <c r="DA519" s="155"/>
      <c r="DB519" s="155"/>
      <c r="DC519" s="155"/>
      <c r="DD519" s="155"/>
      <c r="DE519" s="155"/>
      <c r="DF519" s="155"/>
      <c r="DG519" s="155"/>
      <c r="DH519" s="155"/>
      <c r="DI519" s="155"/>
      <c r="DJ519" s="155"/>
      <c r="DK519" s="155"/>
      <c r="DL519" s="155"/>
      <c r="DM519" s="155"/>
      <c r="DN519" s="155"/>
      <c r="DO519" s="155"/>
      <c r="DP519" s="155"/>
      <c r="DQ519" s="155"/>
      <c r="DR519" s="155"/>
      <c r="DS519" s="155"/>
      <c r="DT519" s="155"/>
      <c r="DU519" s="155"/>
      <c r="DV519" s="155"/>
      <c r="DW519" s="155"/>
      <c r="DX519" s="155"/>
    </row>
    <row r="520" spans="1:128" ht="18" customHeight="1">
      <c r="A520" s="155"/>
      <c r="B520" s="155"/>
      <c r="C520" s="155"/>
      <c r="D520" s="155"/>
      <c r="E520" s="155"/>
      <c r="F520" s="155"/>
      <c r="G520" s="155"/>
      <c r="H520" s="155"/>
      <c r="I520" s="270"/>
      <c r="J520" s="270"/>
      <c r="K520" s="270"/>
      <c r="L520" s="270"/>
      <c r="M520" s="270"/>
      <c r="N520" s="270"/>
      <c r="O520" s="155"/>
      <c r="P520" s="155"/>
      <c r="Q520" s="155"/>
      <c r="R520" s="155"/>
      <c r="S520" s="155"/>
      <c r="T520" s="155"/>
      <c r="U520" s="158"/>
      <c r="V520" s="155"/>
      <c r="W520" s="155"/>
      <c r="X520" s="263"/>
      <c r="Y520" s="155"/>
      <c r="Z520" s="155"/>
      <c r="AA520" s="263"/>
      <c r="AB520" s="263"/>
      <c r="AC520" s="155"/>
      <c r="AD520" s="155"/>
      <c r="AE520" s="155"/>
      <c r="AF520" s="155"/>
      <c r="AG520" s="155"/>
      <c r="AH520" s="155"/>
      <c r="AI520" s="155"/>
      <c r="AJ520" s="155"/>
      <c r="AK520" s="155"/>
      <c r="AL520" s="155"/>
      <c r="AM520" s="155"/>
      <c r="AN520" s="155"/>
      <c r="AO520" s="155"/>
      <c r="AP520" s="49"/>
      <c r="AQ520" s="49"/>
      <c r="AR520" s="155"/>
      <c r="AS520" s="155"/>
      <c r="AT520" s="155"/>
      <c r="AU520" s="155"/>
      <c r="AV520" s="155"/>
      <c r="AW520" s="155"/>
      <c r="AX520" s="155"/>
      <c r="AY520" s="155"/>
      <c r="AZ520" s="49"/>
      <c r="BA520" s="49"/>
      <c r="BB520" s="49"/>
      <c r="BC520" s="49"/>
      <c r="BD520" s="49"/>
      <c r="BE520" s="49"/>
      <c r="BF520" s="49"/>
      <c r="BG520" s="49"/>
      <c r="BH520" s="49"/>
      <c r="BI520" s="155"/>
      <c r="BJ520" s="155"/>
      <c r="BK520" s="155"/>
      <c r="BL520" s="49"/>
      <c r="BM520" s="49"/>
      <c r="BN520" s="49"/>
      <c r="BO520" s="49"/>
      <c r="BP520" s="49"/>
      <c r="BQ520" s="49"/>
      <c r="BR520" s="49"/>
      <c r="BS520" s="49"/>
      <c r="BT520" s="49"/>
      <c r="BU520" s="49"/>
      <c r="BV520" s="49"/>
      <c r="BW520" s="49"/>
      <c r="BX520" s="49"/>
      <c r="BY520" s="49"/>
      <c r="BZ520" s="49"/>
      <c r="CA520" s="49"/>
      <c r="CB520" s="49"/>
      <c r="CC520" s="49"/>
      <c r="CD520" s="49"/>
      <c r="CE520" s="49"/>
      <c r="CF520" s="49"/>
      <c r="CG520" s="49"/>
      <c r="CH520" s="49"/>
      <c r="CI520" s="49"/>
      <c r="CJ520" s="49"/>
      <c r="CK520" s="49"/>
      <c r="CL520" s="49"/>
      <c r="CM520" s="49"/>
      <c r="CN520" s="49"/>
      <c r="CO520" s="49"/>
      <c r="CP520" s="49"/>
      <c r="CQ520" s="49"/>
      <c r="CR520" s="49"/>
      <c r="CS520" s="49"/>
      <c r="CT520" s="155"/>
      <c r="CU520" s="155"/>
      <c r="CV520" s="155"/>
      <c r="CW520" s="155"/>
      <c r="CX520" s="155"/>
      <c r="CY520" s="155"/>
      <c r="CZ520" s="155"/>
      <c r="DA520" s="155"/>
      <c r="DB520" s="155"/>
      <c r="DC520" s="155"/>
      <c r="DD520" s="155"/>
      <c r="DE520" s="155"/>
      <c r="DF520" s="155"/>
      <c r="DG520" s="155"/>
      <c r="DH520" s="155"/>
      <c r="DI520" s="155"/>
      <c r="DJ520" s="155"/>
      <c r="DK520" s="155"/>
      <c r="DL520" s="155"/>
      <c r="DM520" s="155"/>
      <c r="DN520" s="155"/>
      <c r="DO520" s="155"/>
      <c r="DP520" s="155"/>
      <c r="DQ520" s="155"/>
      <c r="DR520" s="155"/>
      <c r="DS520" s="155"/>
      <c r="DT520" s="155"/>
      <c r="DU520" s="155"/>
      <c r="DV520" s="155"/>
      <c r="DW520" s="155"/>
      <c r="DX520" s="155"/>
    </row>
    <row r="521" spans="1:128" ht="18" customHeight="1">
      <c r="A521" s="155"/>
      <c r="B521" s="155"/>
      <c r="C521" s="155"/>
      <c r="D521" s="155"/>
      <c r="E521" s="155"/>
      <c r="F521" s="155"/>
      <c r="G521" s="155"/>
      <c r="H521" s="155"/>
      <c r="I521" s="270"/>
      <c r="J521" s="270"/>
      <c r="K521" s="270"/>
      <c r="L521" s="270"/>
      <c r="M521" s="270"/>
      <c r="N521" s="270"/>
      <c r="O521" s="155"/>
      <c r="P521" s="155"/>
      <c r="Q521" s="155"/>
      <c r="R521" s="155"/>
      <c r="S521" s="155"/>
      <c r="T521" s="155"/>
      <c r="U521" s="158"/>
      <c r="V521" s="155"/>
      <c r="W521" s="155"/>
      <c r="X521" s="263"/>
      <c r="Y521" s="155"/>
      <c r="Z521" s="155"/>
      <c r="AA521" s="263"/>
      <c r="AB521" s="263"/>
      <c r="AC521" s="155"/>
      <c r="AD521" s="155"/>
      <c r="AE521" s="155"/>
      <c r="AF521" s="155"/>
      <c r="AG521" s="155"/>
      <c r="AH521" s="155"/>
      <c r="AI521" s="155"/>
      <c r="AJ521" s="155"/>
      <c r="AK521" s="155"/>
      <c r="AL521" s="155"/>
      <c r="AM521" s="155"/>
      <c r="AN521" s="155"/>
      <c r="AO521" s="155"/>
      <c r="AP521" s="49"/>
      <c r="AQ521" s="49"/>
      <c r="AR521" s="155"/>
      <c r="AS521" s="155"/>
      <c r="AT521" s="155"/>
      <c r="AU521" s="155"/>
      <c r="AV521" s="155"/>
      <c r="AW521" s="155"/>
      <c r="AX521" s="155"/>
      <c r="AY521" s="155"/>
      <c r="AZ521" s="49"/>
      <c r="BA521" s="49"/>
      <c r="BB521" s="49"/>
      <c r="BC521" s="49"/>
      <c r="BD521" s="49"/>
      <c r="BE521" s="49"/>
      <c r="BF521" s="49"/>
      <c r="BG521" s="49"/>
      <c r="BH521" s="49"/>
      <c r="BI521" s="155"/>
      <c r="BJ521" s="155"/>
      <c r="BK521" s="155"/>
      <c r="BL521" s="49"/>
      <c r="BM521" s="49"/>
      <c r="BN521" s="49"/>
      <c r="BO521" s="49"/>
      <c r="BP521" s="49"/>
      <c r="BQ521" s="49"/>
      <c r="BR521" s="49"/>
      <c r="BS521" s="49"/>
      <c r="BT521" s="49"/>
      <c r="BU521" s="49"/>
      <c r="BV521" s="49"/>
      <c r="BW521" s="49"/>
      <c r="BX521" s="49"/>
      <c r="BY521" s="49"/>
      <c r="BZ521" s="49"/>
      <c r="CA521" s="49"/>
      <c r="CB521" s="49"/>
      <c r="CC521" s="49"/>
      <c r="CD521" s="49"/>
      <c r="CE521" s="49"/>
      <c r="CF521" s="49"/>
      <c r="CG521" s="49"/>
      <c r="CH521" s="49"/>
      <c r="CI521" s="49"/>
      <c r="CJ521" s="49"/>
      <c r="CK521" s="49"/>
      <c r="CL521" s="49"/>
      <c r="CM521" s="49"/>
      <c r="CN521" s="49"/>
      <c r="CO521" s="49"/>
      <c r="CP521" s="49"/>
      <c r="CQ521" s="49"/>
      <c r="CR521" s="49"/>
      <c r="CS521" s="49"/>
      <c r="CT521" s="155"/>
      <c r="CU521" s="155"/>
      <c r="CV521" s="155"/>
      <c r="CW521" s="155"/>
      <c r="CX521" s="155"/>
      <c r="CY521" s="155"/>
      <c r="CZ521" s="155"/>
      <c r="DA521" s="155"/>
      <c r="DB521" s="155"/>
      <c r="DC521" s="155"/>
      <c r="DD521" s="155"/>
      <c r="DE521" s="155"/>
      <c r="DF521" s="155"/>
      <c r="DG521" s="155"/>
      <c r="DH521" s="155"/>
      <c r="DI521" s="155"/>
      <c r="DJ521" s="155"/>
      <c r="DK521" s="155"/>
      <c r="DL521" s="155"/>
      <c r="DM521" s="155"/>
      <c r="DN521" s="155"/>
      <c r="DO521" s="155"/>
      <c r="DP521" s="155"/>
      <c r="DQ521" s="155"/>
      <c r="DR521" s="155"/>
      <c r="DS521" s="155"/>
      <c r="DT521" s="155"/>
      <c r="DU521" s="155"/>
      <c r="DV521" s="155"/>
      <c r="DW521" s="155"/>
      <c r="DX521" s="155"/>
    </row>
    <row r="522" spans="1:128" ht="18" customHeight="1">
      <c r="A522" s="155"/>
      <c r="B522" s="155"/>
      <c r="C522" s="155"/>
      <c r="D522" s="155"/>
      <c r="E522" s="155"/>
      <c r="F522" s="155"/>
      <c r="G522" s="155"/>
      <c r="H522" s="155"/>
      <c r="I522" s="270"/>
      <c r="J522" s="270"/>
      <c r="K522" s="270"/>
      <c r="L522" s="270"/>
      <c r="M522" s="270"/>
      <c r="N522" s="270"/>
      <c r="O522" s="155"/>
      <c r="P522" s="155"/>
      <c r="Q522" s="155"/>
      <c r="R522" s="155"/>
      <c r="S522" s="155"/>
      <c r="T522" s="155"/>
      <c r="U522" s="158"/>
      <c r="V522" s="155"/>
      <c r="W522" s="155"/>
      <c r="X522" s="263"/>
      <c r="Y522" s="155"/>
      <c r="Z522" s="155"/>
      <c r="AA522" s="263"/>
      <c r="AB522" s="263"/>
      <c r="AC522" s="155"/>
      <c r="AD522" s="155"/>
      <c r="AE522" s="155"/>
      <c r="AF522" s="155"/>
      <c r="AG522" s="155"/>
      <c r="AH522" s="155"/>
      <c r="AI522" s="155"/>
      <c r="AJ522" s="155"/>
      <c r="AK522" s="155"/>
      <c r="AL522" s="155"/>
      <c r="AM522" s="155"/>
      <c r="AN522" s="155"/>
      <c r="AO522" s="155"/>
      <c r="AP522" s="49"/>
      <c r="AQ522" s="49"/>
      <c r="AR522" s="155"/>
      <c r="AS522" s="155"/>
      <c r="AT522" s="155"/>
      <c r="AU522" s="155"/>
      <c r="AV522" s="155"/>
      <c r="AW522" s="155"/>
      <c r="AX522" s="155"/>
      <c r="AY522" s="155"/>
      <c r="AZ522" s="49"/>
      <c r="BA522" s="49"/>
      <c r="BB522" s="49"/>
      <c r="BC522" s="49"/>
      <c r="BD522" s="49"/>
      <c r="BE522" s="49"/>
      <c r="BF522" s="49"/>
      <c r="BG522" s="49"/>
      <c r="BH522" s="49"/>
      <c r="BI522" s="155"/>
      <c r="BJ522" s="155"/>
      <c r="BK522" s="155"/>
      <c r="BL522" s="49"/>
      <c r="BM522" s="49"/>
      <c r="BN522" s="49"/>
      <c r="BO522" s="49"/>
      <c r="BP522" s="49"/>
      <c r="BQ522" s="49"/>
      <c r="BR522" s="49"/>
      <c r="BS522" s="49"/>
      <c r="BT522" s="49"/>
      <c r="BU522" s="49"/>
      <c r="BV522" s="49"/>
      <c r="BW522" s="49"/>
      <c r="BX522" s="49"/>
      <c r="BY522" s="49"/>
      <c r="BZ522" s="49"/>
      <c r="CA522" s="49"/>
      <c r="CB522" s="49"/>
      <c r="CC522" s="49"/>
      <c r="CD522" s="49"/>
      <c r="CE522" s="49"/>
      <c r="CF522" s="49"/>
      <c r="CG522" s="49"/>
      <c r="CH522" s="49"/>
      <c r="CI522" s="49"/>
      <c r="CJ522" s="49"/>
      <c r="CK522" s="49"/>
      <c r="CL522" s="49"/>
      <c r="CM522" s="49"/>
      <c r="CN522" s="49"/>
      <c r="CO522" s="49"/>
      <c r="CP522" s="49"/>
      <c r="CQ522" s="49"/>
      <c r="CR522" s="49"/>
      <c r="CS522" s="49"/>
      <c r="CT522" s="155"/>
      <c r="CU522" s="155"/>
      <c r="CV522" s="155"/>
      <c r="CW522" s="155"/>
      <c r="CX522" s="155"/>
      <c r="CY522" s="155"/>
      <c r="CZ522" s="155"/>
      <c r="DA522" s="155"/>
      <c r="DB522" s="155"/>
      <c r="DC522" s="155"/>
      <c r="DD522" s="155"/>
      <c r="DE522" s="155"/>
      <c r="DF522" s="155"/>
      <c r="DG522" s="155"/>
      <c r="DH522" s="155"/>
      <c r="DI522" s="155"/>
      <c r="DJ522" s="155"/>
      <c r="DK522" s="155"/>
      <c r="DL522" s="155"/>
      <c r="DM522" s="155"/>
      <c r="DN522" s="155"/>
      <c r="DO522" s="155"/>
      <c r="DP522" s="155"/>
      <c r="DQ522" s="155"/>
      <c r="DR522" s="155"/>
      <c r="DS522" s="155"/>
      <c r="DT522" s="155"/>
      <c r="DU522" s="155"/>
      <c r="DV522" s="155"/>
      <c r="DW522" s="155"/>
      <c r="DX522" s="155"/>
    </row>
    <row r="523" spans="1:128" ht="18" customHeight="1">
      <c r="A523" s="155"/>
      <c r="B523" s="155"/>
      <c r="C523" s="155"/>
      <c r="D523" s="155"/>
      <c r="E523" s="155"/>
      <c r="F523" s="155"/>
      <c r="G523" s="155"/>
      <c r="H523" s="155"/>
      <c r="I523" s="270"/>
      <c r="J523" s="270"/>
      <c r="K523" s="270"/>
      <c r="L523" s="270"/>
      <c r="M523" s="270"/>
      <c r="N523" s="270"/>
      <c r="O523" s="155"/>
      <c r="P523" s="155"/>
      <c r="Q523" s="155"/>
      <c r="R523" s="155"/>
      <c r="S523" s="155"/>
      <c r="T523" s="155"/>
      <c r="U523" s="158"/>
      <c r="V523" s="155"/>
      <c r="W523" s="155"/>
      <c r="X523" s="263"/>
      <c r="Y523" s="155"/>
      <c r="Z523" s="155"/>
      <c r="AA523" s="263"/>
      <c r="AB523" s="263"/>
      <c r="AC523" s="155"/>
      <c r="AD523" s="155"/>
      <c r="AE523" s="155"/>
      <c r="AF523" s="155"/>
      <c r="AG523" s="155"/>
      <c r="AH523" s="155"/>
      <c r="AI523" s="155"/>
      <c r="AJ523" s="155"/>
      <c r="AK523" s="155"/>
      <c r="AL523" s="155"/>
      <c r="AM523" s="155"/>
      <c r="AN523" s="155"/>
      <c r="AO523" s="155"/>
      <c r="AP523" s="49"/>
      <c r="AQ523" s="49"/>
      <c r="AR523" s="155"/>
      <c r="AS523" s="155"/>
      <c r="AT523" s="155"/>
      <c r="AU523" s="155"/>
      <c r="AV523" s="155"/>
      <c r="AW523" s="155"/>
      <c r="AX523" s="155"/>
      <c r="AY523" s="155"/>
      <c r="AZ523" s="49"/>
      <c r="BA523" s="49"/>
      <c r="BB523" s="49"/>
      <c r="BC523" s="49"/>
      <c r="BD523" s="49"/>
      <c r="BE523" s="49"/>
      <c r="BF523" s="49"/>
      <c r="BG523" s="49"/>
      <c r="BH523" s="49"/>
      <c r="BI523" s="155"/>
      <c r="BJ523" s="155"/>
      <c r="BK523" s="155"/>
      <c r="BL523" s="49"/>
      <c r="BM523" s="49"/>
      <c r="BN523" s="49"/>
      <c r="BO523" s="49"/>
      <c r="BP523" s="49"/>
      <c r="BQ523" s="49"/>
      <c r="BR523" s="49"/>
      <c r="BS523" s="49"/>
      <c r="BT523" s="49"/>
      <c r="BU523" s="49"/>
      <c r="BV523" s="49"/>
      <c r="BW523" s="49"/>
      <c r="BX523" s="49"/>
      <c r="BY523" s="49"/>
      <c r="BZ523" s="49"/>
      <c r="CA523" s="49"/>
      <c r="CB523" s="49"/>
      <c r="CC523" s="49"/>
      <c r="CD523" s="49"/>
      <c r="CE523" s="49"/>
      <c r="CF523" s="49"/>
      <c r="CG523" s="49"/>
      <c r="CH523" s="49"/>
      <c r="CI523" s="49"/>
      <c r="CJ523" s="49"/>
      <c r="CK523" s="49"/>
      <c r="CL523" s="49"/>
      <c r="CM523" s="49"/>
      <c r="CN523" s="49"/>
      <c r="CO523" s="49"/>
      <c r="CP523" s="49"/>
      <c r="CQ523" s="49"/>
      <c r="CR523" s="49"/>
      <c r="CS523" s="49"/>
      <c r="CT523" s="155"/>
      <c r="CU523" s="155"/>
      <c r="CV523" s="155"/>
      <c r="CW523" s="155"/>
      <c r="CX523" s="155"/>
      <c r="CY523" s="155"/>
      <c r="CZ523" s="155"/>
      <c r="DA523" s="155"/>
      <c r="DB523" s="155"/>
      <c r="DC523" s="155"/>
      <c r="DD523" s="155"/>
      <c r="DE523" s="155"/>
      <c r="DF523" s="155"/>
      <c r="DG523" s="155"/>
      <c r="DH523" s="155"/>
      <c r="DI523" s="155"/>
      <c r="DJ523" s="155"/>
      <c r="DK523" s="155"/>
      <c r="DL523" s="155"/>
      <c r="DM523" s="155"/>
      <c r="DN523" s="155"/>
      <c r="DO523" s="155"/>
      <c r="DP523" s="155"/>
      <c r="DQ523" s="155"/>
      <c r="DR523" s="155"/>
      <c r="DS523" s="155"/>
      <c r="DT523" s="155"/>
      <c r="DU523" s="155"/>
      <c r="DV523" s="155"/>
      <c r="DW523" s="155"/>
      <c r="DX523" s="155"/>
    </row>
    <row r="524" spans="1:128" ht="18" customHeight="1">
      <c r="A524" s="155"/>
      <c r="B524" s="155"/>
      <c r="C524" s="155"/>
      <c r="D524" s="155"/>
      <c r="E524" s="155"/>
      <c r="F524" s="155"/>
      <c r="G524" s="155"/>
      <c r="H524" s="155"/>
      <c r="I524" s="270"/>
      <c r="J524" s="270"/>
      <c r="K524" s="270"/>
      <c r="L524" s="270"/>
      <c r="M524" s="270"/>
      <c r="N524" s="270"/>
      <c r="O524" s="155"/>
      <c r="P524" s="155"/>
      <c r="Q524" s="155"/>
      <c r="R524" s="155"/>
      <c r="S524" s="155"/>
      <c r="T524" s="155"/>
      <c r="U524" s="158"/>
      <c r="V524" s="155"/>
      <c r="W524" s="155"/>
      <c r="X524" s="263"/>
      <c r="Y524" s="155"/>
      <c r="Z524" s="155"/>
      <c r="AA524" s="263"/>
      <c r="AB524" s="263"/>
      <c r="AC524" s="155"/>
      <c r="AD524" s="155"/>
      <c r="AE524" s="155"/>
      <c r="AF524" s="155"/>
      <c r="AG524" s="155"/>
      <c r="AH524" s="155"/>
      <c r="AI524" s="155"/>
      <c r="AJ524" s="155"/>
      <c r="AK524" s="155"/>
      <c r="AL524" s="155"/>
      <c r="AM524" s="155"/>
      <c r="AN524" s="155"/>
      <c r="AO524" s="155"/>
      <c r="AP524" s="49"/>
      <c r="AQ524" s="49"/>
      <c r="AR524" s="155"/>
      <c r="AS524" s="155"/>
      <c r="AT524" s="155"/>
      <c r="AU524" s="155"/>
      <c r="AV524" s="155"/>
      <c r="AW524" s="155"/>
      <c r="AX524" s="155"/>
      <c r="AY524" s="155"/>
      <c r="AZ524" s="49"/>
      <c r="BA524" s="49"/>
      <c r="BB524" s="49"/>
      <c r="BC524" s="49"/>
      <c r="BD524" s="49"/>
      <c r="BE524" s="49"/>
      <c r="BF524" s="49"/>
      <c r="BG524" s="49"/>
      <c r="BH524" s="49"/>
      <c r="BI524" s="155"/>
      <c r="BJ524" s="155"/>
      <c r="BK524" s="155"/>
      <c r="BL524" s="49"/>
      <c r="BM524" s="49"/>
      <c r="BN524" s="49"/>
      <c r="BO524" s="49"/>
      <c r="BP524" s="49"/>
      <c r="BQ524" s="49"/>
      <c r="BR524" s="49"/>
      <c r="BS524" s="49"/>
      <c r="BT524" s="49"/>
      <c r="BU524" s="49"/>
      <c r="BV524" s="49"/>
      <c r="BW524" s="49"/>
      <c r="BX524" s="49"/>
      <c r="BY524" s="49"/>
      <c r="BZ524" s="49"/>
      <c r="CA524" s="49"/>
      <c r="CB524" s="49"/>
      <c r="CC524" s="49"/>
      <c r="CD524" s="49"/>
      <c r="CE524" s="49"/>
      <c r="CF524" s="49"/>
      <c r="CG524" s="49"/>
      <c r="CH524" s="49"/>
      <c r="CI524" s="49"/>
      <c r="CJ524" s="49"/>
      <c r="CK524" s="49"/>
      <c r="CL524" s="49"/>
      <c r="CM524" s="49"/>
      <c r="CN524" s="49"/>
      <c r="CO524" s="49"/>
      <c r="CP524" s="49"/>
      <c r="CQ524" s="49"/>
      <c r="CR524" s="49"/>
      <c r="CS524" s="49"/>
      <c r="CT524" s="155"/>
      <c r="CU524" s="155"/>
      <c r="CV524" s="155"/>
      <c r="CW524" s="155"/>
      <c r="CX524" s="155"/>
      <c r="CY524" s="155"/>
      <c r="CZ524" s="155"/>
      <c r="DA524" s="155"/>
      <c r="DB524" s="155"/>
      <c r="DC524" s="155"/>
      <c r="DD524" s="155"/>
      <c r="DE524" s="155"/>
      <c r="DF524" s="155"/>
      <c r="DG524" s="155"/>
      <c r="DH524" s="155"/>
      <c r="DI524" s="155"/>
      <c r="DJ524" s="155"/>
      <c r="DK524" s="155"/>
      <c r="DL524" s="155"/>
      <c r="DM524" s="155"/>
      <c r="DN524" s="155"/>
      <c r="DO524" s="155"/>
      <c r="DP524" s="155"/>
      <c r="DQ524" s="155"/>
      <c r="DR524" s="155"/>
      <c r="DS524" s="155"/>
      <c r="DT524" s="155"/>
      <c r="DU524" s="155"/>
      <c r="DV524" s="155"/>
      <c r="DW524" s="155"/>
      <c r="DX524" s="155"/>
    </row>
    <row r="525" spans="1:128" ht="18" customHeight="1">
      <c r="A525" s="155"/>
      <c r="B525" s="155"/>
      <c r="C525" s="155"/>
      <c r="D525" s="155"/>
      <c r="E525" s="155"/>
      <c r="F525" s="155"/>
      <c r="G525" s="155"/>
      <c r="H525" s="155"/>
      <c r="I525" s="270"/>
      <c r="J525" s="270"/>
      <c r="K525" s="270"/>
      <c r="L525" s="270"/>
      <c r="M525" s="270"/>
      <c r="N525" s="270"/>
      <c r="O525" s="155"/>
      <c r="P525" s="155"/>
      <c r="Q525" s="155"/>
      <c r="R525" s="155"/>
      <c r="S525" s="155"/>
      <c r="T525" s="155"/>
      <c r="U525" s="158"/>
      <c r="V525" s="155"/>
      <c r="W525" s="155"/>
      <c r="X525" s="263"/>
      <c r="Y525" s="155"/>
      <c r="Z525" s="155"/>
      <c r="AA525" s="263"/>
      <c r="AB525" s="263"/>
      <c r="AC525" s="155"/>
      <c r="AD525" s="155"/>
      <c r="AE525" s="155"/>
      <c r="AF525" s="155"/>
      <c r="AG525" s="155"/>
      <c r="AH525" s="155"/>
      <c r="AI525" s="155"/>
      <c r="AJ525" s="155"/>
      <c r="AK525" s="155"/>
      <c r="AL525" s="155"/>
      <c r="AM525" s="155"/>
      <c r="AN525" s="155"/>
      <c r="AO525" s="155"/>
      <c r="AP525" s="49"/>
      <c r="AQ525" s="49"/>
      <c r="AR525" s="155"/>
      <c r="AS525" s="155"/>
      <c r="AT525" s="155"/>
      <c r="AU525" s="155"/>
      <c r="AV525" s="155"/>
      <c r="AW525" s="155"/>
      <c r="AX525" s="155"/>
      <c r="AY525" s="155"/>
      <c r="AZ525" s="49"/>
      <c r="BA525" s="49"/>
      <c r="BB525" s="49"/>
      <c r="BC525" s="49"/>
      <c r="BD525" s="49"/>
      <c r="BE525" s="49"/>
      <c r="BF525" s="49"/>
      <c r="BG525" s="49"/>
      <c r="BH525" s="49"/>
      <c r="BI525" s="155"/>
      <c r="BJ525" s="155"/>
      <c r="BK525" s="155"/>
      <c r="BL525" s="49"/>
      <c r="BM525" s="49"/>
      <c r="BN525" s="49"/>
      <c r="BO525" s="49"/>
      <c r="BP525" s="49"/>
      <c r="BQ525" s="49"/>
      <c r="BR525" s="49"/>
      <c r="BS525" s="49"/>
      <c r="BT525" s="49"/>
      <c r="BU525" s="49"/>
      <c r="BV525" s="49"/>
      <c r="BW525" s="49"/>
      <c r="BX525" s="49"/>
      <c r="BY525" s="49"/>
      <c r="BZ525" s="49"/>
      <c r="CA525" s="49"/>
      <c r="CB525" s="49"/>
      <c r="CC525" s="49"/>
      <c r="CD525" s="49"/>
      <c r="CE525" s="49"/>
      <c r="CF525" s="49"/>
      <c r="CG525" s="49"/>
      <c r="CH525" s="49"/>
      <c r="CI525" s="49"/>
      <c r="CJ525" s="49"/>
      <c r="CK525" s="49"/>
      <c r="CL525" s="49"/>
      <c r="CM525" s="49"/>
      <c r="CN525" s="49"/>
      <c r="CO525" s="49"/>
      <c r="CP525" s="49"/>
      <c r="CQ525" s="49"/>
      <c r="CR525" s="49"/>
      <c r="CS525" s="49"/>
      <c r="CT525" s="155"/>
      <c r="CU525" s="155"/>
      <c r="CV525" s="155"/>
      <c r="CW525" s="155"/>
      <c r="CX525" s="155"/>
      <c r="CY525" s="155"/>
      <c r="CZ525" s="155"/>
      <c r="DA525" s="155"/>
      <c r="DB525" s="155"/>
      <c r="DC525" s="155"/>
      <c r="DD525" s="155"/>
      <c r="DE525" s="155"/>
      <c r="DF525" s="155"/>
      <c r="DG525" s="155"/>
      <c r="DH525" s="155"/>
      <c r="DI525" s="155"/>
      <c r="DJ525" s="155"/>
      <c r="DK525" s="155"/>
      <c r="DL525" s="155"/>
      <c r="DM525" s="155"/>
      <c r="DN525" s="155"/>
      <c r="DO525" s="155"/>
      <c r="DP525" s="155"/>
      <c r="DQ525" s="155"/>
      <c r="DR525" s="155"/>
      <c r="DS525" s="155"/>
      <c r="DT525" s="155"/>
      <c r="DU525" s="155"/>
      <c r="DV525" s="155"/>
      <c r="DW525" s="155"/>
      <c r="DX525" s="155"/>
    </row>
    <row r="526" spans="1:128" ht="18" customHeight="1">
      <c r="A526" s="155"/>
      <c r="B526" s="155"/>
      <c r="C526" s="155"/>
      <c r="D526" s="155"/>
      <c r="E526" s="155"/>
      <c r="F526" s="155"/>
      <c r="G526" s="155"/>
      <c r="H526" s="155"/>
      <c r="I526" s="270"/>
      <c r="J526" s="270"/>
      <c r="K526" s="270"/>
      <c r="L526" s="270"/>
      <c r="M526" s="270"/>
      <c r="N526" s="270"/>
      <c r="O526" s="155"/>
      <c r="P526" s="155"/>
      <c r="Q526" s="155"/>
      <c r="R526" s="155"/>
      <c r="S526" s="155"/>
      <c r="T526" s="155"/>
      <c r="U526" s="158"/>
      <c r="V526" s="155"/>
      <c r="W526" s="155"/>
      <c r="X526" s="263"/>
      <c r="Y526" s="155"/>
      <c r="Z526" s="155"/>
      <c r="AA526" s="263"/>
      <c r="AB526" s="263"/>
      <c r="AC526" s="155"/>
      <c r="AD526" s="155"/>
      <c r="AE526" s="155"/>
      <c r="AF526" s="155"/>
      <c r="AG526" s="155"/>
      <c r="AH526" s="155"/>
      <c r="AI526" s="155"/>
      <c r="AJ526" s="155"/>
      <c r="AK526" s="155"/>
      <c r="AL526" s="155"/>
      <c r="AM526" s="155"/>
      <c r="AN526" s="155"/>
      <c r="AO526" s="155"/>
      <c r="AP526" s="49"/>
      <c r="AQ526" s="49"/>
      <c r="AR526" s="155"/>
      <c r="AS526" s="155"/>
      <c r="AT526" s="155"/>
      <c r="AU526" s="155"/>
      <c r="AV526" s="155"/>
      <c r="AW526" s="155"/>
      <c r="AX526" s="155"/>
      <c r="AY526" s="155"/>
      <c r="AZ526" s="49"/>
      <c r="BA526" s="49"/>
      <c r="BB526" s="49"/>
      <c r="BC526" s="49"/>
      <c r="BD526" s="49"/>
      <c r="BE526" s="49"/>
      <c r="BF526" s="49"/>
      <c r="BG526" s="49"/>
      <c r="BH526" s="49"/>
      <c r="BI526" s="155"/>
      <c r="BJ526" s="155"/>
      <c r="BK526" s="155"/>
      <c r="BL526" s="49"/>
      <c r="BM526" s="49"/>
      <c r="BN526" s="49"/>
      <c r="BO526" s="49"/>
      <c r="BP526" s="49"/>
      <c r="BQ526" s="49"/>
      <c r="BR526" s="49"/>
      <c r="BS526" s="49"/>
      <c r="BT526" s="49"/>
      <c r="BU526" s="49"/>
      <c r="BV526" s="49"/>
      <c r="BW526" s="49"/>
      <c r="BX526" s="49"/>
      <c r="BY526" s="49"/>
      <c r="BZ526" s="49"/>
      <c r="CA526" s="49"/>
      <c r="CB526" s="49"/>
      <c r="CC526" s="49"/>
      <c r="CD526" s="49"/>
      <c r="CE526" s="49"/>
      <c r="CF526" s="49"/>
      <c r="CG526" s="49"/>
      <c r="CH526" s="49"/>
      <c r="CI526" s="49"/>
      <c r="CJ526" s="49"/>
      <c r="CK526" s="49"/>
      <c r="CL526" s="49"/>
      <c r="CM526" s="49"/>
      <c r="CN526" s="49"/>
      <c r="CO526" s="49"/>
      <c r="CP526" s="49"/>
      <c r="CQ526" s="49"/>
      <c r="CR526" s="49"/>
      <c r="CS526" s="49"/>
      <c r="CT526" s="155"/>
      <c r="CU526" s="155"/>
      <c r="CV526" s="155"/>
      <c r="CW526" s="155"/>
      <c r="CX526" s="155"/>
      <c r="CY526" s="155"/>
      <c r="CZ526" s="155"/>
      <c r="DA526" s="155"/>
      <c r="DB526" s="155"/>
      <c r="DC526" s="155"/>
      <c r="DD526" s="155"/>
      <c r="DE526" s="155"/>
      <c r="DF526" s="155"/>
      <c r="DG526" s="155"/>
      <c r="DH526" s="155"/>
      <c r="DI526" s="155"/>
      <c r="DJ526" s="155"/>
      <c r="DK526" s="155"/>
      <c r="DL526" s="155"/>
      <c r="DM526" s="155"/>
      <c r="DN526" s="155"/>
      <c r="DO526" s="155"/>
      <c r="DP526" s="155"/>
      <c r="DQ526" s="155"/>
      <c r="DR526" s="155"/>
      <c r="DS526" s="155"/>
      <c r="DT526" s="155"/>
      <c r="DU526" s="155"/>
      <c r="DV526" s="155"/>
      <c r="DW526" s="155"/>
      <c r="DX526" s="155"/>
    </row>
    <row r="527" spans="1:128" ht="18" customHeight="1">
      <c r="A527" s="155"/>
      <c r="B527" s="155"/>
      <c r="C527" s="155"/>
      <c r="D527" s="155"/>
      <c r="E527" s="155"/>
      <c r="F527" s="155"/>
      <c r="G527" s="155"/>
      <c r="H527" s="155"/>
      <c r="I527" s="270"/>
      <c r="J527" s="270"/>
      <c r="K527" s="270"/>
      <c r="L527" s="270"/>
      <c r="M527" s="270"/>
      <c r="N527" s="270"/>
      <c r="O527" s="155"/>
      <c r="P527" s="155"/>
      <c r="Q527" s="155"/>
      <c r="R527" s="155"/>
      <c r="S527" s="155"/>
      <c r="T527" s="155"/>
      <c r="U527" s="158"/>
      <c r="V527" s="155"/>
      <c r="W527" s="155"/>
      <c r="X527" s="263"/>
      <c r="Y527" s="155"/>
      <c r="Z527" s="155"/>
      <c r="AA527" s="263"/>
      <c r="AB527" s="263"/>
      <c r="AC527" s="155"/>
      <c r="AD527" s="155"/>
      <c r="AE527" s="155"/>
      <c r="AF527" s="155"/>
      <c r="AG527" s="155"/>
      <c r="AH527" s="155"/>
      <c r="AI527" s="155"/>
      <c r="AJ527" s="155"/>
      <c r="AK527" s="155"/>
      <c r="AL527" s="155"/>
      <c r="AM527" s="155"/>
      <c r="AN527" s="155"/>
      <c r="AO527" s="155"/>
      <c r="AP527" s="49"/>
      <c r="AQ527" s="49"/>
      <c r="AR527" s="155"/>
      <c r="AS527" s="155"/>
      <c r="AT527" s="155"/>
      <c r="AU527" s="155"/>
      <c r="AV527" s="155"/>
      <c r="AW527" s="155"/>
      <c r="AX527" s="155"/>
      <c r="AY527" s="155"/>
      <c r="AZ527" s="49"/>
      <c r="BA527" s="49"/>
      <c r="BB527" s="49"/>
      <c r="BC527" s="49"/>
      <c r="BD527" s="49"/>
      <c r="BE527" s="49"/>
      <c r="BF527" s="49"/>
      <c r="BG527" s="49"/>
      <c r="BH527" s="49"/>
      <c r="BI527" s="155"/>
      <c r="BJ527" s="155"/>
      <c r="BK527" s="155"/>
      <c r="BL527" s="49"/>
      <c r="BM527" s="49"/>
      <c r="BN527" s="49"/>
      <c r="BO527" s="49"/>
      <c r="BP527" s="49"/>
      <c r="BQ527" s="49"/>
      <c r="BR527" s="49"/>
      <c r="BS527" s="49"/>
      <c r="BT527" s="49"/>
      <c r="BU527" s="49"/>
      <c r="BV527" s="49"/>
      <c r="BW527" s="49"/>
      <c r="BX527" s="49"/>
      <c r="BY527" s="49"/>
      <c r="BZ527" s="49"/>
      <c r="CA527" s="49"/>
      <c r="CB527" s="49"/>
      <c r="CC527" s="49"/>
      <c r="CD527" s="49"/>
      <c r="CE527" s="49"/>
      <c r="CF527" s="49"/>
      <c r="CG527" s="49"/>
      <c r="CH527" s="49"/>
      <c r="CI527" s="49"/>
      <c r="CJ527" s="49"/>
      <c r="CK527" s="49"/>
      <c r="CL527" s="49"/>
      <c r="CM527" s="49"/>
      <c r="CN527" s="49"/>
      <c r="CO527" s="49"/>
      <c r="CP527" s="49"/>
      <c r="CQ527" s="49"/>
      <c r="CR527" s="49"/>
      <c r="CS527" s="49"/>
      <c r="CT527" s="155"/>
      <c r="CU527" s="155"/>
      <c r="CV527" s="155"/>
      <c r="CW527" s="155"/>
      <c r="CX527" s="155"/>
      <c r="CY527" s="155"/>
      <c r="CZ527" s="155"/>
      <c r="DA527" s="155"/>
      <c r="DB527" s="155"/>
      <c r="DC527" s="155"/>
      <c r="DD527" s="155"/>
      <c r="DE527" s="155"/>
      <c r="DF527" s="155"/>
      <c r="DG527" s="155"/>
      <c r="DH527" s="155"/>
      <c r="DI527" s="155"/>
      <c r="DJ527" s="155"/>
      <c r="DK527" s="155"/>
      <c r="DL527" s="155"/>
      <c r="DM527" s="155"/>
      <c r="DN527" s="155"/>
      <c r="DO527" s="155"/>
      <c r="DP527" s="155"/>
      <c r="DQ527" s="155"/>
      <c r="DR527" s="155"/>
      <c r="DS527" s="155"/>
      <c r="DT527" s="155"/>
      <c r="DU527" s="155"/>
      <c r="DV527" s="155"/>
      <c r="DW527" s="155"/>
      <c r="DX527" s="155"/>
    </row>
    <row r="528" spans="1:128" ht="18" customHeight="1">
      <c r="A528" s="155"/>
      <c r="B528" s="155"/>
      <c r="C528" s="155"/>
      <c r="D528" s="155"/>
      <c r="E528" s="155"/>
      <c r="F528" s="155"/>
      <c r="G528" s="155"/>
      <c r="H528" s="155"/>
      <c r="I528" s="270"/>
      <c r="J528" s="270"/>
      <c r="K528" s="270"/>
      <c r="L528" s="270"/>
      <c r="M528" s="270"/>
      <c r="N528" s="270"/>
      <c r="O528" s="155"/>
      <c r="P528" s="155"/>
      <c r="Q528" s="155"/>
      <c r="R528" s="155"/>
      <c r="S528" s="155"/>
      <c r="T528" s="155"/>
      <c r="U528" s="158"/>
      <c r="V528" s="155"/>
      <c r="W528" s="155"/>
      <c r="X528" s="263"/>
      <c r="Y528" s="155"/>
      <c r="Z528" s="155"/>
      <c r="AA528" s="263"/>
      <c r="AB528" s="263"/>
      <c r="AC528" s="155"/>
      <c r="AD528" s="155"/>
      <c r="AE528" s="155"/>
      <c r="AF528" s="155"/>
      <c r="AG528" s="155"/>
      <c r="AH528" s="155"/>
      <c r="AI528" s="155"/>
      <c r="AJ528" s="155"/>
      <c r="AK528" s="155"/>
      <c r="AL528" s="155"/>
      <c r="AM528" s="155"/>
      <c r="AN528" s="155"/>
      <c r="AO528" s="155"/>
      <c r="AP528" s="49"/>
      <c r="AQ528" s="49"/>
      <c r="AR528" s="155"/>
      <c r="AS528" s="155"/>
      <c r="AT528" s="155"/>
      <c r="AU528" s="155"/>
      <c r="AV528" s="155"/>
      <c r="AW528" s="155"/>
      <c r="AX528" s="155"/>
      <c r="AY528" s="155"/>
      <c r="AZ528" s="49"/>
      <c r="BA528" s="49"/>
      <c r="BB528" s="49"/>
      <c r="BC528" s="49"/>
      <c r="BD528" s="49"/>
      <c r="BE528" s="49"/>
      <c r="BF528" s="49"/>
      <c r="BG528" s="49"/>
      <c r="BH528" s="49"/>
      <c r="BI528" s="155"/>
      <c r="BJ528" s="155"/>
      <c r="BK528" s="155"/>
      <c r="BL528" s="49"/>
      <c r="BM528" s="49"/>
      <c r="BN528" s="49"/>
      <c r="BO528" s="49"/>
      <c r="BP528" s="49"/>
      <c r="BQ528" s="49"/>
      <c r="BR528" s="49"/>
      <c r="BS528" s="49"/>
      <c r="BT528" s="49"/>
      <c r="BU528" s="49"/>
      <c r="BV528" s="49"/>
      <c r="BW528" s="49"/>
      <c r="BX528" s="49"/>
      <c r="BY528" s="49"/>
      <c r="BZ528" s="49"/>
      <c r="CA528" s="49"/>
      <c r="CB528" s="49"/>
      <c r="CC528" s="49"/>
      <c r="CD528" s="49"/>
      <c r="CE528" s="49"/>
      <c r="CF528" s="49"/>
      <c r="CG528" s="49"/>
      <c r="CH528" s="49"/>
      <c r="CI528" s="49"/>
      <c r="CJ528" s="49"/>
      <c r="CK528" s="49"/>
      <c r="CL528" s="49"/>
      <c r="CM528" s="49"/>
      <c r="CN528" s="49"/>
      <c r="CO528" s="49"/>
      <c r="CP528" s="49"/>
      <c r="CQ528" s="49"/>
      <c r="CR528" s="49"/>
      <c r="CS528" s="49"/>
      <c r="CT528" s="155"/>
      <c r="CU528" s="155"/>
      <c r="CV528" s="155"/>
      <c r="CW528" s="155"/>
      <c r="CX528" s="155"/>
      <c r="CY528" s="155"/>
      <c r="CZ528" s="155"/>
      <c r="DA528" s="155"/>
      <c r="DB528" s="155"/>
      <c r="DC528" s="155"/>
      <c r="DD528" s="155"/>
      <c r="DE528" s="155"/>
      <c r="DF528" s="155"/>
      <c r="DG528" s="155"/>
      <c r="DH528" s="155"/>
      <c r="DI528" s="155"/>
      <c r="DJ528" s="155"/>
      <c r="DK528" s="155"/>
      <c r="DL528" s="155"/>
      <c r="DM528" s="155"/>
      <c r="DN528" s="155"/>
      <c r="DO528" s="155"/>
      <c r="DP528" s="155"/>
      <c r="DQ528" s="155"/>
      <c r="DR528" s="155"/>
      <c r="DS528" s="155"/>
      <c r="DT528" s="155"/>
      <c r="DU528" s="155"/>
      <c r="DV528" s="155"/>
      <c r="DW528" s="155"/>
      <c r="DX528" s="155"/>
    </row>
    <row r="529" spans="1:128" ht="18" customHeight="1">
      <c r="A529" s="155"/>
      <c r="B529" s="155"/>
      <c r="C529" s="155"/>
      <c r="D529" s="155"/>
      <c r="E529" s="155"/>
      <c r="F529" s="155"/>
      <c r="G529" s="155"/>
      <c r="H529" s="155"/>
      <c r="I529" s="270"/>
      <c r="J529" s="270"/>
      <c r="K529" s="270"/>
      <c r="L529" s="270"/>
      <c r="M529" s="270"/>
      <c r="N529" s="270"/>
      <c r="O529" s="155"/>
      <c r="P529" s="155"/>
      <c r="Q529" s="155"/>
      <c r="R529" s="155"/>
      <c r="S529" s="155"/>
      <c r="T529" s="155"/>
      <c r="U529" s="158"/>
      <c r="V529" s="155"/>
      <c r="W529" s="155"/>
      <c r="X529" s="263"/>
      <c r="Y529" s="155"/>
      <c r="Z529" s="155"/>
      <c r="AA529" s="263"/>
      <c r="AB529" s="263"/>
      <c r="AC529" s="155"/>
      <c r="AD529" s="155"/>
      <c r="AE529" s="155"/>
      <c r="AF529" s="155"/>
      <c r="AG529" s="155"/>
      <c r="AH529" s="155"/>
      <c r="AI529" s="155"/>
      <c r="AJ529" s="155"/>
      <c r="AK529" s="155"/>
      <c r="AL529" s="155"/>
      <c r="AM529" s="155"/>
      <c r="AN529" s="155"/>
      <c r="AO529" s="155"/>
      <c r="AP529" s="49"/>
      <c r="AQ529" s="49"/>
      <c r="AR529" s="155"/>
      <c r="AS529" s="155"/>
      <c r="AT529" s="155"/>
      <c r="AU529" s="155"/>
      <c r="AV529" s="155"/>
      <c r="AW529" s="155"/>
      <c r="AX529" s="155"/>
      <c r="AY529" s="155"/>
      <c r="AZ529" s="49"/>
      <c r="BA529" s="49"/>
      <c r="BB529" s="49"/>
      <c r="BC529" s="49"/>
      <c r="BD529" s="49"/>
      <c r="BE529" s="49"/>
      <c r="BF529" s="49"/>
      <c r="BG529" s="49"/>
      <c r="BH529" s="49"/>
      <c r="BI529" s="155"/>
      <c r="BJ529" s="155"/>
      <c r="BK529" s="155"/>
      <c r="BL529" s="49"/>
      <c r="BM529" s="49"/>
      <c r="BN529" s="49"/>
      <c r="BO529" s="49"/>
      <c r="BP529" s="49"/>
      <c r="BQ529" s="49"/>
      <c r="BR529" s="49"/>
      <c r="BS529" s="49"/>
      <c r="BT529" s="49"/>
      <c r="BU529" s="49"/>
      <c r="BV529" s="49"/>
      <c r="BW529" s="49"/>
      <c r="BX529" s="49"/>
      <c r="BY529" s="49"/>
      <c r="BZ529" s="49"/>
      <c r="CA529" s="49"/>
      <c r="CB529" s="49"/>
      <c r="CC529" s="49"/>
      <c r="CD529" s="49"/>
      <c r="CE529" s="49"/>
      <c r="CF529" s="49"/>
      <c r="CG529" s="49"/>
      <c r="CH529" s="49"/>
      <c r="CI529" s="49"/>
      <c r="CJ529" s="49"/>
      <c r="CK529" s="49"/>
      <c r="CL529" s="49"/>
      <c r="CM529" s="49"/>
      <c r="CN529" s="49"/>
      <c r="CO529" s="49"/>
      <c r="CP529" s="49"/>
      <c r="CQ529" s="49"/>
      <c r="CR529" s="49"/>
      <c r="CS529" s="49"/>
      <c r="CT529" s="155"/>
      <c r="CU529" s="155"/>
      <c r="CV529" s="155"/>
      <c r="CW529" s="155"/>
      <c r="CX529" s="155"/>
      <c r="CY529" s="155"/>
      <c r="CZ529" s="155"/>
      <c r="DA529" s="155"/>
      <c r="DB529" s="155"/>
      <c r="DC529" s="155"/>
      <c r="DD529" s="155"/>
      <c r="DE529" s="155"/>
      <c r="DF529" s="155"/>
      <c r="DG529" s="155"/>
      <c r="DH529" s="155"/>
      <c r="DI529" s="155"/>
      <c r="DJ529" s="155"/>
      <c r="DK529" s="155"/>
      <c r="DL529" s="155"/>
      <c r="DM529" s="155"/>
      <c r="DN529" s="155"/>
      <c r="DO529" s="155"/>
      <c r="DP529" s="155"/>
      <c r="DQ529" s="155"/>
      <c r="DR529" s="155"/>
      <c r="DS529" s="155"/>
      <c r="DT529" s="155"/>
      <c r="DU529" s="155"/>
      <c r="DV529" s="155"/>
      <c r="DW529" s="155"/>
      <c r="DX529" s="155"/>
    </row>
    <row r="530" spans="1:128" ht="18" customHeight="1">
      <c r="A530" s="155"/>
      <c r="B530" s="155"/>
      <c r="C530" s="155"/>
      <c r="D530" s="155"/>
      <c r="E530" s="155"/>
      <c r="F530" s="155"/>
      <c r="G530" s="155"/>
      <c r="H530" s="155"/>
      <c r="I530" s="270"/>
      <c r="J530" s="270"/>
      <c r="K530" s="270"/>
      <c r="L530" s="270"/>
      <c r="M530" s="270"/>
      <c r="N530" s="270"/>
      <c r="O530" s="155"/>
      <c r="P530" s="155"/>
      <c r="Q530" s="155"/>
      <c r="R530" s="155"/>
      <c r="S530" s="155"/>
      <c r="T530" s="155"/>
      <c r="U530" s="158"/>
      <c r="V530" s="155"/>
      <c r="W530" s="155"/>
      <c r="X530" s="263"/>
      <c r="Y530" s="155"/>
      <c r="Z530" s="155"/>
      <c r="AA530" s="263"/>
      <c r="AB530" s="263"/>
      <c r="AC530" s="155"/>
      <c r="AD530" s="155"/>
      <c r="AE530" s="155"/>
      <c r="AF530" s="155"/>
      <c r="AG530" s="155"/>
      <c r="AH530" s="155"/>
      <c r="AI530" s="155"/>
      <c r="AJ530" s="155"/>
      <c r="AK530" s="155"/>
      <c r="AL530" s="155"/>
      <c r="AM530" s="155"/>
      <c r="AN530" s="155"/>
      <c r="AO530" s="155"/>
      <c r="AP530" s="49"/>
      <c r="AQ530" s="49"/>
      <c r="AR530" s="155"/>
      <c r="AS530" s="155"/>
      <c r="AT530" s="155"/>
      <c r="AU530" s="155"/>
      <c r="AV530" s="155"/>
      <c r="AW530" s="155"/>
      <c r="AX530" s="155"/>
      <c r="AY530" s="155"/>
      <c r="AZ530" s="49"/>
      <c r="BA530" s="49"/>
      <c r="BB530" s="49"/>
      <c r="BC530" s="49"/>
      <c r="BD530" s="49"/>
      <c r="BE530" s="49"/>
      <c r="BF530" s="49"/>
      <c r="BG530" s="49"/>
      <c r="BH530" s="49"/>
      <c r="BI530" s="155"/>
      <c r="BJ530" s="155"/>
      <c r="BK530" s="155"/>
      <c r="BL530" s="49"/>
      <c r="BM530" s="49"/>
      <c r="BN530" s="49"/>
      <c r="BO530" s="49"/>
      <c r="BP530" s="49"/>
      <c r="BQ530" s="49"/>
      <c r="BR530" s="49"/>
      <c r="BS530" s="49"/>
      <c r="BT530" s="49"/>
      <c r="BU530" s="49"/>
      <c r="BV530" s="49"/>
      <c r="BW530" s="49"/>
      <c r="BX530" s="49"/>
      <c r="BY530" s="49"/>
      <c r="BZ530" s="49"/>
      <c r="CA530" s="49"/>
      <c r="CB530" s="49"/>
      <c r="CC530" s="49"/>
      <c r="CD530" s="49"/>
      <c r="CE530" s="49"/>
      <c r="CF530" s="49"/>
      <c r="CG530" s="49"/>
      <c r="CH530" s="49"/>
      <c r="CI530" s="49"/>
      <c r="CJ530" s="49"/>
      <c r="CK530" s="49"/>
      <c r="CL530" s="49"/>
      <c r="CM530" s="49"/>
      <c r="CN530" s="49"/>
      <c r="CO530" s="49"/>
      <c r="CP530" s="49"/>
      <c r="CQ530" s="49"/>
      <c r="CR530" s="49"/>
      <c r="CS530" s="49"/>
      <c r="CT530" s="155"/>
      <c r="CU530" s="155"/>
      <c r="CV530" s="155"/>
      <c r="CW530" s="155"/>
      <c r="CX530" s="155"/>
      <c r="CY530" s="155"/>
      <c r="CZ530" s="155"/>
      <c r="DA530" s="155"/>
      <c r="DB530" s="155"/>
      <c r="DC530" s="155"/>
      <c r="DD530" s="155"/>
      <c r="DE530" s="155"/>
      <c r="DF530" s="155"/>
      <c r="DG530" s="155"/>
      <c r="DH530" s="155"/>
      <c r="DI530" s="155"/>
      <c r="DJ530" s="155"/>
      <c r="DK530" s="155"/>
      <c r="DL530" s="155"/>
      <c r="DM530" s="155"/>
      <c r="DN530" s="155"/>
      <c r="DO530" s="155"/>
      <c r="DP530" s="155"/>
      <c r="DQ530" s="155"/>
      <c r="DR530" s="155"/>
      <c r="DS530" s="155"/>
      <c r="DT530" s="155"/>
      <c r="DU530" s="155"/>
      <c r="DV530" s="155"/>
      <c r="DW530" s="155"/>
      <c r="DX530" s="155"/>
    </row>
    <row r="531" spans="1:128" ht="18" customHeight="1">
      <c r="A531" s="155"/>
      <c r="B531" s="155"/>
      <c r="C531" s="155"/>
      <c r="D531" s="155"/>
      <c r="E531" s="155"/>
      <c r="F531" s="155"/>
      <c r="G531" s="155"/>
      <c r="H531" s="155"/>
      <c r="I531" s="270"/>
      <c r="J531" s="270"/>
      <c r="K531" s="270"/>
      <c r="L531" s="270"/>
      <c r="M531" s="270"/>
      <c r="N531" s="270"/>
      <c r="O531" s="155"/>
      <c r="P531" s="155"/>
      <c r="Q531" s="155"/>
      <c r="R531" s="155"/>
      <c r="S531" s="155"/>
      <c r="T531" s="155"/>
      <c r="U531" s="158"/>
      <c r="V531" s="155"/>
      <c r="W531" s="155"/>
      <c r="X531" s="263"/>
      <c r="Y531" s="155"/>
      <c r="Z531" s="155"/>
      <c r="AA531" s="263"/>
      <c r="AB531" s="263"/>
      <c r="AC531" s="155"/>
      <c r="AD531" s="155"/>
      <c r="AE531" s="155"/>
      <c r="AF531" s="155"/>
      <c r="AG531" s="155"/>
      <c r="AH531" s="155"/>
      <c r="AI531" s="155"/>
      <c r="AJ531" s="155"/>
      <c r="AK531" s="155"/>
      <c r="AL531" s="155"/>
      <c r="AM531" s="155"/>
      <c r="AN531" s="155"/>
      <c r="AO531" s="155"/>
      <c r="AP531" s="49"/>
      <c r="AQ531" s="49"/>
      <c r="AR531" s="155"/>
      <c r="AS531" s="155"/>
      <c r="AT531" s="155"/>
      <c r="AU531" s="155"/>
      <c r="AV531" s="155"/>
      <c r="AW531" s="155"/>
      <c r="AX531" s="155"/>
      <c r="AY531" s="155"/>
      <c r="AZ531" s="49"/>
      <c r="BA531" s="49"/>
      <c r="BB531" s="49"/>
      <c r="BC531" s="49"/>
      <c r="BD531" s="49"/>
      <c r="BE531" s="49"/>
      <c r="BF531" s="49"/>
      <c r="BG531" s="49"/>
      <c r="BH531" s="49"/>
      <c r="BI531" s="155"/>
      <c r="BJ531" s="155"/>
      <c r="BK531" s="155"/>
      <c r="BL531" s="49"/>
      <c r="BM531" s="49"/>
      <c r="BN531" s="49"/>
      <c r="BO531" s="49"/>
      <c r="BP531" s="49"/>
      <c r="BQ531" s="49"/>
      <c r="BR531" s="49"/>
      <c r="BS531" s="49"/>
      <c r="BT531" s="49"/>
      <c r="BU531" s="49"/>
      <c r="BV531" s="49"/>
      <c r="BW531" s="49"/>
      <c r="BX531" s="49"/>
      <c r="BY531" s="49"/>
      <c r="BZ531" s="49"/>
      <c r="CA531" s="49"/>
      <c r="CB531" s="49"/>
      <c r="CC531" s="49"/>
      <c r="CD531" s="49"/>
      <c r="CE531" s="49"/>
      <c r="CF531" s="49"/>
      <c r="CG531" s="49"/>
      <c r="CH531" s="49"/>
      <c r="CI531" s="49"/>
      <c r="CJ531" s="49"/>
      <c r="CK531" s="49"/>
      <c r="CL531" s="49"/>
      <c r="CM531" s="49"/>
      <c r="CN531" s="49"/>
      <c r="CO531" s="49"/>
      <c r="CP531" s="49"/>
      <c r="CQ531" s="49"/>
      <c r="CR531" s="49"/>
      <c r="CS531" s="49"/>
      <c r="CT531" s="155"/>
      <c r="CU531" s="155"/>
      <c r="CV531" s="155"/>
      <c r="CW531" s="155"/>
      <c r="CX531" s="155"/>
      <c r="CY531" s="155"/>
      <c r="CZ531" s="155"/>
      <c r="DA531" s="155"/>
      <c r="DB531" s="155"/>
      <c r="DC531" s="155"/>
      <c r="DD531" s="155"/>
      <c r="DE531" s="155"/>
      <c r="DF531" s="155"/>
      <c r="DG531" s="155"/>
      <c r="DH531" s="155"/>
      <c r="DI531" s="155"/>
      <c r="DJ531" s="155"/>
      <c r="DK531" s="155"/>
      <c r="DL531" s="155"/>
      <c r="DM531" s="155"/>
      <c r="DN531" s="155"/>
      <c r="DO531" s="155"/>
      <c r="DP531" s="155"/>
      <c r="DQ531" s="155"/>
      <c r="DR531" s="155"/>
      <c r="DS531" s="155"/>
      <c r="DT531" s="155"/>
      <c r="DU531" s="155"/>
      <c r="DV531" s="155"/>
      <c r="DW531" s="155"/>
      <c r="DX531" s="155"/>
    </row>
    <row r="532" spans="1:128" ht="18" customHeight="1">
      <c r="A532" s="155"/>
      <c r="B532" s="155"/>
      <c r="C532" s="155"/>
      <c r="D532" s="155"/>
      <c r="E532" s="155"/>
      <c r="F532" s="155"/>
      <c r="G532" s="155"/>
      <c r="H532" s="155"/>
      <c r="I532" s="270"/>
      <c r="J532" s="270"/>
      <c r="K532" s="270"/>
      <c r="L532" s="270"/>
      <c r="M532" s="270"/>
      <c r="N532" s="270"/>
      <c r="O532" s="155"/>
      <c r="P532" s="155"/>
      <c r="Q532" s="155"/>
      <c r="R532" s="155"/>
      <c r="S532" s="155"/>
      <c r="T532" s="155"/>
      <c r="U532" s="158"/>
      <c r="V532" s="155"/>
      <c r="W532" s="155"/>
      <c r="X532" s="263"/>
      <c r="Y532" s="155"/>
      <c r="Z532" s="155"/>
      <c r="AA532" s="263"/>
      <c r="AB532" s="263"/>
      <c r="AC532" s="155"/>
      <c r="AD532" s="155"/>
      <c r="AE532" s="155"/>
      <c r="AF532" s="155"/>
      <c r="AG532" s="155"/>
      <c r="AH532" s="155"/>
      <c r="AI532" s="155"/>
      <c r="AJ532" s="155"/>
      <c r="AK532" s="155"/>
      <c r="AL532" s="155"/>
      <c r="AM532" s="155"/>
      <c r="AN532" s="155"/>
      <c r="AO532" s="155"/>
      <c r="AP532" s="49"/>
      <c r="AQ532" s="49"/>
      <c r="AR532" s="155"/>
      <c r="AS532" s="155"/>
      <c r="AT532" s="155"/>
      <c r="AU532" s="155"/>
      <c r="AV532" s="155"/>
      <c r="AW532" s="155"/>
      <c r="AX532" s="155"/>
      <c r="AY532" s="155"/>
      <c r="AZ532" s="49"/>
      <c r="BA532" s="49"/>
      <c r="BB532" s="49"/>
      <c r="BC532" s="49"/>
      <c r="BD532" s="49"/>
      <c r="BE532" s="49"/>
      <c r="BF532" s="49"/>
      <c r="BG532" s="49"/>
      <c r="BH532" s="49"/>
      <c r="BI532" s="155"/>
      <c r="BJ532" s="155"/>
      <c r="BK532" s="155"/>
      <c r="BL532" s="49"/>
      <c r="BM532" s="49"/>
      <c r="BN532" s="49"/>
      <c r="BO532" s="49"/>
      <c r="BP532" s="49"/>
      <c r="BQ532" s="49"/>
      <c r="BR532" s="49"/>
      <c r="BS532" s="49"/>
      <c r="BT532" s="49"/>
      <c r="BU532" s="49"/>
      <c r="BV532" s="49"/>
      <c r="BW532" s="49"/>
      <c r="BX532" s="49"/>
      <c r="BY532" s="49"/>
      <c r="BZ532" s="49"/>
      <c r="CA532" s="49"/>
      <c r="CB532" s="49"/>
      <c r="CC532" s="49"/>
      <c r="CD532" s="49"/>
      <c r="CE532" s="49"/>
      <c r="CF532" s="49"/>
      <c r="CG532" s="49"/>
      <c r="CH532" s="49"/>
      <c r="CI532" s="49"/>
      <c r="CJ532" s="49"/>
      <c r="CK532" s="49"/>
      <c r="CL532" s="49"/>
      <c r="CM532" s="49"/>
      <c r="CN532" s="49"/>
      <c r="CO532" s="49"/>
      <c r="CP532" s="49"/>
      <c r="CQ532" s="49"/>
      <c r="CR532" s="49"/>
      <c r="CS532" s="49"/>
      <c r="CT532" s="155"/>
      <c r="CU532" s="155"/>
      <c r="CV532" s="155"/>
      <c r="CW532" s="155"/>
      <c r="CX532" s="155"/>
      <c r="CY532" s="155"/>
      <c r="CZ532" s="155"/>
      <c r="DA532" s="155"/>
      <c r="DB532" s="155"/>
      <c r="DC532" s="155"/>
      <c r="DD532" s="155"/>
      <c r="DE532" s="155"/>
      <c r="DF532" s="155"/>
      <c r="DG532" s="155"/>
      <c r="DH532" s="155"/>
      <c r="DI532" s="155"/>
      <c r="DJ532" s="155"/>
      <c r="DK532" s="155"/>
      <c r="DL532" s="155"/>
      <c r="DM532" s="155"/>
      <c r="DN532" s="155"/>
      <c r="DO532" s="155"/>
      <c r="DP532" s="155"/>
      <c r="DQ532" s="155"/>
      <c r="DR532" s="155"/>
      <c r="DS532" s="155"/>
      <c r="DT532" s="155"/>
      <c r="DU532" s="155"/>
      <c r="DV532" s="155"/>
      <c r="DW532" s="155"/>
      <c r="DX532" s="155"/>
    </row>
    <row r="533" spans="1:128" ht="18" customHeight="1">
      <c r="A533" s="155"/>
      <c r="B533" s="155"/>
      <c r="C533" s="155"/>
      <c r="D533" s="155"/>
      <c r="E533" s="155"/>
      <c r="F533" s="155"/>
      <c r="G533" s="155"/>
      <c r="H533" s="155"/>
      <c r="I533" s="270"/>
      <c r="J533" s="270"/>
      <c r="K533" s="270"/>
      <c r="L533" s="270"/>
      <c r="M533" s="270"/>
      <c r="N533" s="270"/>
      <c r="O533" s="155"/>
      <c r="P533" s="155"/>
      <c r="Q533" s="155"/>
      <c r="R533" s="155"/>
      <c r="S533" s="155"/>
      <c r="T533" s="155"/>
      <c r="U533" s="158"/>
      <c r="V533" s="155"/>
      <c r="W533" s="155"/>
      <c r="X533" s="263"/>
      <c r="Y533" s="155"/>
      <c r="Z533" s="155"/>
      <c r="AA533" s="263"/>
      <c r="AB533" s="263"/>
      <c r="AC533" s="155"/>
      <c r="AD533" s="155"/>
      <c r="AE533" s="155"/>
      <c r="AF533" s="155"/>
      <c r="AG533" s="155"/>
      <c r="AH533" s="155"/>
      <c r="AI533" s="155"/>
      <c r="AJ533" s="155"/>
      <c r="AK533" s="155"/>
      <c r="AL533" s="155"/>
      <c r="AM533" s="155"/>
      <c r="AN533" s="155"/>
      <c r="AO533" s="155"/>
      <c r="AP533" s="49"/>
      <c r="AQ533" s="49"/>
      <c r="AR533" s="155"/>
      <c r="AS533" s="155"/>
      <c r="AT533" s="155"/>
      <c r="AU533" s="155"/>
      <c r="AV533" s="155"/>
      <c r="AW533" s="155"/>
      <c r="AX533" s="155"/>
      <c r="AY533" s="155"/>
      <c r="AZ533" s="49"/>
      <c r="BA533" s="49"/>
      <c r="BB533" s="49"/>
      <c r="BC533" s="49"/>
      <c r="BD533" s="49"/>
      <c r="BE533" s="49"/>
      <c r="BF533" s="49"/>
      <c r="BG533" s="49"/>
      <c r="BH533" s="49"/>
      <c r="BI533" s="155"/>
      <c r="BJ533" s="155"/>
      <c r="BK533" s="155"/>
      <c r="BL533" s="49"/>
      <c r="BM533" s="49"/>
      <c r="BN533" s="49"/>
      <c r="BO533" s="49"/>
      <c r="BP533" s="49"/>
      <c r="BQ533" s="49"/>
      <c r="BR533" s="49"/>
      <c r="BS533" s="49"/>
      <c r="BT533" s="49"/>
      <c r="BU533" s="49"/>
      <c r="BV533" s="49"/>
      <c r="BW533" s="49"/>
      <c r="BX533" s="49"/>
      <c r="BY533" s="49"/>
      <c r="BZ533" s="49"/>
      <c r="CA533" s="49"/>
      <c r="CB533" s="49"/>
      <c r="CC533" s="49"/>
      <c r="CD533" s="49"/>
      <c r="CE533" s="49"/>
      <c r="CF533" s="49"/>
      <c r="CG533" s="49"/>
      <c r="CH533" s="49"/>
      <c r="CI533" s="49"/>
      <c r="CJ533" s="49"/>
      <c r="CK533" s="49"/>
      <c r="CL533" s="49"/>
      <c r="CM533" s="49"/>
      <c r="CN533" s="49"/>
      <c r="CO533" s="49"/>
      <c r="CP533" s="49"/>
      <c r="CQ533" s="49"/>
      <c r="CR533" s="49"/>
      <c r="CS533" s="49"/>
      <c r="CT533" s="155"/>
      <c r="CU533" s="155"/>
      <c r="CV533" s="155"/>
      <c r="CW533" s="155"/>
      <c r="CX533" s="155"/>
      <c r="CY533" s="155"/>
      <c r="CZ533" s="155"/>
      <c r="DA533" s="155"/>
      <c r="DB533" s="155"/>
      <c r="DC533" s="155"/>
      <c r="DD533" s="155"/>
      <c r="DE533" s="155"/>
      <c r="DF533" s="155"/>
      <c r="DG533" s="155"/>
      <c r="DH533" s="155"/>
      <c r="DI533" s="155"/>
      <c r="DJ533" s="155"/>
      <c r="DK533" s="155"/>
      <c r="DL533" s="155"/>
      <c r="DM533" s="155"/>
      <c r="DN533" s="155"/>
      <c r="DO533" s="155"/>
      <c r="DP533" s="155"/>
      <c r="DQ533" s="155"/>
      <c r="DR533" s="155"/>
      <c r="DS533" s="155"/>
      <c r="DT533" s="155"/>
      <c r="DU533" s="155"/>
      <c r="DV533" s="155"/>
      <c r="DW533" s="155"/>
      <c r="DX533" s="155"/>
    </row>
    <row r="534" spans="1:128" ht="18" customHeight="1">
      <c r="A534" s="155"/>
      <c r="B534" s="155"/>
      <c r="C534" s="155"/>
      <c r="D534" s="155"/>
      <c r="E534" s="155"/>
      <c r="F534" s="155"/>
      <c r="G534" s="155"/>
      <c r="H534" s="155"/>
      <c r="I534" s="270"/>
      <c r="J534" s="270"/>
      <c r="K534" s="270"/>
      <c r="L534" s="270"/>
      <c r="M534" s="270"/>
      <c r="N534" s="270"/>
      <c r="O534" s="155"/>
      <c r="P534" s="155"/>
      <c r="Q534" s="155"/>
      <c r="R534" s="155"/>
      <c r="S534" s="155"/>
      <c r="T534" s="155"/>
      <c r="U534" s="158"/>
      <c r="V534" s="155"/>
      <c r="W534" s="155"/>
      <c r="X534" s="263"/>
      <c r="Y534" s="155"/>
      <c r="Z534" s="155"/>
      <c r="AA534" s="263"/>
      <c r="AB534" s="263"/>
      <c r="AC534" s="155"/>
      <c r="AD534" s="155"/>
      <c r="AE534" s="155"/>
      <c r="AF534" s="155"/>
      <c r="AG534" s="155"/>
      <c r="AH534" s="155"/>
      <c r="AI534" s="155"/>
      <c r="AJ534" s="155"/>
      <c r="AK534" s="155"/>
      <c r="AL534" s="155"/>
      <c r="AM534" s="155"/>
      <c r="AN534" s="155"/>
      <c r="AO534" s="155"/>
      <c r="AP534" s="49"/>
      <c r="AQ534" s="49"/>
      <c r="AR534" s="155"/>
      <c r="AS534" s="155"/>
      <c r="AT534" s="155"/>
      <c r="AU534" s="155"/>
      <c r="AV534" s="155"/>
      <c r="AW534" s="155"/>
      <c r="AX534" s="155"/>
      <c r="AY534" s="155"/>
      <c r="AZ534" s="49"/>
      <c r="BA534" s="49"/>
      <c r="BB534" s="49"/>
      <c r="BC534" s="49"/>
      <c r="BD534" s="49"/>
      <c r="BE534" s="49"/>
      <c r="BF534" s="49"/>
      <c r="BG534" s="49"/>
      <c r="BH534" s="49"/>
      <c r="BI534" s="155"/>
      <c r="BJ534" s="155"/>
      <c r="BK534" s="155"/>
      <c r="BL534" s="49"/>
      <c r="BM534" s="49"/>
      <c r="BN534" s="49"/>
      <c r="BO534" s="49"/>
      <c r="BP534" s="49"/>
      <c r="BQ534" s="49"/>
      <c r="BR534" s="49"/>
      <c r="BS534" s="49"/>
      <c r="BT534" s="49"/>
      <c r="BU534" s="49"/>
      <c r="BV534" s="49"/>
      <c r="BW534" s="49"/>
      <c r="BX534" s="49"/>
      <c r="BY534" s="49"/>
      <c r="BZ534" s="49"/>
      <c r="CA534" s="49"/>
      <c r="CB534" s="49"/>
      <c r="CC534" s="49"/>
      <c r="CD534" s="49"/>
      <c r="CE534" s="49"/>
      <c r="CF534" s="49"/>
      <c r="CG534" s="49"/>
      <c r="CH534" s="49"/>
      <c r="CI534" s="49"/>
      <c r="CJ534" s="49"/>
      <c r="CK534" s="49"/>
      <c r="CL534" s="49"/>
      <c r="CM534" s="49"/>
      <c r="CN534" s="49"/>
      <c r="CO534" s="49"/>
      <c r="CP534" s="49"/>
      <c r="CQ534" s="49"/>
      <c r="CR534" s="49"/>
      <c r="CS534" s="49"/>
      <c r="CT534" s="155"/>
      <c r="CU534" s="155"/>
      <c r="CV534" s="155"/>
      <c r="CW534" s="155"/>
      <c r="CX534" s="155"/>
      <c r="CY534" s="155"/>
      <c r="CZ534" s="155"/>
      <c r="DA534" s="155"/>
      <c r="DB534" s="155"/>
      <c r="DC534" s="155"/>
      <c r="DD534" s="155"/>
      <c r="DE534" s="155"/>
      <c r="DF534" s="155"/>
      <c r="DG534" s="155"/>
      <c r="DH534" s="155"/>
      <c r="DI534" s="155"/>
      <c r="DJ534" s="155"/>
      <c r="DK534" s="155"/>
      <c r="DL534" s="155"/>
      <c r="DM534" s="155"/>
      <c r="DN534" s="155"/>
      <c r="DO534" s="155"/>
      <c r="DP534" s="155"/>
      <c r="DQ534" s="155"/>
      <c r="DR534" s="155"/>
      <c r="DS534" s="155"/>
      <c r="DT534" s="155"/>
      <c r="DU534" s="155"/>
      <c r="DV534" s="155"/>
      <c r="DW534" s="155"/>
      <c r="DX534" s="155"/>
    </row>
    <row r="535" spans="1:128" ht="18" customHeight="1">
      <c r="A535" s="155"/>
      <c r="B535" s="155"/>
      <c r="C535" s="155"/>
      <c r="D535" s="155"/>
      <c r="E535" s="155"/>
      <c r="F535" s="155"/>
      <c r="G535" s="155"/>
      <c r="H535" s="155"/>
      <c r="I535" s="270"/>
      <c r="J535" s="270"/>
      <c r="K535" s="270"/>
      <c r="L535" s="270"/>
      <c r="M535" s="270"/>
      <c r="N535" s="270"/>
      <c r="O535" s="155"/>
      <c r="P535" s="155"/>
      <c r="Q535" s="155"/>
      <c r="R535" s="155"/>
      <c r="S535" s="155"/>
      <c r="T535" s="155"/>
      <c r="U535" s="158"/>
      <c r="V535" s="155"/>
      <c r="W535" s="155"/>
      <c r="X535" s="263"/>
      <c r="Y535" s="155"/>
      <c r="Z535" s="155"/>
      <c r="AA535" s="263"/>
      <c r="AB535" s="263"/>
      <c r="AC535" s="155"/>
      <c r="AD535" s="155"/>
      <c r="AE535" s="155"/>
      <c r="AF535" s="155"/>
      <c r="AG535" s="155"/>
      <c r="AH535" s="155"/>
      <c r="AI535" s="155"/>
      <c r="AJ535" s="155"/>
      <c r="AK535" s="155"/>
      <c r="AL535" s="155"/>
      <c r="AM535" s="155"/>
      <c r="AN535" s="155"/>
      <c r="AO535" s="155"/>
      <c r="AP535" s="49"/>
      <c r="AQ535" s="49"/>
      <c r="AR535" s="155"/>
      <c r="AS535" s="155"/>
      <c r="AT535" s="155"/>
      <c r="AU535" s="155"/>
      <c r="AV535" s="155"/>
      <c r="AW535" s="155"/>
      <c r="AX535" s="155"/>
      <c r="AY535" s="155"/>
      <c r="AZ535" s="49"/>
      <c r="BA535" s="49"/>
      <c r="BB535" s="49"/>
      <c r="BC535" s="49"/>
      <c r="BD535" s="49"/>
      <c r="BE535" s="49"/>
      <c r="BF535" s="49"/>
      <c r="BG535" s="49"/>
      <c r="BH535" s="49"/>
      <c r="BI535" s="155"/>
      <c r="BJ535" s="155"/>
      <c r="BK535" s="155"/>
      <c r="BL535" s="49"/>
      <c r="BM535" s="49"/>
      <c r="BN535" s="49"/>
      <c r="BO535" s="49"/>
      <c r="BP535" s="49"/>
      <c r="BQ535" s="49"/>
      <c r="BR535" s="49"/>
      <c r="BS535" s="49"/>
      <c r="BT535" s="49"/>
      <c r="BU535" s="49"/>
      <c r="BV535" s="49"/>
      <c r="BW535" s="49"/>
      <c r="BX535" s="49"/>
      <c r="BY535" s="49"/>
      <c r="BZ535" s="49"/>
      <c r="CA535" s="49"/>
      <c r="CB535" s="49"/>
      <c r="CC535" s="49"/>
      <c r="CD535" s="49"/>
      <c r="CE535" s="49"/>
      <c r="CF535" s="49"/>
      <c r="CG535" s="49"/>
      <c r="CH535" s="49"/>
      <c r="CI535" s="49"/>
      <c r="CJ535" s="49"/>
      <c r="CK535" s="49"/>
      <c r="CL535" s="49"/>
      <c r="CM535" s="49"/>
      <c r="CN535" s="49"/>
      <c r="CO535" s="49"/>
      <c r="CP535" s="49"/>
      <c r="CQ535" s="49"/>
      <c r="CR535" s="49"/>
      <c r="CS535" s="49"/>
      <c r="CT535" s="155"/>
      <c r="CU535" s="155"/>
      <c r="CV535" s="155"/>
      <c r="CW535" s="155"/>
      <c r="CX535" s="155"/>
      <c r="CY535" s="155"/>
      <c r="CZ535" s="155"/>
      <c r="DA535" s="155"/>
      <c r="DB535" s="155"/>
      <c r="DC535" s="155"/>
      <c r="DD535" s="155"/>
      <c r="DE535" s="155"/>
      <c r="DF535" s="155"/>
      <c r="DG535" s="155"/>
      <c r="DH535" s="155"/>
      <c r="DI535" s="155"/>
      <c r="DJ535" s="155"/>
      <c r="DK535" s="155"/>
      <c r="DL535" s="155"/>
      <c r="DM535" s="155"/>
      <c r="DN535" s="155"/>
      <c r="DO535" s="155"/>
      <c r="DP535" s="155"/>
      <c r="DQ535" s="155"/>
      <c r="DR535" s="155"/>
      <c r="DS535" s="155"/>
      <c r="DT535" s="155"/>
      <c r="DU535" s="155"/>
      <c r="DV535" s="155"/>
      <c r="DW535" s="155"/>
      <c r="DX535" s="155"/>
    </row>
    <row r="536" spans="1:128" ht="18" customHeight="1">
      <c r="A536" s="155"/>
      <c r="B536" s="155"/>
      <c r="C536" s="155"/>
      <c r="D536" s="155"/>
      <c r="E536" s="155"/>
      <c r="F536" s="155"/>
      <c r="G536" s="155"/>
      <c r="H536" s="155"/>
      <c r="I536" s="270"/>
      <c r="J536" s="270"/>
      <c r="K536" s="270"/>
      <c r="L536" s="270"/>
      <c r="M536" s="270"/>
      <c r="N536" s="270"/>
      <c r="O536" s="155"/>
      <c r="P536" s="155"/>
      <c r="Q536" s="155"/>
      <c r="R536" s="155"/>
      <c r="S536" s="155"/>
      <c r="T536" s="155"/>
      <c r="U536" s="158"/>
      <c r="V536" s="155"/>
      <c r="W536" s="155"/>
      <c r="X536" s="263"/>
      <c r="Y536" s="155"/>
      <c r="Z536" s="155"/>
      <c r="AA536" s="263"/>
      <c r="AB536" s="263"/>
      <c r="AC536" s="155"/>
      <c r="AD536" s="155"/>
      <c r="AE536" s="155"/>
      <c r="AF536" s="155"/>
      <c r="AG536" s="155"/>
      <c r="AH536" s="155"/>
      <c r="AI536" s="155"/>
      <c r="AJ536" s="155"/>
      <c r="AK536" s="155"/>
      <c r="AL536" s="155"/>
      <c r="AM536" s="155"/>
      <c r="AN536" s="155"/>
      <c r="AO536" s="155"/>
      <c r="AP536" s="49"/>
      <c r="AQ536" s="49"/>
      <c r="AR536" s="155"/>
      <c r="AS536" s="155"/>
      <c r="AT536" s="155"/>
      <c r="AU536" s="155"/>
      <c r="AV536" s="155"/>
      <c r="AW536" s="155"/>
      <c r="AX536" s="155"/>
      <c r="AY536" s="155"/>
      <c r="AZ536" s="49"/>
      <c r="BA536" s="49"/>
      <c r="BB536" s="49"/>
      <c r="BC536" s="49"/>
      <c r="BD536" s="49"/>
      <c r="BE536" s="49"/>
      <c r="BF536" s="49"/>
      <c r="BG536" s="49"/>
      <c r="BH536" s="49"/>
      <c r="BI536" s="155"/>
      <c r="BJ536" s="155"/>
      <c r="BK536" s="155"/>
      <c r="BL536" s="49"/>
      <c r="BM536" s="49"/>
      <c r="BN536" s="49"/>
      <c r="BO536" s="49"/>
      <c r="BP536" s="49"/>
      <c r="BQ536" s="49"/>
      <c r="BR536" s="49"/>
      <c r="BS536" s="49"/>
      <c r="BT536" s="49"/>
      <c r="BU536" s="49"/>
      <c r="BV536" s="49"/>
      <c r="BW536" s="49"/>
      <c r="BX536" s="49"/>
      <c r="BY536" s="49"/>
      <c r="BZ536" s="49"/>
      <c r="CA536" s="49"/>
      <c r="CB536" s="49"/>
      <c r="CC536" s="49"/>
      <c r="CD536" s="49"/>
      <c r="CE536" s="49"/>
      <c r="CF536" s="49"/>
      <c r="CG536" s="49"/>
      <c r="CH536" s="49"/>
      <c r="CI536" s="49"/>
      <c r="CJ536" s="49"/>
      <c r="CK536" s="49"/>
      <c r="CL536" s="49"/>
      <c r="CM536" s="49"/>
      <c r="CN536" s="49"/>
      <c r="CO536" s="49"/>
      <c r="CP536" s="49"/>
      <c r="CQ536" s="49"/>
      <c r="CR536" s="49"/>
      <c r="CS536" s="49"/>
      <c r="CT536" s="155"/>
      <c r="CU536" s="155"/>
      <c r="CV536" s="155"/>
      <c r="CW536" s="155"/>
      <c r="CX536" s="155"/>
      <c r="CY536" s="155"/>
      <c r="CZ536" s="155"/>
      <c r="DA536" s="155"/>
      <c r="DB536" s="155"/>
      <c r="DC536" s="155"/>
      <c r="DD536" s="155"/>
      <c r="DE536" s="155"/>
      <c r="DF536" s="155"/>
      <c r="DG536" s="155"/>
      <c r="DH536" s="155"/>
      <c r="DI536" s="155"/>
      <c r="DJ536" s="155"/>
      <c r="DK536" s="155"/>
      <c r="DL536" s="155"/>
      <c r="DM536" s="155"/>
      <c r="DN536" s="155"/>
      <c r="DO536" s="155"/>
      <c r="DP536" s="155"/>
      <c r="DQ536" s="155"/>
      <c r="DR536" s="155"/>
      <c r="DS536" s="155"/>
      <c r="DT536" s="155"/>
      <c r="DU536" s="155"/>
      <c r="DV536" s="155"/>
      <c r="DW536" s="155"/>
      <c r="DX536" s="155"/>
    </row>
    <row r="537" spans="1:128" ht="18" customHeight="1">
      <c r="A537" s="155"/>
      <c r="B537" s="155"/>
      <c r="C537" s="155"/>
      <c r="D537" s="155"/>
      <c r="E537" s="155"/>
      <c r="F537" s="155"/>
      <c r="G537" s="155"/>
      <c r="H537" s="155"/>
      <c r="I537" s="270"/>
      <c r="J537" s="270"/>
      <c r="K537" s="270"/>
      <c r="L537" s="270"/>
      <c r="M537" s="270"/>
      <c r="N537" s="270"/>
      <c r="O537" s="155"/>
      <c r="P537" s="155"/>
      <c r="Q537" s="155"/>
      <c r="R537" s="155"/>
      <c r="S537" s="155"/>
      <c r="T537" s="155"/>
      <c r="U537" s="158"/>
      <c r="V537" s="155"/>
      <c r="W537" s="155"/>
      <c r="X537" s="263"/>
      <c r="Y537" s="155"/>
      <c r="Z537" s="155"/>
      <c r="AA537" s="263"/>
      <c r="AB537" s="263"/>
      <c r="AC537" s="155"/>
      <c r="AD537" s="155"/>
      <c r="AE537" s="155"/>
      <c r="AF537" s="155"/>
      <c r="AG537" s="155"/>
      <c r="AH537" s="155"/>
      <c r="AI537" s="155"/>
      <c r="AJ537" s="155"/>
      <c r="AK537" s="155"/>
      <c r="AL537" s="155"/>
      <c r="AM537" s="155"/>
      <c r="AN537" s="155"/>
      <c r="AO537" s="155"/>
      <c r="AP537" s="49"/>
      <c r="AQ537" s="49"/>
      <c r="AR537" s="155"/>
      <c r="AS537" s="155"/>
      <c r="AT537" s="155"/>
      <c r="AU537" s="155"/>
      <c r="AV537" s="155"/>
      <c r="AW537" s="155"/>
      <c r="AX537" s="155"/>
      <c r="AY537" s="155"/>
      <c r="AZ537" s="49"/>
      <c r="BA537" s="49"/>
      <c r="BB537" s="49"/>
      <c r="BC537" s="49"/>
      <c r="BD537" s="49"/>
      <c r="BE537" s="49"/>
      <c r="BF537" s="49"/>
      <c r="BG537" s="49"/>
      <c r="BH537" s="49"/>
      <c r="BI537" s="155"/>
      <c r="BJ537" s="155"/>
      <c r="BK537" s="155"/>
      <c r="BL537" s="49"/>
      <c r="BM537" s="49"/>
      <c r="BN537" s="49"/>
      <c r="BO537" s="49"/>
      <c r="BP537" s="49"/>
      <c r="BQ537" s="49"/>
      <c r="BR537" s="49"/>
      <c r="BS537" s="49"/>
      <c r="BT537" s="49"/>
      <c r="BU537" s="49"/>
      <c r="BV537" s="49"/>
      <c r="BW537" s="49"/>
      <c r="BX537" s="49"/>
      <c r="BY537" s="49"/>
      <c r="BZ537" s="49"/>
      <c r="CA537" s="49"/>
      <c r="CB537" s="49"/>
      <c r="CC537" s="49"/>
      <c r="CD537" s="49"/>
      <c r="CE537" s="49"/>
      <c r="CF537" s="49"/>
      <c r="CG537" s="49"/>
      <c r="CH537" s="49"/>
      <c r="CI537" s="49"/>
      <c r="CJ537" s="49"/>
      <c r="CK537" s="49"/>
      <c r="CL537" s="49"/>
      <c r="CM537" s="49"/>
      <c r="CN537" s="49"/>
      <c r="CO537" s="49"/>
      <c r="CP537" s="49"/>
      <c r="CQ537" s="49"/>
      <c r="CR537" s="49"/>
      <c r="CS537" s="49"/>
      <c r="CT537" s="155"/>
      <c r="CU537" s="155"/>
      <c r="CV537" s="155"/>
      <c r="CW537" s="155"/>
      <c r="CX537" s="155"/>
      <c r="CY537" s="155"/>
      <c r="CZ537" s="155"/>
      <c r="DA537" s="155"/>
      <c r="DB537" s="155"/>
      <c r="DC537" s="155"/>
      <c r="DD537" s="155"/>
      <c r="DE537" s="155"/>
      <c r="DF537" s="155"/>
      <c r="DG537" s="155"/>
      <c r="DH537" s="155"/>
      <c r="DI537" s="155"/>
      <c r="DJ537" s="155"/>
      <c r="DK537" s="155"/>
      <c r="DL537" s="155"/>
      <c r="DM537" s="155"/>
      <c r="DN537" s="155"/>
      <c r="DO537" s="155"/>
      <c r="DP537" s="155"/>
      <c r="DQ537" s="155"/>
      <c r="DR537" s="155"/>
      <c r="DS537" s="155"/>
      <c r="DT537" s="155"/>
      <c r="DU537" s="155"/>
      <c r="DV537" s="155"/>
      <c r="DW537" s="155"/>
      <c r="DX537" s="155"/>
    </row>
    <row r="538" spans="1:128" ht="18" customHeight="1">
      <c r="A538" s="155"/>
      <c r="B538" s="155"/>
      <c r="C538" s="155"/>
      <c r="D538" s="155"/>
      <c r="E538" s="155"/>
      <c r="F538" s="155"/>
      <c r="G538" s="155"/>
      <c r="H538" s="155"/>
      <c r="I538" s="270"/>
      <c r="J538" s="270"/>
      <c r="K538" s="270"/>
      <c r="L538" s="270"/>
      <c r="M538" s="270"/>
      <c r="N538" s="270"/>
      <c r="O538" s="155"/>
      <c r="P538" s="155"/>
      <c r="Q538" s="155"/>
      <c r="R538" s="155"/>
      <c r="S538" s="155"/>
      <c r="T538" s="155"/>
      <c r="U538" s="158"/>
      <c r="V538" s="155"/>
      <c r="W538" s="155"/>
      <c r="X538" s="263"/>
      <c r="Y538" s="155"/>
      <c r="Z538" s="155"/>
      <c r="AA538" s="263"/>
      <c r="AB538" s="263"/>
      <c r="AC538" s="155"/>
      <c r="AD538" s="155"/>
      <c r="AE538" s="155"/>
      <c r="AF538" s="155"/>
      <c r="AG538" s="155"/>
      <c r="AH538" s="155"/>
      <c r="AI538" s="155"/>
      <c r="AJ538" s="155"/>
      <c r="AK538" s="155"/>
      <c r="AL538" s="155"/>
      <c r="AM538" s="155"/>
      <c r="AN538" s="155"/>
      <c r="AO538" s="155"/>
      <c r="AP538" s="49"/>
      <c r="AQ538" s="49"/>
      <c r="AR538" s="155"/>
      <c r="AS538" s="155"/>
      <c r="AT538" s="155"/>
      <c r="AU538" s="155"/>
      <c r="AV538" s="155"/>
      <c r="AW538" s="155"/>
      <c r="AX538" s="155"/>
      <c r="AY538" s="155"/>
      <c r="AZ538" s="49"/>
      <c r="BA538" s="49"/>
      <c r="BB538" s="49"/>
      <c r="BC538" s="49"/>
      <c r="BD538" s="49"/>
      <c r="BE538" s="49"/>
      <c r="BF538" s="49"/>
      <c r="BG538" s="49"/>
      <c r="BH538" s="49"/>
      <c r="BI538" s="155"/>
      <c r="BJ538" s="155"/>
      <c r="BK538" s="155"/>
      <c r="BL538" s="49"/>
      <c r="BM538" s="49"/>
      <c r="BN538" s="49"/>
      <c r="BO538" s="49"/>
      <c r="BP538" s="49"/>
      <c r="BQ538" s="49"/>
      <c r="BR538" s="49"/>
      <c r="BS538" s="49"/>
      <c r="BT538" s="49"/>
      <c r="BU538" s="49"/>
      <c r="BV538" s="49"/>
      <c r="BW538" s="49"/>
      <c r="BX538" s="49"/>
      <c r="BY538" s="49"/>
      <c r="BZ538" s="49"/>
      <c r="CA538" s="49"/>
      <c r="CB538" s="49"/>
      <c r="CC538" s="49"/>
      <c r="CD538" s="49"/>
      <c r="CE538" s="49"/>
      <c r="CF538" s="49"/>
      <c r="CG538" s="49"/>
      <c r="CH538" s="49"/>
      <c r="CI538" s="49"/>
      <c r="CJ538" s="49"/>
      <c r="CK538" s="49"/>
      <c r="CL538" s="49"/>
      <c r="CM538" s="49"/>
      <c r="CN538" s="49"/>
      <c r="CO538" s="49"/>
      <c r="CP538" s="49"/>
      <c r="CQ538" s="49"/>
      <c r="CR538" s="49"/>
      <c r="CS538" s="49"/>
      <c r="CT538" s="155"/>
      <c r="CU538" s="155"/>
      <c r="CV538" s="155"/>
      <c r="CW538" s="155"/>
      <c r="CX538" s="155"/>
      <c r="CY538" s="155"/>
      <c r="CZ538" s="155"/>
      <c r="DA538" s="155"/>
      <c r="DB538" s="155"/>
      <c r="DC538" s="155"/>
      <c r="DD538" s="155"/>
      <c r="DE538" s="155"/>
      <c r="DF538" s="155"/>
      <c r="DG538" s="155"/>
      <c r="DH538" s="155"/>
      <c r="DI538" s="155"/>
      <c r="DJ538" s="155"/>
      <c r="DK538" s="155"/>
      <c r="DL538" s="155"/>
      <c r="DM538" s="155"/>
      <c r="DN538" s="155"/>
      <c r="DO538" s="155"/>
      <c r="DP538" s="155"/>
      <c r="DQ538" s="155"/>
      <c r="DR538" s="155"/>
      <c r="DS538" s="155"/>
      <c r="DT538" s="155"/>
      <c r="DU538" s="155"/>
      <c r="DV538" s="155"/>
      <c r="DW538" s="155"/>
      <c r="DX538" s="155"/>
    </row>
    <row r="539" spans="1:128" ht="18" customHeight="1">
      <c r="A539" s="155"/>
      <c r="B539" s="155"/>
      <c r="C539" s="155"/>
      <c r="D539" s="155"/>
      <c r="E539" s="155"/>
      <c r="F539" s="155"/>
      <c r="G539" s="155"/>
      <c r="H539" s="155"/>
      <c r="I539" s="270"/>
      <c r="J539" s="270"/>
      <c r="K539" s="270"/>
      <c r="L539" s="270"/>
      <c r="M539" s="270"/>
      <c r="N539" s="270"/>
      <c r="O539" s="155"/>
      <c r="P539" s="155"/>
      <c r="Q539" s="155"/>
      <c r="R539" s="155"/>
      <c r="S539" s="155"/>
      <c r="T539" s="155"/>
      <c r="U539" s="158"/>
      <c r="V539" s="155"/>
      <c r="W539" s="155"/>
      <c r="X539" s="263"/>
      <c r="Y539" s="155"/>
      <c r="Z539" s="155"/>
      <c r="AA539" s="263"/>
      <c r="AB539" s="263"/>
      <c r="AC539" s="155"/>
      <c r="AD539" s="155"/>
      <c r="AE539" s="155"/>
      <c r="AF539" s="155"/>
      <c r="AG539" s="155"/>
      <c r="AH539" s="155"/>
      <c r="AI539" s="155"/>
      <c r="AJ539" s="155"/>
      <c r="AK539" s="155"/>
      <c r="AL539" s="155"/>
      <c r="AM539" s="155"/>
      <c r="AN539" s="155"/>
      <c r="AO539" s="155"/>
      <c r="AP539" s="49"/>
      <c r="AQ539" s="49"/>
      <c r="AR539" s="155"/>
      <c r="AS539" s="155"/>
      <c r="AT539" s="155"/>
      <c r="AU539" s="155"/>
      <c r="AV539" s="155"/>
      <c r="AW539" s="155"/>
      <c r="AX539" s="155"/>
      <c r="AY539" s="155"/>
      <c r="AZ539" s="49"/>
      <c r="BA539" s="49"/>
      <c r="BB539" s="49"/>
      <c r="BC539" s="49"/>
      <c r="BD539" s="49"/>
      <c r="BE539" s="49"/>
      <c r="BF539" s="49"/>
      <c r="BG539" s="49"/>
      <c r="BH539" s="49"/>
      <c r="BI539" s="155"/>
      <c r="BJ539" s="155"/>
      <c r="BK539" s="155"/>
      <c r="BL539" s="49"/>
      <c r="BM539" s="49"/>
      <c r="BN539" s="49"/>
      <c r="BO539" s="49"/>
      <c r="BP539" s="49"/>
      <c r="BQ539" s="49"/>
      <c r="BR539" s="49"/>
      <c r="BS539" s="49"/>
      <c r="BT539" s="49"/>
      <c r="BU539" s="49"/>
      <c r="BV539" s="49"/>
      <c r="BW539" s="49"/>
      <c r="BX539" s="49"/>
      <c r="BY539" s="49"/>
      <c r="BZ539" s="49"/>
      <c r="CA539" s="49"/>
      <c r="CB539" s="49"/>
      <c r="CC539" s="49"/>
      <c r="CD539" s="49"/>
      <c r="CE539" s="49"/>
      <c r="CF539" s="49"/>
      <c r="CG539" s="49"/>
      <c r="CH539" s="49"/>
      <c r="CI539" s="49"/>
      <c r="CJ539" s="49"/>
      <c r="CK539" s="49"/>
      <c r="CL539" s="49"/>
      <c r="CM539" s="49"/>
      <c r="CN539" s="49"/>
      <c r="CO539" s="49"/>
      <c r="CP539" s="49"/>
      <c r="CQ539" s="49"/>
      <c r="CR539" s="49"/>
      <c r="CS539" s="49"/>
      <c r="CT539" s="155"/>
      <c r="CU539" s="155"/>
      <c r="CV539" s="155"/>
      <c r="CW539" s="155"/>
      <c r="CX539" s="155"/>
      <c r="CY539" s="155"/>
      <c r="CZ539" s="155"/>
      <c r="DA539" s="155"/>
      <c r="DB539" s="155"/>
      <c r="DC539" s="155"/>
      <c r="DD539" s="155"/>
      <c r="DE539" s="155"/>
      <c r="DF539" s="155"/>
      <c r="DG539" s="155"/>
      <c r="DH539" s="155"/>
      <c r="DI539" s="155"/>
      <c r="DJ539" s="155"/>
      <c r="DK539" s="155"/>
      <c r="DL539" s="155"/>
      <c r="DM539" s="155"/>
      <c r="DN539" s="155"/>
      <c r="DO539" s="155"/>
      <c r="DP539" s="155"/>
      <c r="DQ539" s="155"/>
      <c r="DR539" s="155"/>
      <c r="DS539" s="155"/>
      <c r="DT539" s="155"/>
      <c r="DU539" s="155"/>
      <c r="DV539" s="155"/>
      <c r="DW539" s="155"/>
      <c r="DX539" s="155"/>
    </row>
    <row r="540" spans="1:128" ht="18" customHeight="1">
      <c r="A540" s="155"/>
      <c r="B540" s="155"/>
      <c r="C540" s="155"/>
      <c r="D540" s="155"/>
      <c r="E540" s="155"/>
      <c r="F540" s="155"/>
      <c r="G540" s="155"/>
      <c r="H540" s="155"/>
      <c r="I540" s="270"/>
      <c r="J540" s="270"/>
      <c r="K540" s="270"/>
      <c r="L540" s="270"/>
      <c r="M540" s="270"/>
      <c r="N540" s="270"/>
      <c r="O540" s="155"/>
      <c r="P540" s="155"/>
      <c r="Q540" s="155"/>
      <c r="R540" s="155"/>
      <c r="S540" s="155"/>
      <c r="T540" s="155"/>
      <c r="U540" s="158"/>
      <c r="V540" s="155"/>
      <c r="W540" s="155"/>
      <c r="X540" s="263"/>
      <c r="Y540" s="155"/>
      <c r="Z540" s="155"/>
      <c r="AA540" s="263"/>
      <c r="AB540" s="263"/>
      <c r="AC540" s="155"/>
      <c r="AD540" s="155"/>
      <c r="AE540" s="155"/>
      <c r="AF540" s="155"/>
      <c r="AG540" s="155"/>
      <c r="AH540" s="155"/>
      <c r="AI540" s="155"/>
      <c r="AJ540" s="155"/>
      <c r="AK540" s="155"/>
      <c r="AL540" s="155"/>
      <c r="AM540" s="155"/>
      <c r="AN540" s="155"/>
      <c r="AO540" s="155"/>
      <c r="AP540" s="49"/>
      <c r="AQ540" s="49"/>
      <c r="AR540" s="155"/>
      <c r="AS540" s="155"/>
      <c r="AT540" s="155"/>
      <c r="AU540" s="155"/>
      <c r="AV540" s="155"/>
      <c r="AW540" s="155"/>
      <c r="AX540" s="155"/>
      <c r="AY540" s="155"/>
      <c r="AZ540" s="49"/>
      <c r="BA540" s="49"/>
      <c r="BB540" s="49"/>
      <c r="BC540" s="49"/>
      <c r="BD540" s="49"/>
      <c r="BE540" s="49"/>
      <c r="BF540" s="49"/>
      <c r="BG540" s="49"/>
      <c r="BH540" s="49"/>
      <c r="BI540" s="155"/>
      <c r="BJ540" s="155"/>
      <c r="BK540" s="155"/>
      <c r="BL540" s="49"/>
      <c r="BM540" s="49"/>
      <c r="BN540" s="49"/>
      <c r="BO540" s="49"/>
      <c r="BP540" s="49"/>
      <c r="BQ540" s="49"/>
      <c r="BR540" s="49"/>
      <c r="BS540" s="49"/>
      <c r="BT540" s="49"/>
      <c r="BU540" s="49"/>
      <c r="BV540" s="49"/>
      <c r="BW540" s="49"/>
      <c r="BX540" s="49"/>
      <c r="BY540" s="49"/>
      <c r="BZ540" s="49"/>
      <c r="CA540" s="49"/>
      <c r="CB540" s="49"/>
      <c r="CC540" s="49"/>
      <c r="CD540" s="49"/>
      <c r="CE540" s="49"/>
      <c r="CF540" s="49"/>
      <c r="CG540" s="49"/>
      <c r="CH540" s="49"/>
      <c r="CI540" s="49"/>
      <c r="CJ540" s="49"/>
      <c r="CK540" s="49"/>
      <c r="CL540" s="49"/>
      <c r="CM540" s="49"/>
      <c r="CN540" s="49"/>
      <c r="CO540" s="49"/>
      <c r="CP540" s="49"/>
      <c r="CQ540" s="49"/>
      <c r="CR540" s="49"/>
      <c r="CS540" s="49"/>
      <c r="CT540" s="155"/>
      <c r="CU540" s="155"/>
      <c r="CV540" s="155"/>
      <c r="CW540" s="155"/>
      <c r="CX540" s="155"/>
      <c r="CY540" s="155"/>
      <c r="CZ540" s="155"/>
      <c r="DA540" s="155"/>
      <c r="DB540" s="155"/>
      <c r="DC540" s="155"/>
      <c r="DD540" s="155"/>
      <c r="DE540" s="155"/>
      <c r="DF540" s="155"/>
      <c r="DG540" s="155"/>
      <c r="DH540" s="155"/>
      <c r="DI540" s="155"/>
      <c r="DJ540" s="155"/>
      <c r="DK540" s="155"/>
      <c r="DL540" s="155"/>
      <c r="DM540" s="155"/>
      <c r="DN540" s="155"/>
      <c r="DO540" s="155"/>
      <c r="DP540" s="155"/>
      <c r="DQ540" s="155"/>
      <c r="DR540" s="155"/>
      <c r="DS540" s="155"/>
      <c r="DT540" s="155"/>
      <c r="DU540" s="155"/>
      <c r="DV540" s="155"/>
      <c r="DW540" s="155"/>
      <c r="DX540" s="155"/>
    </row>
    <row r="541" spans="1:128" ht="18" customHeight="1">
      <c r="A541" s="155"/>
      <c r="B541" s="155"/>
      <c r="C541" s="155"/>
      <c r="D541" s="155"/>
      <c r="E541" s="155"/>
      <c r="F541" s="155"/>
      <c r="G541" s="155"/>
      <c r="H541" s="155"/>
      <c r="I541" s="270"/>
      <c r="J541" s="270"/>
      <c r="K541" s="270"/>
      <c r="L541" s="270"/>
      <c r="M541" s="270"/>
      <c r="N541" s="270"/>
      <c r="O541" s="155"/>
      <c r="P541" s="155"/>
      <c r="Q541" s="155"/>
      <c r="R541" s="155"/>
      <c r="S541" s="155"/>
      <c r="T541" s="155"/>
      <c r="U541" s="158"/>
      <c r="V541" s="155"/>
      <c r="W541" s="155"/>
      <c r="X541" s="263"/>
      <c r="Y541" s="155"/>
      <c r="Z541" s="155"/>
      <c r="AA541" s="263"/>
      <c r="AB541" s="263"/>
      <c r="AC541" s="155"/>
      <c r="AD541" s="155"/>
      <c r="AE541" s="155"/>
      <c r="AF541" s="155"/>
      <c r="AG541" s="155"/>
      <c r="AH541" s="155"/>
      <c r="AI541" s="155"/>
      <c r="AJ541" s="155"/>
      <c r="AK541" s="155"/>
      <c r="AL541" s="155"/>
      <c r="AM541" s="155"/>
      <c r="AN541" s="155"/>
      <c r="AO541" s="155"/>
      <c r="AP541" s="49"/>
      <c r="AQ541" s="49"/>
      <c r="AR541" s="155"/>
      <c r="AS541" s="155"/>
      <c r="AT541" s="155"/>
      <c r="AU541" s="155"/>
      <c r="AV541" s="155"/>
      <c r="AW541" s="155"/>
      <c r="AX541" s="155"/>
      <c r="AY541" s="155"/>
      <c r="AZ541" s="49"/>
      <c r="BA541" s="49"/>
      <c r="BB541" s="49"/>
      <c r="BC541" s="49"/>
      <c r="BD541" s="49"/>
      <c r="BE541" s="49"/>
      <c r="BF541" s="49"/>
      <c r="BG541" s="49"/>
      <c r="BH541" s="49"/>
      <c r="BI541" s="155"/>
      <c r="BJ541" s="155"/>
      <c r="BK541" s="155"/>
      <c r="BL541" s="49"/>
      <c r="BM541" s="49"/>
      <c r="BN541" s="49"/>
      <c r="BO541" s="49"/>
      <c r="BP541" s="49"/>
      <c r="BQ541" s="49"/>
      <c r="BR541" s="49"/>
      <c r="BS541" s="49"/>
      <c r="BT541" s="49"/>
      <c r="BU541" s="49"/>
      <c r="BV541" s="49"/>
      <c r="BW541" s="49"/>
      <c r="BX541" s="49"/>
      <c r="BY541" s="49"/>
      <c r="BZ541" s="49"/>
      <c r="CA541" s="49"/>
      <c r="CB541" s="49"/>
      <c r="CC541" s="49"/>
      <c r="CD541" s="49"/>
      <c r="CE541" s="49"/>
      <c r="CF541" s="49"/>
      <c r="CG541" s="49"/>
      <c r="CH541" s="49"/>
      <c r="CI541" s="49"/>
      <c r="CJ541" s="49"/>
      <c r="CK541" s="49"/>
      <c r="CL541" s="49"/>
      <c r="CM541" s="49"/>
      <c r="CN541" s="49"/>
      <c r="CO541" s="49"/>
      <c r="CP541" s="49"/>
      <c r="CQ541" s="49"/>
      <c r="CR541" s="49"/>
      <c r="CS541" s="49"/>
      <c r="CT541" s="155"/>
      <c r="CU541" s="155"/>
      <c r="CV541" s="155"/>
      <c r="CW541" s="155"/>
      <c r="CX541" s="155"/>
      <c r="CY541" s="155"/>
      <c r="CZ541" s="155"/>
      <c r="DA541" s="155"/>
      <c r="DB541" s="155"/>
      <c r="DC541" s="155"/>
      <c r="DD541" s="155"/>
      <c r="DE541" s="155"/>
      <c r="DF541" s="155"/>
      <c r="DG541" s="155"/>
      <c r="DH541" s="155"/>
      <c r="DI541" s="155"/>
      <c r="DJ541" s="155"/>
      <c r="DK541" s="155"/>
      <c r="DL541" s="155"/>
      <c r="DM541" s="155"/>
      <c r="DN541" s="155"/>
      <c r="DO541" s="155"/>
      <c r="DP541" s="155"/>
      <c r="DQ541" s="155"/>
      <c r="DR541" s="155"/>
      <c r="DS541" s="155"/>
      <c r="DT541" s="155"/>
      <c r="DU541" s="155"/>
      <c r="DV541" s="155"/>
      <c r="DW541" s="155"/>
      <c r="DX541" s="155"/>
    </row>
    <row r="542" spans="1:128" ht="18" customHeight="1">
      <c r="A542" s="155"/>
      <c r="B542" s="155"/>
      <c r="C542" s="155"/>
      <c r="D542" s="155"/>
      <c r="E542" s="155"/>
      <c r="F542" s="155"/>
      <c r="G542" s="155"/>
      <c r="H542" s="155"/>
      <c r="I542" s="270"/>
      <c r="J542" s="270"/>
      <c r="K542" s="270"/>
      <c r="L542" s="270"/>
      <c r="M542" s="270"/>
      <c r="N542" s="270"/>
      <c r="O542" s="155"/>
      <c r="P542" s="155"/>
      <c r="Q542" s="155"/>
      <c r="R542" s="155"/>
      <c r="S542" s="155"/>
      <c r="T542" s="155"/>
      <c r="U542" s="158"/>
      <c r="V542" s="155"/>
      <c r="W542" s="155"/>
      <c r="X542" s="263"/>
      <c r="Y542" s="155"/>
      <c r="Z542" s="155"/>
      <c r="AA542" s="263"/>
      <c r="AB542" s="263"/>
      <c r="AC542" s="155"/>
      <c r="AD542" s="155"/>
      <c r="AE542" s="155"/>
      <c r="AF542" s="155"/>
      <c r="AG542" s="155"/>
      <c r="AH542" s="155"/>
      <c r="AI542" s="155"/>
      <c r="AJ542" s="155"/>
      <c r="AK542" s="155"/>
      <c r="AL542" s="155"/>
      <c r="AM542" s="155"/>
      <c r="AN542" s="155"/>
      <c r="AO542" s="155"/>
      <c r="AP542" s="49"/>
      <c r="AQ542" s="49"/>
      <c r="AR542" s="155"/>
      <c r="AS542" s="155"/>
      <c r="AT542" s="155"/>
      <c r="AU542" s="155"/>
      <c r="AV542" s="155"/>
      <c r="AW542" s="155"/>
      <c r="AX542" s="155"/>
      <c r="AY542" s="155"/>
      <c r="AZ542" s="49"/>
      <c r="BA542" s="49"/>
      <c r="BB542" s="49"/>
      <c r="BC542" s="49"/>
      <c r="BD542" s="49"/>
      <c r="BE542" s="49"/>
      <c r="BF542" s="49"/>
      <c r="BG542" s="49"/>
      <c r="BH542" s="49"/>
      <c r="BI542" s="155"/>
      <c r="BJ542" s="155"/>
      <c r="BK542" s="155"/>
      <c r="BL542" s="49"/>
      <c r="BM542" s="49"/>
      <c r="BN542" s="49"/>
      <c r="BO542" s="49"/>
      <c r="BP542" s="49"/>
      <c r="BQ542" s="49"/>
      <c r="BR542" s="49"/>
      <c r="BS542" s="49"/>
      <c r="BT542" s="49"/>
      <c r="BU542" s="49"/>
      <c r="BV542" s="49"/>
      <c r="BW542" s="49"/>
      <c r="BX542" s="49"/>
      <c r="BY542" s="49"/>
      <c r="BZ542" s="49"/>
      <c r="CA542" s="49"/>
      <c r="CB542" s="49"/>
      <c r="CC542" s="49"/>
      <c r="CD542" s="49"/>
      <c r="CE542" s="49"/>
      <c r="CF542" s="49"/>
      <c r="CG542" s="49"/>
      <c r="CH542" s="49"/>
      <c r="CI542" s="49"/>
      <c r="CJ542" s="49"/>
      <c r="CK542" s="49"/>
      <c r="CL542" s="49"/>
      <c r="CM542" s="49"/>
      <c r="CN542" s="49"/>
      <c r="CO542" s="49"/>
      <c r="CP542" s="49"/>
      <c r="CQ542" s="49"/>
      <c r="CR542" s="49"/>
      <c r="CS542" s="49"/>
      <c r="CT542" s="155"/>
      <c r="CU542" s="155"/>
      <c r="CV542" s="155"/>
      <c r="CW542" s="155"/>
      <c r="CX542" s="155"/>
      <c r="CY542" s="155"/>
      <c r="CZ542" s="155"/>
      <c r="DA542" s="155"/>
      <c r="DB542" s="155"/>
      <c r="DC542" s="155"/>
      <c r="DD542" s="155"/>
      <c r="DE542" s="155"/>
      <c r="DF542" s="155"/>
      <c r="DG542" s="155"/>
      <c r="DH542" s="155"/>
      <c r="DI542" s="155"/>
      <c r="DJ542" s="155"/>
      <c r="DK542" s="155"/>
      <c r="DL542" s="155"/>
      <c r="DM542" s="155"/>
      <c r="DN542" s="155"/>
      <c r="DO542" s="155"/>
      <c r="DP542" s="155"/>
      <c r="DQ542" s="155"/>
      <c r="DR542" s="155"/>
      <c r="DS542" s="155"/>
      <c r="DT542" s="155"/>
      <c r="DU542" s="155"/>
      <c r="DV542" s="155"/>
      <c r="DW542" s="155"/>
      <c r="DX542" s="155"/>
    </row>
    <row r="543" spans="1:128" ht="18" customHeight="1">
      <c r="A543" s="155"/>
      <c r="B543" s="155"/>
      <c r="C543" s="155"/>
      <c r="D543" s="155"/>
      <c r="E543" s="155"/>
      <c r="F543" s="155"/>
      <c r="G543" s="155"/>
      <c r="H543" s="155"/>
      <c r="I543" s="270"/>
      <c r="J543" s="270"/>
      <c r="K543" s="270"/>
      <c r="L543" s="270"/>
      <c r="M543" s="270"/>
      <c r="N543" s="270"/>
      <c r="O543" s="155"/>
      <c r="P543" s="155"/>
      <c r="Q543" s="155"/>
      <c r="R543" s="155"/>
      <c r="S543" s="155"/>
      <c r="T543" s="155"/>
      <c r="U543" s="158"/>
      <c r="V543" s="155"/>
      <c r="W543" s="155"/>
      <c r="X543" s="263"/>
      <c r="Y543" s="155"/>
      <c r="Z543" s="155"/>
      <c r="AA543" s="263"/>
      <c r="AB543" s="263"/>
      <c r="AC543" s="155"/>
      <c r="AD543" s="155"/>
      <c r="AE543" s="155"/>
      <c r="AF543" s="155"/>
      <c r="AG543" s="155"/>
      <c r="AH543" s="155"/>
      <c r="AI543" s="155"/>
      <c r="AJ543" s="155"/>
      <c r="AK543" s="155"/>
      <c r="AL543" s="155"/>
      <c r="AM543" s="155"/>
      <c r="AN543" s="155"/>
      <c r="AO543" s="155"/>
      <c r="AP543" s="49"/>
      <c r="AQ543" s="49"/>
      <c r="AR543" s="155"/>
      <c r="AS543" s="155"/>
      <c r="AT543" s="155"/>
      <c r="AU543" s="155"/>
      <c r="AV543" s="155"/>
      <c r="AW543" s="155"/>
      <c r="AX543" s="155"/>
      <c r="AY543" s="155"/>
      <c r="AZ543" s="49"/>
      <c r="BA543" s="49"/>
      <c r="BB543" s="49"/>
      <c r="BC543" s="49"/>
      <c r="BD543" s="49"/>
      <c r="BE543" s="49"/>
      <c r="BF543" s="49"/>
      <c r="BG543" s="49"/>
      <c r="BH543" s="49"/>
      <c r="BI543" s="155"/>
      <c r="BJ543" s="155"/>
      <c r="BK543" s="155"/>
      <c r="BL543" s="49"/>
      <c r="BM543" s="49"/>
      <c r="BN543" s="49"/>
      <c r="BO543" s="49"/>
      <c r="BP543" s="49"/>
      <c r="BQ543" s="49"/>
      <c r="BR543" s="49"/>
      <c r="BS543" s="49"/>
      <c r="BT543" s="49"/>
      <c r="BU543" s="49"/>
      <c r="BV543" s="49"/>
      <c r="BW543" s="49"/>
      <c r="BX543" s="49"/>
      <c r="BY543" s="49"/>
      <c r="BZ543" s="49"/>
      <c r="CA543" s="49"/>
      <c r="CB543" s="49"/>
      <c r="CC543" s="49"/>
      <c r="CD543" s="49"/>
      <c r="CE543" s="49"/>
      <c r="CF543" s="49"/>
      <c r="CG543" s="49"/>
      <c r="CH543" s="49"/>
      <c r="CI543" s="49"/>
      <c r="CJ543" s="49"/>
      <c r="CK543" s="49"/>
      <c r="CL543" s="49"/>
      <c r="CM543" s="49"/>
      <c r="CN543" s="49"/>
      <c r="CO543" s="49"/>
      <c r="CP543" s="49"/>
      <c r="CQ543" s="49"/>
      <c r="CR543" s="49"/>
      <c r="CS543" s="49"/>
      <c r="CT543" s="155"/>
      <c r="CU543" s="155"/>
      <c r="CV543" s="155"/>
      <c r="CW543" s="155"/>
      <c r="CX543" s="155"/>
      <c r="CY543" s="155"/>
      <c r="CZ543" s="155"/>
      <c r="DA543" s="155"/>
      <c r="DB543" s="155"/>
      <c r="DC543" s="155"/>
      <c r="DD543" s="155"/>
      <c r="DE543" s="155"/>
      <c r="DF543" s="155"/>
      <c r="DG543" s="155"/>
      <c r="DH543" s="155"/>
      <c r="DI543" s="155"/>
      <c r="DJ543" s="155"/>
      <c r="DK543" s="155"/>
      <c r="DL543" s="155"/>
      <c r="DM543" s="155"/>
      <c r="DN543" s="155"/>
      <c r="DO543" s="155"/>
      <c r="DP543" s="155"/>
      <c r="DQ543" s="155"/>
      <c r="DR543" s="155"/>
      <c r="DS543" s="155"/>
      <c r="DT543" s="155"/>
      <c r="DU543" s="155"/>
      <c r="DV543" s="155"/>
      <c r="DW543" s="155"/>
      <c r="DX543" s="155"/>
    </row>
    <row r="544" spans="1:128" ht="18" customHeight="1">
      <c r="A544" s="155"/>
      <c r="B544" s="155"/>
      <c r="C544" s="155"/>
      <c r="D544" s="155"/>
      <c r="E544" s="155"/>
      <c r="F544" s="155"/>
      <c r="G544" s="155"/>
      <c r="H544" s="155"/>
      <c r="I544" s="270"/>
      <c r="J544" s="270"/>
      <c r="K544" s="270"/>
      <c r="L544" s="270"/>
      <c r="M544" s="270"/>
      <c r="N544" s="270"/>
      <c r="O544" s="155"/>
      <c r="P544" s="155"/>
      <c r="Q544" s="155"/>
      <c r="R544" s="155"/>
      <c r="S544" s="155"/>
      <c r="T544" s="155"/>
      <c r="U544" s="158"/>
      <c r="V544" s="155"/>
      <c r="W544" s="155"/>
      <c r="X544" s="263"/>
      <c r="Y544" s="155"/>
      <c r="Z544" s="155"/>
      <c r="AA544" s="263"/>
      <c r="AB544" s="263"/>
      <c r="AC544" s="155"/>
      <c r="AD544" s="155"/>
      <c r="AE544" s="155"/>
      <c r="AF544" s="155"/>
      <c r="AG544" s="155"/>
      <c r="AH544" s="155"/>
      <c r="AI544" s="155"/>
      <c r="AJ544" s="155"/>
      <c r="AK544" s="155"/>
      <c r="AL544" s="155"/>
      <c r="AM544" s="155"/>
      <c r="AN544" s="155"/>
      <c r="AO544" s="155"/>
      <c r="AP544" s="49"/>
      <c r="AQ544" s="49"/>
      <c r="AR544" s="155"/>
      <c r="AS544" s="155"/>
      <c r="AT544" s="155"/>
      <c r="AU544" s="155"/>
      <c r="AV544" s="155"/>
      <c r="AW544" s="155"/>
      <c r="AX544" s="155"/>
      <c r="AY544" s="155"/>
      <c r="AZ544" s="49"/>
      <c r="BA544" s="49"/>
      <c r="BB544" s="49"/>
      <c r="BC544" s="49"/>
      <c r="BD544" s="49"/>
      <c r="BE544" s="49"/>
      <c r="BF544" s="49"/>
      <c r="BG544" s="49"/>
      <c r="BH544" s="49"/>
      <c r="BI544" s="155"/>
      <c r="BJ544" s="155"/>
      <c r="BK544" s="155"/>
      <c r="BL544" s="49"/>
      <c r="BM544" s="49"/>
      <c r="BN544" s="49"/>
      <c r="BO544" s="49"/>
      <c r="BP544" s="49"/>
      <c r="BQ544" s="49"/>
      <c r="BR544" s="49"/>
      <c r="BS544" s="49"/>
      <c r="BT544" s="49"/>
      <c r="BU544" s="49"/>
      <c r="BV544" s="49"/>
      <c r="BW544" s="49"/>
      <c r="BX544" s="49"/>
      <c r="BY544" s="49"/>
      <c r="BZ544" s="49"/>
      <c r="CA544" s="49"/>
      <c r="CB544" s="49"/>
      <c r="CC544" s="49"/>
      <c r="CD544" s="49"/>
      <c r="CE544" s="49"/>
      <c r="CF544" s="49"/>
      <c r="CG544" s="49"/>
      <c r="CH544" s="49"/>
      <c r="CI544" s="49"/>
      <c r="CJ544" s="49"/>
      <c r="CK544" s="49"/>
      <c r="CL544" s="49"/>
      <c r="CM544" s="49"/>
      <c r="CN544" s="49"/>
      <c r="CO544" s="49"/>
      <c r="CP544" s="49"/>
      <c r="CQ544" s="49"/>
      <c r="CR544" s="49"/>
      <c r="CS544" s="49"/>
      <c r="CT544" s="155"/>
      <c r="CU544" s="155"/>
      <c r="CV544" s="155"/>
      <c r="CW544" s="155"/>
      <c r="CX544" s="155"/>
      <c r="CY544" s="155"/>
      <c r="CZ544" s="155"/>
      <c r="DA544" s="155"/>
      <c r="DB544" s="155"/>
      <c r="DC544" s="155"/>
      <c r="DD544" s="155"/>
      <c r="DE544" s="155"/>
      <c r="DF544" s="155"/>
      <c r="DG544" s="155"/>
      <c r="DH544" s="155"/>
      <c r="DI544" s="155"/>
      <c r="DJ544" s="155"/>
      <c r="DK544" s="155"/>
      <c r="DL544" s="155"/>
      <c r="DM544" s="155"/>
      <c r="DN544" s="155"/>
      <c r="DO544" s="155"/>
      <c r="DP544" s="155"/>
      <c r="DQ544" s="155"/>
      <c r="DR544" s="155"/>
      <c r="DS544" s="155"/>
      <c r="DT544" s="155"/>
      <c r="DU544" s="155"/>
      <c r="DV544" s="155"/>
      <c r="DW544" s="155"/>
      <c r="DX544" s="155"/>
    </row>
    <row r="545" spans="1:128" ht="18" customHeight="1">
      <c r="A545" s="155"/>
      <c r="B545" s="155"/>
      <c r="C545" s="155"/>
      <c r="D545" s="155"/>
      <c r="E545" s="155"/>
      <c r="F545" s="155"/>
      <c r="G545" s="155"/>
      <c r="H545" s="155"/>
      <c r="I545" s="270"/>
      <c r="J545" s="270"/>
      <c r="K545" s="270"/>
      <c r="L545" s="270"/>
      <c r="M545" s="270"/>
      <c r="N545" s="270"/>
      <c r="O545" s="155"/>
      <c r="P545" s="155"/>
      <c r="Q545" s="155"/>
      <c r="R545" s="155"/>
      <c r="S545" s="155"/>
      <c r="T545" s="155"/>
      <c r="U545" s="158"/>
      <c r="V545" s="155"/>
      <c r="W545" s="155"/>
      <c r="X545" s="263"/>
      <c r="Y545" s="155"/>
      <c r="Z545" s="155"/>
      <c r="AA545" s="263"/>
      <c r="AB545" s="263"/>
      <c r="AC545" s="155"/>
      <c r="AD545" s="155"/>
      <c r="AE545" s="155"/>
      <c r="AF545" s="155"/>
      <c r="AG545" s="155"/>
      <c r="AH545" s="155"/>
      <c r="AI545" s="155"/>
      <c r="AJ545" s="155"/>
      <c r="AK545" s="155"/>
      <c r="AL545" s="155"/>
      <c r="AM545" s="155"/>
      <c r="AN545" s="155"/>
      <c r="AO545" s="155"/>
      <c r="AP545" s="49"/>
      <c r="AQ545" s="49"/>
      <c r="AR545" s="155"/>
      <c r="AS545" s="155"/>
      <c r="AT545" s="155"/>
      <c r="AU545" s="155"/>
      <c r="AV545" s="155"/>
      <c r="AW545" s="155"/>
      <c r="AX545" s="155"/>
      <c r="AY545" s="155"/>
      <c r="AZ545" s="49"/>
      <c r="BA545" s="49"/>
      <c r="BB545" s="49"/>
      <c r="BC545" s="49"/>
      <c r="BD545" s="49"/>
      <c r="BE545" s="49"/>
      <c r="BF545" s="49"/>
      <c r="BG545" s="49"/>
      <c r="BH545" s="49"/>
      <c r="BI545" s="155"/>
      <c r="BJ545" s="155"/>
      <c r="BK545" s="155"/>
      <c r="BL545" s="49"/>
      <c r="BM545" s="49"/>
      <c r="BN545" s="49"/>
      <c r="BO545" s="49"/>
      <c r="BP545" s="49"/>
      <c r="BQ545" s="49"/>
      <c r="BR545" s="49"/>
      <c r="BS545" s="49"/>
      <c r="BT545" s="49"/>
      <c r="BU545" s="49"/>
      <c r="BV545" s="49"/>
      <c r="BW545" s="49"/>
      <c r="BX545" s="49"/>
      <c r="BY545" s="49"/>
      <c r="BZ545" s="49"/>
      <c r="CA545" s="49"/>
      <c r="CB545" s="49"/>
      <c r="CC545" s="49"/>
      <c r="CD545" s="49"/>
      <c r="CE545" s="49"/>
      <c r="CF545" s="49"/>
      <c r="CG545" s="49"/>
      <c r="CH545" s="49"/>
      <c r="CI545" s="49"/>
      <c r="CJ545" s="49"/>
      <c r="CK545" s="49"/>
      <c r="CL545" s="49"/>
      <c r="CM545" s="49"/>
      <c r="CN545" s="49"/>
      <c r="CO545" s="49"/>
      <c r="CP545" s="49"/>
      <c r="CQ545" s="49"/>
      <c r="CR545" s="49"/>
      <c r="CS545" s="49"/>
      <c r="CT545" s="155"/>
      <c r="CU545" s="155"/>
      <c r="CV545" s="155"/>
      <c r="CW545" s="155"/>
      <c r="CX545" s="155"/>
      <c r="CY545" s="155"/>
      <c r="CZ545" s="155"/>
      <c r="DA545" s="155"/>
      <c r="DB545" s="155"/>
      <c r="DC545" s="155"/>
      <c r="DD545" s="155"/>
      <c r="DE545" s="155"/>
      <c r="DF545" s="155"/>
      <c r="DG545" s="155"/>
      <c r="DH545" s="155"/>
      <c r="DI545" s="155"/>
      <c r="DJ545" s="155"/>
      <c r="DK545" s="155"/>
      <c r="DL545" s="155"/>
      <c r="DM545" s="155"/>
      <c r="DN545" s="155"/>
      <c r="DO545" s="155"/>
      <c r="DP545" s="155"/>
      <c r="DQ545" s="155"/>
      <c r="DR545" s="155"/>
      <c r="DS545" s="155"/>
      <c r="DT545" s="155"/>
      <c r="DU545" s="155"/>
      <c r="DV545" s="155"/>
      <c r="DW545" s="155"/>
      <c r="DX545" s="155"/>
    </row>
    <row r="546" spans="1:128" ht="18" customHeight="1">
      <c r="A546" s="155"/>
      <c r="B546" s="155"/>
      <c r="C546" s="155"/>
      <c r="D546" s="155"/>
      <c r="E546" s="155"/>
      <c r="F546" s="155"/>
      <c r="G546" s="155"/>
      <c r="H546" s="155"/>
      <c r="I546" s="270"/>
      <c r="J546" s="270"/>
      <c r="K546" s="270"/>
      <c r="L546" s="270"/>
      <c r="M546" s="270"/>
      <c r="N546" s="270"/>
      <c r="O546" s="155"/>
      <c r="P546" s="155"/>
      <c r="Q546" s="155"/>
      <c r="R546" s="155"/>
      <c r="S546" s="155"/>
      <c r="T546" s="155"/>
      <c r="U546" s="158"/>
      <c r="V546" s="155"/>
      <c r="W546" s="155"/>
      <c r="X546" s="263"/>
      <c r="Y546" s="155"/>
      <c r="Z546" s="155"/>
      <c r="AA546" s="263"/>
      <c r="AB546" s="263"/>
      <c r="AC546" s="155"/>
      <c r="AD546" s="155"/>
      <c r="AE546" s="155"/>
      <c r="AF546" s="155"/>
      <c r="AG546" s="155"/>
      <c r="AH546" s="155"/>
      <c r="AI546" s="155"/>
      <c r="AJ546" s="155"/>
      <c r="AK546" s="155"/>
      <c r="AL546" s="155"/>
      <c r="AM546" s="155"/>
      <c r="AN546" s="155"/>
      <c r="AO546" s="155"/>
      <c r="AP546" s="49"/>
      <c r="AQ546" s="49"/>
      <c r="AR546" s="155"/>
      <c r="AS546" s="155"/>
      <c r="AT546" s="155"/>
      <c r="AU546" s="155"/>
      <c r="AV546" s="155"/>
      <c r="AW546" s="155"/>
      <c r="AX546" s="155"/>
      <c r="AY546" s="155"/>
      <c r="AZ546" s="49"/>
      <c r="BA546" s="49"/>
      <c r="BB546" s="49"/>
      <c r="BC546" s="49"/>
      <c r="BD546" s="49"/>
      <c r="BE546" s="49"/>
      <c r="BF546" s="49"/>
      <c r="BG546" s="49"/>
      <c r="BH546" s="49"/>
      <c r="BI546" s="155"/>
      <c r="BJ546" s="155"/>
      <c r="BK546" s="155"/>
      <c r="BL546" s="49"/>
      <c r="BM546" s="49"/>
      <c r="BN546" s="49"/>
      <c r="BO546" s="49"/>
      <c r="BP546" s="49"/>
      <c r="BQ546" s="49"/>
      <c r="BR546" s="49"/>
      <c r="BS546" s="49"/>
      <c r="BT546" s="49"/>
      <c r="BU546" s="49"/>
      <c r="BV546" s="49"/>
      <c r="BW546" s="49"/>
      <c r="BX546" s="49"/>
      <c r="BY546" s="49"/>
      <c r="BZ546" s="49"/>
      <c r="CA546" s="49"/>
      <c r="CB546" s="49"/>
      <c r="CC546" s="49"/>
      <c r="CD546" s="49"/>
      <c r="CE546" s="49"/>
      <c r="CF546" s="49"/>
      <c r="CG546" s="49"/>
      <c r="CH546" s="49"/>
      <c r="CI546" s="49"/>
      <c r="CJ546" s="49"/>
      <c r="CK546" s="49"/>
      <c r="CL546" s="49"/>
      <c r="CM546" s="49"/>
      <c r="CN546" s="49"/>
      <c r="CO546" s="49"/>
      <c r="CP546" s="49"/>
      <c r="CQ546" s="49"/>
      <c r="CR546" s="49"/>
      <c r="CS546" s="49"/>
      <c r="CT546" s="155"/>
      <c r="CU546" s="155"/>
      <c r="CV546" s="155"/>
      <c r="CW546" s="155"/>
      <c r="CX546" s="155"/>
      <c r="CY546" s="155"/>
      <c r="CZ546" s="155"/>
      <c r="DA546" s="155"/>
      <c r="DB546" s="155"/>
      <c r="DC546" s="155"/>
      <c r="DD546" s="155"/>
      <c r="DE546" s="155"/>
      <c r="DF546" s="155"/>
      <c r="DG546" s="155"/>
      <c r="DH546" s="155"/>
      <c r="DI546" s="155"/>
      <c r="DJ546" s="155"/>
      <c r="DK546" s="155"/>
      <c r="DL546" s="155"/>
      <c r="DM546" s="155"/>
      <c r="DN546" s="155"/>
      <c r="DO546" s="155"/>
      <c r="DP546" s="155"/>
      <c r="DQ546" s="155"/>
      <c r="DR546" s="155"/>
      <c r="DS546" s="155"/>
      <c r="DT546" s="155"/>
      <c r="DU546" s="155"/>
      <c r="DV546" s="155"/>
      <c r="DW546" s="155"/>
      <c r="DX546" s="155"/>
    </row>
    <row r="547" spans="1:128" ht="18" customHeight="1">
      <c r="A547" s="155"/>
      <c r="B547" s="155"/>
      <c r="C547" s="155"/>
      <c r="D547" s="155"/>
      <c r="E547" s="155"/>
      <c r="F547" s="155"/>
      <c r="G547" s="155"/>
      <c r="H547" s="155"/>
      <c r="I547" s="270"/>
      <c r="J547" s="270"/>
      <c r="K547" s="270"/>
      <c r="L547" s="270"/>
      <c r="M547" s="270"/>
      <c r="N547" s="270"/>
      <c r="O547" s="155"/>
      <c r="P547" s="155"/>
      <c r="Q547" s="155"/>
      <c r="R547" s="155"/>
      <c r="S547" s="155"/>
      <c r="T547" s="155"/>
      <c r="U547" s="158"/>
      <c r="V547" s="155"/>
      <c r="W547" s="155"/>
      <c r="X547" s="263"/>
      <c r="Y547" s="155"/>
      <c r="Z547" s="155"/>
      <c r="AA547" s="263"/>
      <c r="AB547" s="263"/>
      <c r="AC547" s="155"/>
      <c r="AD547" s="155"/>
      <c r="AE547" s="155"/>
      <c r="AF547" s="155"/>
      <c r="AG547" s="155"/>
      <c r="AH547" s="155"/>
      <c r="AI547" s="155"/>
      <c r="AJ547" s="155"/>
      <c r="AK547" s="155"/>
      <c r="AL547" s="155"/>
      <c r="AM547" s="155"/>
      <c r="AN547" s="155"/>
      <c r="AO547" s="155"/>
      <c r="AP547" s="49"/>
      <c r="AQ547" s="49"/>
      <c r="AR547" s="155"/>
      <c r="AS547" s="155"/>
      <c r="AT547" s="155"/>
      <c r="AU547" s="155"/>
      <c r="AV547" s="155"/>
      <c r="AW547" s="155"/>
      <c r="AX547" s="155"/>
      <c r="AY547" s="155"/>
      <c r="AZ547" s="49"/>
      <c r="BA547" s="49"/>
      <c r="BB547" s="49"/>
      <c r="BC547" s="49"/>
      <c r="BD547" s="49"/>
      <c r="BE547" s="49"/>
      <c r="BF547" s="49"/>
      <c r="BG547" s="49"/>
      <c r="BH547" s="49"/>
      <c r="BI547" s="155"/>
      <c r="BJ547" s="155"/>
      <c r="BK547" s="155"/>
      <c r="BL547" s="49"/>
      <c r="BM547" s="49"/>
      <c r="BN547" s="49"/>
      <c r="BO547" s="49"/>
      <c r="BP547" s="49"/>
      <c r="BQ547" s="49"/>
      <c r="BR547" s="49"/>
      <c r="BS547" s="49"/>
      <c r="BT547" s="49"/>
      <c r="BU547" s="49"/>
      <c r="BV547" s="49"/>
      <c r="BW547" s="49"/>
      <c r="BX547" s="49"/>
      <c r="BY547" s="49"/>
      <c r="BZ547" s="49"/>
      <c r="CA547" s="49"/>
      <c r="CB547" s="49"/>
      <c r="CC547" s="49"/>
      <c r="CD547" s="49"/>
      <c r="CE547" s="49"/>
      <c r="CF547" s="49"/>
      <c r="CG547" s="49"/>
      <c r="CH547" s="49"/>
      <c r="CI547" s="49"/>
      <c r="CJ547" s="49"/>
      <c r="CK547" s="49"/>
      <c r="CL547" s="49"/>
      <c r="CM547" s="49"/>
      <c r="CN547" s="49"/>
      <c r="CO547" s="49"/>
      <c r="CP547" s="49"/>
      <c r="CQ547" s="49"/>
      <c r="CR547" s="49"/>
      <c r="CS547" s="49"/>
      <c r="CT547" s="155"/>
      <c r="CU547" s="155"/>
      <c r="CV547" s="155"/>
      <c r="CW547" s="155"/>
      <c r="CX547" s="155"/>
      <c r="CY547" s="155"/>
      <c r="CZ547" s="155"/>
      <c r="DA547" s="155"/>
      <c r="DB547" s="155"/>
      <c r="DC547" s="155"/>
      <c r="DD547" s="155"/>
      <c r="DE547" s="155"/>
      <c r="DF547" s="155"/>
      <c r="DG547" s="155"/>
      <c r="DH547" s="155"/>
      <c r="DI547" s="155"/>
      <c r="DJ547" s="155"/>
      <c r="DK547" s="155"/>
      <c r="DL547" s="155"/>
      <c r="DM547" s="155"/>
      <c r="DN547" s="155"/>
      <c r="DO547" s="155"/>
      <c r="DP547" s="155"/>
      <c r="DQ547" s="155"/>
      <c r="DR547" s="155"/>
      <c r="DS547" s="155"/>
      <c r="DT547" s="155"/>
      <c r="DU547" s="155"/>
      <c r="DV547" s="155"/>
      <c r="DW547" s="155"/>
      <c r="DX547" s="155"/>
    </row>
    <row r="548" spans="1:128" ht="18" customHeight="1">
      <c r="A548" s="155"/>
      <c r="B548" s="155"/>
      <c r="C548" s="155"/>
      <c r="D548" s="155"/>
      <c r="E548" s="155"/>
      <c r="F548" s="155"/>
      <c r="G548" s="155"/>
      <c r="H548" s="155"/>
      <c r="I548" s="270"/>
      <c r="J548" s="270"/>
      <c r="K548" s="270"/>
      <c r="L548" s="270"/>
      <c r="M548" s="270"/>
      <c r="N548" s="270"/>
      <c r="O548" s="155"/>
      <c r="P548" s="155"/>
      <c r="Q548" s="155"/>
      <c r="R548" s="155"/>
      <c r="S548" s="155"/>
      <c r="T548" s="155"/>
      <c r="U548" s="158"/>
      <c r="V548" s="155"/>
      <c r="W548" s="155"/>
      <c r="X548" s="263"/>
      <c r="Y548" s="155"/>
      <c r="Z548" s="155"/>
      <c r="AA548" s="263"/>
      <c r="AB548" s="263"/>
      <c r="AC548" s="155"/>
      <c r="AD548" s="155"/>
      <c r="AE548" s="155"/>
      <c r="AF548" s="155"/>
      <c r="AG548" s="155"/>
      <c r="AH548" s="155"/>
      <c r="AI548" s="155"/>
      <c r="AJ548" s="155"/>
      <c r="AK548" s="155"/>
      <c r="AL548" s="155"/>
      <c r="AM548" s="155"/>
      <c r="AN548" s="155"/>
      <c r="AO548" s="155"/>
      <c r="AP548" s="49"/>
      <c r="AQ548" s="49"/>
      <c r="AR548" s="155"/>
      <c r="AS548" s="155"/>
      <c r="AT548" s="155"/>
      <c r="AU548" s="155"/>
      <c r="AV548" s="155"/>
      <c r="AW548" s="155"/>
      <c r="AX548" s="155"/>
      <c r="AY548" s="155"/>
      <c r="AZ548" s="49"/>
      <c r="BA548" s="49"/>
      <c r="BB548" s="49"/>
      <c r="BC548" s="49"/>
      <c r="BD548" s="49"/>
      <c r="BE548" s="49"/>
      <c r="BF548" s="49"/>
      <c r="BG548" s="49"/>
      <c r="BH548" s="49"/>
      <c r="BI548" s="155"/>
      <c r="BJ548" s="155"/>
      <c r="BK548" s="155"/>
      <c r="BL548" s="49"/>
      <c r="BM548" s="49"/>
      <c r="BN548" s="49"/>
      <c r="BO548" s="49"/>
      <c r="BP548" s="49"/>
      <c r="BQ548" s="49"/>
      <c r="BR548" s="49"/>
      <c r="BS548" s="49"/>
      <c r="BT548" s="49"/>
      <c r="BU548" s="49"/>
      <c r="BV548" s="49"/>
      <c r="BW548" s="49"/>
      <c r="BX548" s="49"/>
      <c r="BY548" s="49"/>
      <c r="BZ548" s="49"/>
      <c r="CA548" s="49"/>
      <c r="CB548" s="49"/>
      <c r="CC548" s="49"/>
      <c r="CD548" s="49"/>
      <c r="CE548" s="49"/>
      <c r="CF548" s="49"/>
      <c r="CG548" s="49"/>
      <c r="CH548" s="49"/>
      <c r="CI548" s="49"/>
      <c r="CJ548" s="49"/>
      <c r="CK548" s="49"/>
      <c r="CL548" s="49"/>
      <c r="CM548" s="49"/>
      <c r="CN548" s="49"/>
      <c r="CO548" s="49"/>
      <c r="CP548" s="49"/>
      <c r="CQ548" s="49"/>
      <c r="CR548" s="49"/>
      <c r="CS548" s="49"/>
      <c r="CT548" s="155"/>
      <c r="CU548" s="155"/>
      <c r="CV548" s="155"/>
      <c r="CW548" s="155"/>
      <c r="CX548" s="155"/>
      <c r="CY548" s="155"/>
      <c r="CZ548" s="155"/>
      <c r="DA548" s="155"/>
      <c r="DB548" s="155"/>
      <c r="DC548" s="155"/>
      <c r="DD548" s="155"/>
      <c r="DE548" s="155"/>
      <c r="DF548" s="155"/>
      <c r="DG548" s="155"/>
      <c r="DH548" s="155"/>
      <c r="DI548" s="155"/>
      <c r="DJ548" s="155"/>
      <c r="DK548" s="155"/>
      <c r="DL548" s="155"/>
      <c r="DM548" s="155"/>
      <c r="DN548" s="155"/>
      <c r="DO548" s="155"/>
      <c r="DP548" s="155"/>
      <c r="DQ548" s="155"/>
      <c r="DR548" s="155"/>
      <c r="DS548" s="155"/>
      <c r="DT548" s="155"/>
      <c r="DU548" s="155"/>
      <c r="DV548" s="155"/>
      <c r="DW548" s="155"/>
      <c r="DX548" s="155"/>
    </row>
    <row r="549" spans="1:128" ht="18" customHeight="1">
      <c r="A549" s="155"/>
      <c r="B549" s="155"/>
      <c r="C549" s="155"/>
      <c r="D549" s="155"/>
      <c r="E549" s="155"/>
      <c r="F549" s="155"/>
      <c r="G549" s="155"/>
      <c r="H549" s="155"/>
      <c r="I549" s="270"/>
      <c r="J549" s="270"/>
      <c r="K549" s="270"/>
      <c r="L549" s="270"/>
      <c r="M549" s="270"/>
      <c r="N549" s="270"/>
      <c r="O549" s="155"/>
      <c r="P549" s="155"/>
      <c r="Q549" s="155"/>
      <c r="R549" s="155"/>
      <c r="S549" s="155"/>
      <c r="T549" s="155"/>
      <c r="U549" s="158"/>
      <c r="V549" s="155"/>
      <c r="W549" s="155"/>
      <c r="X549" s="263"/>
      <c r="Y549" s="155"/>
      <c r="Z549" s="155"/>
      <c r="AA549" s="263"/>
      <c r="AB549" s="263"/>
      <c r="AC549" s="155"/>
      <c r="AD549" s="155"/>
      <c r="AE549" s="155"/>
      <c r="AF549" s="155"/>
      <c r="AG549" s="155"/>
      <c r="AH549" s="155"/>
      <c r="AI549" s="155"/>
      <c r="AJ549" s="155"/>
      <c r="AK549" s="155"/>
      <c r="AL549" s="155"/>
      <c r="AM549" s="155"/>
      <c r="AN549" s="155"/>
      <c r="AO549" s="155"/>
      <c r="AP549" s="49"/>
      <c r="AQ549" s="49"/>
      <c r="AR549" s="155"/>
      <c r="AS549" s="155"/>
      <c r="AT549" s="155"/>
      <c r="AU549" s="155"/>
      <c r="AV549" s="155"/>
      <c r="AW549" s="155"/>
      <c r="AX549" s="155"/>
      <c r="AY549" s="155"/>
      <c r="AZ549" s="49"/>
      <c r="BA549" s="49"/>
      <c r="BB549" s="49"/>
      <c r="BC549" s="49"/>
      <c r="BD549" s="49"/>
      <c r="BE549" s="49"/>
      <c r="BF549" s="49"/>
      <c r="BG549" s="49"/>
      <c r="BH549" s="49"/>
      <c r="BI549" s="155"/>
      <c r="BJ549" s="155"/>
      <c r="BK549" s="155"/>
      <c r="BL549" s="49"/>
      <c r="BM549" s="49"/>
      <c r="BN549" s="49"/>
      <c r="BO549" s="49"/>
      <c r="BP549" s="49"/>
      <c r="BQ549" s="49"/>
      <c r="BR549" s="49"/>
      <c r="BS549" s="49"/>
      <c r="BT549" s="49"/>
      <c r="BU549" s="49"/>
      <c r="BV549" s="49"/>
      <c r="BW549" s="49"/>
      <c r="BX549" s="49"/>
      <c r="BY549" s="49"/>
      <c r="BZ549" s="49"/>
      <c r="CA549" s="49"/>
      <c r="CB549" s="49"/>
      <c r="CC549" s="49"/>
      <c r="CD549" s="49"/>
      <c r="CE549" s="49"/>
      <c r="CF549" s="49"/>
      <c r="CG549" s="49"/>
      <c r="CH549" s="49"/>
      <c r="CI549" s="49"/>
      <c r="CJ549" s="49"/>
      <c r="CK549" s="49"/>
      <c r="CL549" s="49"/>
      <c r="CM549" s="49"/>
      <c r="CN549" s="49"/>
      <c r="CO549" s="49"/>
      <c r="CP549" s="49"/>
      <c r="CQ549" s="49"/>
      <c r="CR549" s="49"/>
      <c r="CS549" s="49"/>
      <c r="CT549" s="155"/>
      <c r="CU549" s="155"/>
      <c r="CV549" s="155"/>
      <c r="CW549" s="155"/>
      <c r="CX549" s="155"/>
      <c r="CY549" s="155"/>
      <c r="CZ549" s="155"/>
      <c r="DA549" s="155"/>
      <c r="DB549" s="155"/>
      <c r="DC549" s="155"/>
      <c r="DD549" s="155"/>
      <c r="DE549" s="155"/>
      <c r="DF549" s="155"/>
      <c r="DG549" s="155"/>
      <c r="DH549" s="155"/>
      <c r="DI549" s="155"/>
      <c r="DJ549" s="155"/>
      <c r="DK549" s="155"/>
      <c r="DL549" s="155"/>
      <c r="DM549" s="155"/>
      <c r="DN549" s="155"/>
      <c r="DO549" s="155"/>
      <c r="DP549" s="155"/>
      <c r="DQ549" s="155"/>
      <c r="DR549" s="155"/>
      <c r="DS549" s="155"/>
      <c r="DT549" s="155"/>
      <c r="DU549" s="155"/>
      <c r="DV549" s="155"/>
      <c r="DW549" s="155"/>
      <c r="DX549" s="155"/>
    </row>
    <row r="550" spans="1:128" ht="18" customHeight="1">
      <c r="A550" s="155"/>
      <c r="B550" s="155"/>
      <c r="C550" s="155"/>
      <c r="D550" s="155"/>
      <c r="E550" s="155"/>
      <c r="F550" s="155"/>
      <c r="G550" s="155"/>
      <c r="H550" s="155"/>
      <c r="I550" s="270"/>
      <c r="J550" s="270"/>
      <c r="K550" s="270"/>
      <c r="L550" s="270"/>
      <c r="M550" s="270"/>
      <c r="N550" s="270"/>
      <c r="O550" s="155"/>
      <c r="P550" s="155"/>
      <c r="Q550" s="155"/>
      <c r="R550" s="155"/>
      <c r="S550" s="155"/>
      <c r="T550" s="155"/>
      <c r="U550" s="158"/>
      <c r="V550" s="155"/>
      <c r="W550" s="155"/>
      <c r="X550" s="263"/>
      <c r="Y550" s="155"/>
      <c r="Z550" s="155"/>
      <c r="AA550" s="263"/>
      <c r="AB550" s="263"/>
      <c r="AC550" s="155"/>
      <c r="AD550" s="155"/>
      <c r="AE550" s="155"/>
      <c r="AF550" s="155"/>
      <c r="AG550" s="155"/>
      <c r="AH550" s="155"/>
      <c r="AI550" s="155"/>
      <c r="AJ550" s="155"/>
      <c r="AK550" s="155"/>
      <c r="AL550" s="155"/>
      <c r="AM550" s="155"/>
      <c r="AN550" s="155"/>
      <c r="AO550" s="155"/>
      <c r="AP550" s="49"/>
      <c r="AQ550" s="49"/>
      <c r="AR550" s="155"/>
      <c r="AS550" s="155"/>
      <c r="AT550" s="155"/>
      <c r="AU550" s="155"/>
      <c r="AV550" s="155"/>
      <c r="AW550" s="155"/>
      <c r="AX550" s="155"/>
      <c r="AY550" s="155"/>
      <c r="AZ550" s="49"/>
      <c r="BA550" s="49"/>
      <c r="BB550" s="49"/>
      <c r="BC550" s="49"/>
      <c r="BD550" s="49"/>
      <c r="BE550" s="49"/>
      <c r="BF550" s="49"/>
      <c r="BG550" s="49"/>
      <c r="BH550" s="49"/>
      <c r="BI550" s="155"/>
      <c r="BJ550" s="155"/>
      <c r="BK550" s="155"/>
      <c r="BL550" s="49"/>
      <c r="BM550" s="49"/>
      <c r="BN550" s="49"/>
      <c r="BO550" s="49"/>
      <c r="BP550" s="49"/>
      <c r="BQ550" s="49"/>
      <c r="BR550" s="49"/>
      <c r="BS550" s="49"/>
      <c r="BT550" s="49"/>
      <c r="BU550" s="49"/>
      <c r="BV550" s="49"/>
      <c r="BW550" s="49"/>
      <c r="BX550" s="49"/>
      <c r="BY550" s="49"/>
      <c r="BZ550" s="49"/>
      <c r="CA550" s="49"/>
      <c r="CB550" s="49"/>
      <c r="CC550" s="49"/>
      <c r="CD550" s="49"/>
      <c r="CE550" s="49"/>
      <c r="CF550" s="49"/>
      <c r="CG550" s="49"/>
      <c r="CH550" s="49"/>
      <c r="CI550" s="49"/>
      <c r="CJ550" s="49"/>
      <c r="CK550" s="49"/>
      <c r="CL550" s="49"/>
      <c r="CM550" s="49"/>
      <c r="CN550" s="49"/>
      <c r="CO550" s="49"/>
      <c r="CP550" s="49"/>
      <c r="CQ550" s="49"/>
      <c r="CR550" s="49"/>
      <c r="CS550" s="49"/>
      <c r="CT550" s="155"/>
      <c r="CU550" s="155"/>
      <c r="CV550" s="155"/>
      <c r="CW550" s="155"/>
      <c r="CX550" s="155"/>
      <c r="CY550" s="155"/>
      <c r="CZ550" s="155"/>
      <c r="DA550" s="155"/>
      <c r="DB550" s="155"/>
      <c r="DC550" s="155"/>
      <c r="DD550" s="155"/>
      <c r="DE550" s="155"/>
      <c r="DF550" s="155"/>
      <c r="DG550" s="155"/>
      <c r="DH550" s="155"/>
      <c r="DI550" s="155"/>
      <c r="DJ550" s="155"/>
      <c r="DK550" s="155"/>
      <c r="DL550" s="155"/>
      <c r="DM550" s="155"/>
      <c r="DN550" s="155"/>
      <c r="DO550" s="155"/>
      <c r="DP550" s="155"/>
      <c r="DQ550" s="155"/>
      <c r="DR550" s="155"/>
      <c r="DS550" s="155"/>
      <c r="DT550" s="155"/>
      <c r="DU550" s="155"/>
      <c r="DV550" s="155"/>
      <c r="DW550" s="155"/>
      <c r="DX550" s="155"/>
    </row>
    <row r="551" spans="1:128" ht="18" customHeight="1">
      <c r="A551" s="155"/>
      <c r="B551" s="155"/>
      <c r="C551" s="155"/>
      <c r="D551" s="155"/>
      <c r="E551" s="155"/>
      <c r="F551" s="155"/>
      <c r="G551" s="155"/>
      <c r="H551" s="155"/>
      <c r="I551" s="270"/>
      <c r="J551" s="270"/>
      <c r="K551" s="270"/>
      <c r="L551" s="270"/>
      <c r="M551" s="270"/>
      <c r="N551" s="270"/>
      <c r="O551" s="155"/>
      <c r="P551" s="155"/>
      <c r="Q551" s="155"/>
      <c r="R551" s="155"/>
      <c r="S551" s="155"/>
      <c r="T551" s="155"/>
      <c r="U551" s="158"/>
      <c r="V551" s="155"/>
      <c r="W551" s="155"/>
      <c r="X551" s="263"/>
      <c r="Y551" s="155"/>
      <c r="Z551" s="155"/>
      <c r="AA551" s="263"/>
      <c r="AB551" s="263"/>
      <c r="AC551" s="155"/>
      <c r="AD551" s="155"/>
      <c r="AE551" s="155"/>
      <c r="AF551" s="155"/>
      <c r="AG551" s="155"/>
      <c r="AH551" s="155"/>
      <c r="AI551" s="155"/>
      <c r="AJ551" s="155"/>
      <c r="AK551" s="155"/>
      <c r="AL551" s="155"/>
      <c r="AM551" s="155"/>
      <c r="AN551" s="155"/>
      <c r="AO551" s="155"/>
      <c r="AP551" s="49"/>
      <c r="AQ551" s="49"/>
      <c r="AR551" s="155"/>
      <c r="AS551" s="155"/>
      <c r="AT551" s="155"/>
      <c r="AU551" s="155"/>
      <c r="AV551" s="155"/>
      <c r="AW551" s="155"/>
      <c r="AX551" s="155"/>
      <c r="AY551" s="155"/>
      <c r="AZ551" s="49"/>
      <c r="BA551" s="49"/>
      <c r="BB551" s="49"/>
      <c r="BC551" s="49"/>
      <c r="BD551" s="49"/>
      <c r="BE551" s="49"/>
      <c r="BF551" s="49"/>
      <c r="BG551" s="49"/>
      <c r="BH551" s="49"/>
      <c r="BI551" s="155"/>
      <c r="BJ551" s="155"/>
      <c r="BK551" s="155"/>
      <c r="BL551" s="49"/>
      <c r="BM551" s="49"/>
      <c r="BN551" s="49"/>
      <c r="BO551" s="49"/>
      <c r="BP551" s="49"/>
      <c r="BQ551" s="49"/>
      <c r="BR551" s="49"/>
      <c r="BS551" s="49"/>
      <c r="BT551" s="49"/>
      <c r="BU551" s="49"/>
      <c r="BV551" s="49"/>
      <c r="BW551" s="49"/>
      <c r="BX551" s="49"/>
      <c r="BY551" s="49"/>
      <c r="BZ551" s="49"/>
      <c r="CA551" s="49"/>
      <c r="CB551" s="49"/>
      <c r="CC551" s="49"/>
      <c r="CD551" s="49"/>
      <c r="CE551" s="49"/>
      <c r="CF551" s="49"/>
      <c r="CG551" s="49"/>
      <c r="CH551" s="49"/>
      <c r="CI551" s="49"/>
      <c r="CJ551" s="49"/>
      <c r="CK551" s="49"/>
      <c r="CL551" s="49"/>
      <c r="CM551" s="49"/>
      <c r="CN551" s="49"/>
      <c r="CO551" s="49"/>
      <c r="CP551" s="49"/>
      <c r="CQ551" s="49"/>
      <c r="CR551" s="49"/>
      <c r="CS551" s="49"/>
      <c r="CT551" s="155"/>
      <c r="CU551" s="155"/>
      <c r="CV551" s="155"/>
      <c r="CW551" s="155"/>
      <c r="CX551" s="155"/>
      <c r="CY551" s="155"/>
      <c r="CZ551" s="155"/>
      <c r="DA551" s="155"/>
      <c r="DB551" s="155"/>
      <c r="DC551" s="155"/>
      <c r="DD551" s="155"/>
      <c r="DE551" s="155"/>
      <c r="DF551" s="155"/>
      <c r="DG551" s="155"/>
      <c r="DH551" s="155"/>
      <c r="DI551" s="155"/>
      <c r="DJ551" s="155"/>
      <c r="DK551" s="155"/>
      <c r="DL551" s="155"/>
      <c r="DM551" s="155"/>
      <c r="DN551" s="155"/>
      <c r="DO551" s="155"/>
      <c r="DP551" s="155"/>
      <c r="DQ551" s="155"/>
      <c r="DR551" s="155"/>
      <c r="DS551" s="155"/>
      <c r="DT551" s="155"/>
      <c r="DU551" s="155"/>
      <c r="DV551" s="155"/>
      <c r="DW551" s="155"/>
      <c r="DX551" s="155"/>
    </row>
    <row r="552" spans="1:128" ht="18" customHeight="1">
      <c r="A552" s="155"/>
      <c r="B552" s="155"/>
      <c r="C552" s="155"/>
      <c r="D552" s="155"/>
      <c r="E552" s="155"/>
      <c r="F552" s="155"/>
      <c r="G552" s="155"/>
      <c r="H552" s="155"/>
      <c r="I552" s="270"/>
      <c r="J552" s="270"/>
      <c r="K552" s="270"/>
      <c r="L552" s="270"/>
      <c r="M552" s="270"/>
      <c r="N552" s="270"/>
      <c r="O552" s="155"/>
      <c r="P552" s="155"/>
      <c r="Q552" s="155"/>
      <c r="R552" s="155"/>
      <c r="S552" s="155"/>
      <c r="T552" s="155"/>
      <c r="U552" s="158"/>
      <c r="V552" s="155"/>
      <c r="W552" s="155"/>
      <c r="X552" s="263"/>
      <c r="Y552" s="155"/>
      <c r="Z552" s="155"/>
      <c r="AA552" s="263"/>
      <c r="AB552" s="263"/>
      <c r="AC552" s="155"/>
      <c r="AD552" s="155"/>
      <c r="AE552" s="155"/>
      <c r="AF552" s="155"/>
      <c r="AG552" s="155"/>
      <c r="AH552" s="155"/>
      <c r="AI552" s="155"/>
      <c r="AJ552" s="155"/>
      <c r="AK552" s="155"/>
      <c r="AL552" s="155"/>
      <c r="AM552" s="155"/>
      <c r="AN552" s="155"/>
      <c r="AO552" s="155"/>
      <c r="AP552" s="49"/>
      <c r="AQ552" s="49"/>
      <c r="AR552" s="155"/>
      <c r="AS552" s="155"/>
      <c r="AT552" s="155"/>
      <c r="AU552" s="155"/>
      <c r="AV552" s="155"/>
      <c r="AW552" s="155"/>
      <c r="AX552" s="155"/>
      <c r="AY552" s="155"/>
      <c r="AZ552" s="49"/>
      <c r="BA552" s="49"/>
      <c r="BB552" s="49"/>
      <c r="BC552" s="49"/>
      <c r="BD552" s="49"/>
      <c r="BE552" s="49"/>
      <c r="BF552" s="49"/>
      <c r="BG552" s="49"/>
      <c r="BH552" s="49"/>
      <c r="BI552" s="155"/>
      <c r="BJ552" s="155"/>
      <c r="BK552" s="155"/>
      <c r="BL552" s="49"/>
      <c r="BM552" s="49"/>
      <c r="BN552" s="49"/>
      <c r="BO552" s="49"/>
      <c r="BP552" s="49"/>
      <c r="BQ552" s="49"/>
      <c r="BR552" s="49"/>
      <c r="BS552" s="49"/>
      <c r="BT552" s="49"/>
      <c r="BU552" s="49"/>
      <c r="BV552" s="49"/>
      <c r="BW552" s="49"/>
      <c r="BX552" s="49"/>
      <c r="BY552" s="49"/>
      <c r="BZ552" s="49"/>
      <c r="CA552" s="49"/>
      <c r="CB552" s="49"/>
      <c r="CC552" s="49"/>
      <c r="CD552" s="49"/>
      <c r="CE552" s="49"/>
      <c r="CF552" s="49"/>
      <c r="CG552" s="49"/>
      <c r="CH552" s="49"/>
      <c r="CI552" s="49"/>
      <c r="CJ552" s="49"/>
      <c r="CK552" s="49"/>
      <c r="CL552" s="49"/>
      <c r="CM552" s="49"/>
      <c r="CN552" s="49"/>
      <c r="CO552" s="49"/>
      <c r="CP552" s="49"/>
      <c r="CQ552" s="49"/>
      <c r="CR552" s="49"/>
      <c r="CS552" s="49"/>
      <c r="CT552" s="155"/>
      <c r="CU552" s="155"/>
      <c r="CV552" s="155"/>
      <c r="CW552" s="155"/>
      <c r="CX552" s="155"/>
      <c r="CY552" s="155"/>
      <c r="CZ552" s="155"/>
      <c r="DA552" s="155"/>
      <c r="DB552" s="155"/>
      <c r="DC552" s="155"/>
      <c r="DD552" s="155"/>
      <c r="DE552" s="155"/>
      <c r="DF552" s="155"/>
      <c r="DG552" s="155"/>
      <c r="DH552" s="155"/>
      <c r="DI552" s="155"/>
      <c r="DJ552" s="155"/>
      <c r="DK552" s="155"/>
      <c r="DL552" s="155"/>
      <c r="DM552" s="155"/>
      <c r="DN552" s="155"/>
      <c r="DO552" s="155"/>
      <c r="DP552" s="155"/>
      <c r="DQ552" s="155"/>
      <c r="DR552" s="155"/>
      <c r="DS552" s="155"/>
      <c r="DT552" s="155"/>
      <c r="DU552" s="155"/>
      <c r="DV552" s="155"/>
      <c r="DW552" s="155"/>
      <c r="DX552" s="155"/>
    </row>
    <row r="553" spans="1:128" ht="18" customHeight="1">
      <c r="A553" s="155"/>
      <c r="B553" s="155"/>
      <c r="C553" s="155"/>
      <c r="D553" s="155"/>
      <c r="E553" s="155"/>
      <c r="F553" s="155"/>
      <c r="G553" s="155"/>
      <c r="H553" s="155"/>
      <c r="I553" s="270"/>
      <c r="J553" s="270"/>
      <c r="K553" s="270"/>
      <c r="L553" s="270"/>
      <c r="M553" s="270"/>
      <c r="N553" s="270"/>
      <c r="O553" s="155"/>
      <c r="P553" s="155"/>
      <c r="Q553" s="155"/>
      <c r="R553" s="155"/>
      <c r="S553" s="155"/>
      <c r="T553" s="155"/>
      <c r="U553" s="158"/>
      <c r="V553" s="155"/>
      <c r="W553" s="155"/>
      <c r="X553" s="263"/>
      <c r="Y553" s="155"/>
      <c r="Z553" s="155"/>
      <c r="AA553" s="263"/>
      <c r="AB553" s="263"/>
      <c r="AC553" s="155"/>
      <c r="AD553" s="155"/>
      <c r="AE553" s="155"/>
      <c r="AF553" s="155"/>
      <c r="AG553" s="155"/>
      <c r="AH553" s="155"/>
      <c r="AI553" s="155"/>
      <c r="AJ553" s="155"/>
      <c r="AK553" s="155"/>
      <c r="AL553" s="155"/>
      <c r="AM553" s="155"/>
      <c r="AN553" s="155"/>
      <c r="AO553" s="155"/>
      <c r="AP553" s="49"/>
      <c r="AQ553" s="49"/>
      <c r="AR553" s="155"/>
      <c r="AS553" s="155"/>
      <c r="AT553" s="155"/>
      <c r="AU553" s="155"/>
      <c r="AV553" s="155"/>
      <c r="AW553" s="155"/>
      <c r="AX553" s="155"/>
      <c r="AY553" s="155"/>
      <c r="AZ553" s="49"/>
      <c r="BA553" s="49"/>
      <c r="BB553" s="49"/>
      <c r="BC553" s="49"/>
      <c r="BD553" s="49"/>
      <c r="BE553" s="49"/>
      <c r="BF553" s="49"/>
      <c r="BG553" s="49"/>
      <c r="BH553" s="49"/>
      <c r="BI553" s="155"/>
      <c r="BJ553" s="155"/>
      <c r="BK553" s="155"/>
      <c r="BL553" s="49"/>
      <c r="BM553" s="49"/>
      <c r="BN553" s="49"/>
      <c r="BO553" s="49"/>
      <c r="BP553" s="49"/>
      <c r="BQ553" s="49"/>
      <c r="BR553" s="49"/>
      <c r="BS553" s="49"/>
      <c r="BT553" s="49"/>
      <c r="BU553" s="49"/>
      <c r="BV553" s="49"/>
      <c r="BW553" s="49"/>
      <c r="BX553" s="49"/>
      <c r="BY553" s="49"/>
      <c r="BZ553" s="49"/>
      <c r="CA553" s="49"/>
      <c r="CB553" s="49"/>
      <c r="CC553" s="49"/>
      <c r="CD553" s="49"/>
      <c r="CE553" s="49"/>
      <c r="CF553" s="49"/>
      <c r="CG553" s="49"/>
      <c r="CH553" s="49"/>
      <c r="CI553" s="49"/>
      <c r="CJ553" s="49"/>
      <c r="CK553" s="49"/>
      <c r="CL553" s="49"/>
      <c r="CM553" s="49"/>
      <c r="CN553" s="49"/>
      <c r="CO553" s="49"/>
      <c r="CP553" s="49"/>
      <c r="CQ553" s="49"/>
      <c r="CR553" s="49"/>
      <c r="CS553" s="49"/>
      <c r="CT553" s="155"/>
      <c r="CU553" s="155"/>
      <c r="CV553" s="155"/>
      <c r="CW553" s="155"/>
      <c r="CX553" s="155"/>
      <c r="CY553" s="155"/>
      <c r="CZ553" s="155"/>
      <c r="DA553" s="155"/>
      <c r="DB553" s="155"/>
      <c r="DC553" s="155"/>
      <c r="DD553" s="155"/>
      <c r="DE553" s="155"/>
      <c r="DF553" s="155"/>
      <c r="DG553" s="155"/>
      <c r="DH553" s="155"/>
      <c r="DI553" s="155"/>
      <c r="DJ553" s="155"/>
      <c r="DK553" s="155"/>
      <c r="DL553" s="155"/>
      <c r="DM553" s="155"/>
      <c r="DN553" s="155"/>
      <c r="DO553" s="155"/>
      <c r="DP553" s="155"/>
      <c r="DQ553" s="155"/>
      <c r="DR553" s="155"/>
      <c r="DS553" s="155"/>
      <c r="DT553" s="155"/>
      <c r="DU553" s="155"/>
      <c r="DV553" s="155"/>
      <c r="DW553" s="155"/>
      <c r="DX553" s="155"/>
    </row>
    <row r="554" spans="1:128" ht="18" customHeight="1">
      <c r="A554" s="155"/>
      <c r="B554" s="155"/>
      <c r="C554" s="155"/>
      <c r="D554" s="155"/>
      <c r="E554" s="155"/>
      <c r="F554" s="155"/>
      <c r="G554" s="155"/>
      <c r="H554" s="155"/>
      <c r="I554" s="270"/>
      <c r="J554" s="270"/>
      <c r="K554" s="270"/>
      <c r="L554" s="270"/>
      <c r="M554" s="270"/>
      <c r="N554" s="270"/>
      <c r="O554" s="155"/>
      <c r="P554" s="155"/>
      <c r="Q554" s="155"/>
      <c r="R554" s="155"/>
      <c r="S554" s="155"/>
      <c r="T554" s="155"/>
      <c r="U554" s="158"/>
      <c r="V554" s="155"/>
      <c r="W554" s="155"/>
      <c r="X554" s="263"/>
      <c r="Y554" s="155"/>
      <c r="Z554" s="155"/>
      <c r="AA554" s="263"/>
      <c r="AB554" s="263"/>
      <c r="AC554" s="155"/>
      <c r="AD554" s="155"/>
      <c r="AE554" s="155"/>
      <c r="AF554" s="155"/>
      <c r="AG554" s="155"/>
      <c r="AH554" s="155"/>
      <c r="AI554" s="155"/>
      <c r="AJ554" s="155"/>
      <c r="AK554" s="155"/>
      <c r="AL554" s="155"/>
      <c r="AM554" s="155"/>
      <c r="AN554" s="155"/>
      <c r="AO554" s="155"/>
      <c r="AP554" s="49"/>
      <c r="AQ554" s="49"/>
      <c r="AR554" s="155"/>
      <c r="AS554" s="155"/>
      <c r="AT554" s="155"/>
      <c r="AU554" s="155"/>
      <c r="AV554" s="155"/>
      <c r="AW554" s="155"/>
      <c r="AX554" s="155"/>
      <c r="AY554" s="155"/>
      <c r="AZ554" s="49"/>
      <c r="BA554" s="49"/>
      <c r="BB554" s="49"/>
      <c r="BC554" s="49"/>
      <c r="BD554" s="49"/>
      <c r="BE554" s="49"/>
      <c r="BF554" s="49"/>
      <c r="BG554" s="49"/>
      <c r="BH554" s="49"/>
      <c r="BI554" s="155"/>
      <c r="BJ554" s="155"/>
      <c r="BK554" s="155"/>
      <c r="BL554" s="49"/>
      <c r="BM554" s="49"/>
      <c r="BN554" s="49"/>
      <c r="BO554" s="49"/>
      <c r="BP554" s="49"/>
      <c r="BQ554" s="49"/>
      <c r="BR554" s="49"/>
      <c r="BS554" s="49"/>
      <c r="BT554" s="49"/>
      <c r="BU554" s="49"/>
      <c r="BV554" s="49"/>
      <c r="BW554" s="49"/>
      <c r="BX554" s="49"/>
      <c r="BY554" s="49"/>
      <c r="BZ554" s="49"/>
      <c r="CA554" s="49"/>
      <c r="CB554" s="49"/>
      <c r="CC554" s="49"/>
      <c r="CD554" s="49"/>
      <c r="CE554" s="49"/>
      <c r="CF554" s="49"/>
      <c r="CG554" s="49"/>
      <c r="CH554" s="49"/>
      <c r="CI554" s="49"/>
      <c r="CJ554" s="49"/>
      <c r="CK554" s="49"/>
      <c r="CL554" s="49"/>
      <c r="CM554" s="49"/>
      <c r="CN554" s="49"/>
      <c r="CO554" s="49"/>
      <c r="CP554" s="49"/>
      <c r="CQ554" s="49"/>
      <c r="CR554" s="49"/>
      <c r="CS554" s="49"/>
      <c r="CT554" s="155"/>
      <c r="CU554" s="155"/>
      <c r="CV554" s="155"/>
      <c r="CW554" s="155"/>
      <c r="CX554" s="155"/>
      <c r="CY554" s="155"/>
      <c r="CZ554" s="155"/>
      <c r="DA554" s="155"/>
      <c r="DB554" s="155"/>
      <c r="DC554" s="155"/>
      <c r="DD554" s="155"/>
      <c r="DE554" s="155"/>
      <c r="DF554" s="155"/>
      <c r="DG554" s="155"/>
      <c r="DH554" s="155"/>
      <c r="DI554" s="155"/>
      <c r="DJ554" s="155"/>
      <c r="DK554" s="155"/>
      <c r="DL554" s="155"/>
      <c r="DM554" s="155"/>
      <c r="DN554" s="155"/>
      <c r="DO554" s="155"/>
      <c r="DP554" s="155"/>
      <c r="DQ554" s="155"/>
      <c r="DR554" s="155"/>
      <c r="DS554" s="155"/>
      <c r="DT554" s="155"/>
      <c r="DU554" s="155"/>
      <c r="DV554" s="155"/>
      <c r="DW554" s="155"/>
      <c r="DX554" s="155"/>
    </row>
    <row r="555" spans="1:128" ht="18" customHeight="1">
      <c r="A555" s="155"/>
      <c r="B555" s="155"/>
      <c r="C555" s="155"/>
      <c r="D555" s="155"/>
      <c r="E555" s="155"/>
      <c r="F555" s="155"/>
      <c r="G555" s="155"/>
      <c r="H555" s="155"/>
      <c r="I555" s="270"/>
      <c r="J555" s="270"/>
      <c r="K555" s="270"/>
      <c r="L555" s="270"/>
      <c r="M555" s="270"/>
      <c r="N555" s="270"/>
      <c r="O555" s="155"/>
      <c r="P555" s="155"/>
      <c r="Q555" s="155"/>
      <c r="R555" s="155"/>
      <c r="S555" s="155"/>
      <c r="T555" s="155"/>
      <c r="U555" s="158"/>
      <c r="V555" s="155"/>
      <c r="W555" s="155"/>
      <c r="X555" s="263"/>
      <c r="Y555" s="155"/>
      <c r="Z555" s="155"/>
      <c r="AA555" s="263"/>
      <c r="AB555" s="263"/>
      <c r="AC555" s="155"/>
      <c r="AD555" s="155"/>
      <c r="AE555" s="155"/>
      <c r="AF555" s="155"/>
      <c r="AG555" s="155"/>
      <c r="AH555" s="155"/>
      <c r="AI555" s="155"/>
      <c r="AJ555" s="155"/>
      <c r="AK555" s="155"/>
      <c r="AL555" s="155"/>
      <c r="AM555" s="155"/>
      <c r="AN555" s="155"/>
      <c r="AO555" s="155"/>
      <c r="AP555" s="49"/>
      <c r="AQ555" s="49"/>
      <c r="AR555" s="155"/>
      <c r="AS555" s="155"/>
      <c r="AT555" s="155"/>
      <c r="AU555" s="155"/>
      <c r="AV555" s="155"/>
      <c r="AW555" s="155"/>
      <c r="AX555" s="155"/>
      <c r="AY555" s="155"/>
      <c r="AZ555" s="49"/>
      <c r="BA555" s="49"/>
      <c r="BB555" s="49"/>
      <c r="BC555" s="49"/>
      <c r="BD555" s="49"/>
      <c r="BE555" s="49"/>
      <c r="BF555" s="49"/>
      <c r="BG555" s="49"/>
      <c r="BH555" s="49"/>
      <c r="BI555" s="155"/>
      <c r="BJ555" s="155"/>
      <c r="BK555" s="155"/>
      <c r="BL555" s="49"/>
      <c r="BM555" s="49"/>
      <c r="BN555" s="49"/>
      <c r="BO555" s="49"/>
      <c r="BP555" s="49"/>
      <c r="BQ555" s="49"/>
      <c r="BR555" s="49"/>
      <c r="BS555" s="49"/>
      <c r="BT555" s="49"/>
      <c r="BU555" s="49"/>
      <c r="BV555" s="49"/>
      <c r="BW555" s="49"/>
      <c r="BX555" s="49"/>
      <c r="BY555" s="49"/>
      <c r="BZ555" s="49"/>
      <c r="CA555" s="49"/>
      <c r="CB555" s="49"/>
      <c r="CC555" s="49"/>
      <c r="CD555" s="49"/>
      <c r="CE555" s="49"/>
      <c r="CF555" s="49"/>
      <c r="CG555" s="49"/>
      <c r="CH555" s="49"/>
      <c r="CI555" s="49"/>
      <c r="CJ555" s="49"/>
      <c r="CK555" s="49"/>
      <c r="CL555" s="49"/>
      <c r="CM555" s="49"/>
      <c r="CN555" s="49"/>
      <c r="CO555" s="49"/>
      <c r="CP555" s="49"/>
      <c r="CQ555" s="49"/>
      <c r="CR555" s="49"/>
      <c r="CS555" s="49"/>
      <c r="CT555" s="155"/>
      <c r="CU555" s="155"/>
      <c r="CV555" s="155"/>
      <c r="CW555" s="155"/>
      <c r="CX555" s="155"/>
      <c r="CY555" s="155"/>
      <c r="CZ555" s="155"/>
      <c r="DA555" s="155"/>
      <c r="DB555" s="155"/>
      <c r="DC555" s="155"/>
      <c r="DD555" s="155"/>
      <c r="DE555" s="155"/>
      <c r="DF555" s="155"/>
      <c r="DG555" s="155"/>
      <c r="DH555" s="155"/>
      <c r="DI555" s="155"/>
      <c r="DJ555" s="155"/>
      <c r="DK555" s="155"/>
      <c r="DL555" s="155"/>
      <c r="DM555" s="155"/>
      <c r="DN555" s="155"/>
      <c r="DO555" s="155"/>
      <c r="DP555" s="155"/>
      <c r="DQ555" s="155"/>
      <c r="DR555" s="155"/>
      <c r="DS555" s="155"/>
      <c r="DT555" s="155"/>
      <c r="DU555" s="155"/>
      <c r="DV555" s="155"/>
      <c r="DW555" s="155"/>
      <c r="DX555" s="155"/>
    </row>
    <row r="556" spans="1:128" ht="18" customHeight="1">
      <c r="A556" s="155"/>
      <c r="B556" s="155"/>
      <c r="C556" s="155"/>
      <c r="D556" s="155"/>
      <c r="E556" s="155"/>
      <c r="F556" s="155"/>
      <c r="G556" s="155"/>
      <c r="H556" s="155"/>
      <c r="I556" s="270"/>
      <c r="J556" s="270"/>
      <c r="K556" s="270"/>
      <c r="L556" s="270"/>
      <c r="M556" s="270"/>
      <c r="N556" s="270"/>
      <c r="O556" s="155"/>
      <c r="P556" s="155"/>
      <c r="Q556" s="155"/>
      <c r="R556" s="155"/>
      <c r="S556" s="155"/>
      <c r="T556" s="155"/>
      <c r="U556" s="158"/>
      <c r="V556" s="155"/>
      <c r="W556" s="155"/>
      <c r="X556" s="263"/>
      <c r="Y556" s="155"/>
      <c r="Z556" s="155"/>
      <c r="AA556" s="263"/>
      <c r="AB556" s="263"/>
      <c r="AC556" s="155"/>
      <c r="AD556" s="155"/>
      <c r="AE556" s="155"/>
      <c r="AF556" s="155"/>
      <c r="AG556" s="155"/>
      <c r="AH556" s="155"/>
      <c r="AI556" s="155"/>
      <c r="AJ556" s="155"/>
      <c r="AK556" s="155"/>
      <c r="AL556" s="155"/>
      <c r="AM556" s="155"/>
      <c r="AN556" s="155"/>
      <c r="AO556" s="155"/>
      <c r="AP556" s="49"/>
      <c r="AQ556" s="49"/>
      <c r="AR556" s="155"/>
      <c r="AS556" s="155"/>
      <c r="AT556" s="155"/>
      <c r="AU556" s="155"/>
      <c r="AV556" s="155"/>
      <c r="AW556" s="155"/>
      <c r="AX556" s="155"/>
      <c r="AY556" s="155"/>
      <c r="AZ556" s="49"/>
      <c r="BA556" s="49"/>
      <c r="BB556" s="49"/>
      <c r="BC556" s="49"/>
      <c r="BD556" s="49"/>
      <c r="BE556" s="49"/>
      <c r="BF556" s="49"/>
      <c r="BG556" s="49"/>
      <c r="BH556" s="49"/>
      <c r="BI556" s="155"/>
      <c r="BJ556" s="155"/>
      <c r="BK556" s="155"/>
      <c r="BL556" s="49"/>
      <c r="BM556" s="49"/>
      <c r="BN556" s="49"/>
      <c r="BO556" s="49"/>
      <c r="BP556" s="49"/>
      <c r="BQ556" s="49"/>
      <c r="BR556" s="49"/>
      <c r="BS556" s="49"/>
      <c r="BT556" s="49"/>
      <c r="BU556" s="49"/>
      <c r="BV556" s="49"/>
      <c r="BW556" s="49"/>
      <c r="BX556" s="49"/>
      <c r="BY556" s="49"/>
      <c r="BZ556" s="49"/>
      <c r="CA556" s="49"/>
      <c r="CB556" s="49"/>
      <c r="CC556" s="49"/>
      <c r="CD556" s="49"/>
      <c r="CE556" s="49"/>
      <c r="CF556" s="49"/>
      <c r="CG556" s="49"/>
      <c r="CH556" s="49"/>
      <c r="CI556" s="49"/>
      <c r="CJ556" s="49"/>
      <c r="CK556" s="49"/>
      <c r="CL556" s="49"/>
      <c r="CM556" s="49"/>
      <c r="CN556" s="49"/>
      <c r="CO556" s="49"/>
      <c r="CP556" s="49"/>
      <c r="CQ556" s="49"/>
      <c r="CR556" s="49"/>
      <c r="CS556" s="49"/>
      <c r="CT556" s="155"/>
      <c r="CU556" s="155"/>
      <c r="CV556" s="155"/>
      <c r="CW556" s="155"/>
      <c r="CX556" s="155"/>
      <c r="CY556" s="155"/>
      <c r="CZ556" s="155"/>
      <c r="DA556" s="155"/>
      <c r="DB556" s="155"/>
      <c r="DC556" s="155"/>
      <c r="DD556" s="155"/>
      <c r="DE556" s="155"/>
      <c r="DF556" s="155"/>
      <c r="DG556" s="155"/>
      <c r="DH556" s="155"/>
      <c r="DI556" s="155"/>
      <c r="DJ556" s="155"/>
      <c r="DK556" s="155"/>
      <c r="DL556" s="155"/>
      <c r="DM556" s="155"/>
      <c r="DN556" s="155"/>
      <c r="DO556" s="155"/>
      <c r="DP556" s="155"/>
      <c r="DQ556" s="155"/>
      <c r="DR556" s="155"/>
      <c r="DS556" s="155"/>
      <c r="DT556" s="155"/>
      <c r="DU556" s="155"/>
      <c r="DV556" s="155"/>
      <c r="DW556" s="155"/>
      <c r="DX556" s="155"/>
    </row>
    <row r="557" spans="1:128" ht="18" customHeight="1">
      <c r="A557" s="155"/>
      <c r="B557" s="155"/>
      <c r="C557" s="155"/>
      <c r="D557" s="155"/>
      <c r="E557" s="155"/>
      <c r="F557" s="155"/>
      <c r="G557" s="155"/>
      <c r="H557" s="155"/>
      <c r="I557" s="270"/>
      <c r="J557" s="270"/>
      <c r="K557" s="270"/>
      <c r="L557" s="270"/>
      <c r="M557" s="270"/>
      <c r="N557" s="270"/>
      <c r="O557" s="155"/>
      <c r="P557" s="155"/>
      <c r="Q557" s="155"/>
      <c r="R557" s="155"/>
      <c r="S557" s="155"/>
      <c r="T557" s="155"/>
      <c r="U557" s="158"/>
      <c r="V557" s="155"/>
      <c r="W557" s="155"/>
      <c r="X557" s="263"/>
      <c r="Y557" s="155"/>
      <c r="Z557" s="155"/>
      <c r="AA557" s="263"/>
      <c r="AB557" s="263"/>
      <c r="AC557" s="155"/>
      <c r="AD557" s="155"/>
      <c r="AE557" s="155"/>
      <c r="AF557" s="155"/>
      <c r="AG557" s="155"/>
      <c r="AH557" s="155"/>
      <c r="AI557" s="155"/>
      <c r="AJ557" s="155"/>
      <c r="AK557" s="155"/>
      <c r="AL557" s="155"/>
      <c r="AM557" s="155"/>
      <c r="AN557" s="155"/>
      <c r="AO557" s="155"/>
      <c r="AP557" s="49"/>
      <c r="AQ557" s="49"/>
      <c r="AR557" s="155"/>
      <c r="AS557" s="155"/>
      <c r="AT557" s="155"/>
      <c r="AU557" s="155"/>
      <c r="AV557" s="155"/>
      <c r="AW557" s="155"/>
      <c r="AX557" s="155"/>
      <c r="AY557" s="155"/>
      <c r="AZ557" s="49"/>
      <c r="BA557" s="49"/>
      <c r="BB557" s="49"/>
      <c r="BC557" s="49"/>
      <c r="BD557" s="49"/>
      <c r="BE557" s="49"/>
      <c r="BF557" s="49"/>
      <c r="BG557" s="49"/>
      <c r="BH557" s="49"/>
      <c r="BI557" s="155"/>
      <c r="BJ557" s="155"/>
      <c r="BK557" s="155"/>
      <c r="BL557" s="49"/>
      <c r="BM557" s="49"/>
      <c r="BN557" s="49"/>
      <c r="BO557" s="49"/>
      <c r="BP557" s="49"/>
      <c r="BQ557" s="49"/>
      <c r="BR557" s="49"/>
      <c r="BS557" s="49"/>
      <c r="BT557" s="49"/>
      <c r="BU557" s="49"/>
      <c r="BV557" s="49"/>
      <c r="BW557" s="49"/>
      <c r="BX557" s="49"/>
      <c r="BY557" s="49"/>
      <c r="BZ557" s="49"/>
      <c r="CA557" s="49"/>
      <c r="CB557" s="49"/>
      <c r="CC557" s="49"/>
      <c r="CD557" s="49"/>
      <c r="CE557" s="49"/>
      <c r="CF557" s="49"/>
      <c r="CG557" s="49"/>
      <c r="CH557" s="49"/>
      <c r="CI557" s="49"/>
      <c r="CJ557" s="49"/>
      <c r="CK557" s="49"/>
      <c r="CL557" s="49"/>
      <c r="CM557" s="49"/>
      <c r="CN557" s="49"/>
      <c r="CO557" s="49"/>
      <c r="CP557" s="49"/>
      <c r="CQ557" s="49"/>
      <c r="CR557" s="49"/>
      <c r="CS557" s="49"/>
      <c r="CT557" s="155"/>
      <c r="CU557" s="155"/>
      <c r="CV557" s="155"/>
      <c r="CW557" s="155"/>
      <c r="CX557" s="155"/>
      <c r="CY557" s="155"/>
      <c r="CZ557" s="155"/>
      <c r="DA557" s="155"/>
      <c r="DB557" s="155"/>
      <c r="DC557" s="155"/>
      <c r="DD557" s="155"/>
      <c r="DE557" s="155"/>
      <c r="DF557" s="155"/>
      <c r="DG557" s="155"/>
      <c r="DH557" s="155"/>
      <c r="DI557" s="155"/>
      <c r="DJ557" s="155"/>
      <c r="DK557" s="155"/>
      <c r="DL557" s="155"/>
      <c r="DM557" s="155"/>
      <c r="DN557" s="155"/>
      <c r="DO557" s="155"/>
      <c r="DP557" s="155"/>
      <c r="DQ557" s="155"/>
      <c r="DR557" s="155"/>
      <c r="DS557" s="155"/>
      <c r="DT557" s="155"/>
      <c r="DU557" s="155"/>
      <c r="DV557" s="155"/>
      <c r="DW557" s="155"/>
      <c r="DX557" s="155"/>
    </row>
    <row r="558" spans="1:128" ht="18" customHeight="1">
      <c r="A558" s="155"/>
      <c r="B558" s="155"/>
      <c r="C558" s="155"/>
      <c r="D558" s="155"/>
      <c r="E558" s="155"/>
      <c r="F558" s="155"/>
      <c r="G558" s="155"/>
      <c r="H558" s="155"/>
      <c r="I558" s="270"/>
      <c r="J558" s="270"/>
      <c r="K558" s="270"/>
      <c r="L558" s="270"/>
      <c r="M558" s="270"/>
      <c r="N558" s="270"/>
      <c r="O558" s="155"/>
      <c r="P558" s="155"/>
      <c r="Q558" s="155"/>
      <c r="R558" s="155"/>
      <c r="S558" s="155"/>
      <c r="T558" s="155"/>
      <c r="U558" s="158"/>
      <c r="V558" s="155"/>
      <c r="W558" s="155"/>
      <c r="X558" s="263"/>
      <c r="Y558" s="155"/>
      <c r="Z558" s="155"/>
      <c r="AA558" s="263"/>
      <c r="AB558" s="263"/>
      <c r="AC558" s="155"/>
      <c r="AD558" s="155"/>
      <c r="AE558" s="155"/>
      <c r="AF558" s="155"/>
      <c r="AG558" s="155"/>
      <c r="AH558" s="155"/>
      <c r="AI558" s="155"/>
      <c r="AJ558" s="155"/>
      <c r="AK558" s="155"/>
      <c r="AL558" s="155"/>
      <c r="AM558" s="155"/>
      <c r="AN558" s="155"/>
      <c r="AO558" s="155"/>
      <c r="AP558" s="49"/>
      <c r="AQ558" s="49"/>
      <c r="AR558" s="155"/>
      <c r="AS558" s="155"/>
      <c r="AT558" s="155"/>
      <c r="AU558" s="155"/>
      <c r="AV558" s="155"/>
      <c r="AW558" s="155"/>
      <c r="AX558" s="155"/>
      <c r="AY558" s="155"/>
      <c r="AZ558" s="49"/>
      <c r="BA558" s="49"/>
      <c r="BB558" s="49"/>
      <c r="BC558" s="49"/>
      <c r="BD558" s="49"/>
      <c r="BE558" s="49"/>
      <c r="BF558" s="49"/>
      <c r="BG558" s="49"/>
      <c r="BH558" s="49"/>
      <c r="BI558" s="155"/>
      <c r="BJ558" s="155"/>
      <c r="BK558" s="155"/>
      <c r="BL558" s="49"/>
      <c r="BM558" s="49"/>
      <c r="BN558" s="49"/>
      <c r="BO558" s="49"/>
      <c r="BP558" s="49"/>
      <c r="BQ558" s="49"/>
      <c r="BR558" s="49"/>
      <c r="BS558" s="49"/>
      <c r="BT558" s="49"/>
      <c r="BU558" s="49"/>
      <c r="BV558" s="49"/>
      <c r="BW558" s="49"/>
      <c r="BX558" s="49"/>
      <c r="BY558" s="49"/>
      <c r="BZ558" s="49"/>
      <c r="CA558" s="49"/>
      <c r="CB558" s="49"/>
      <c r="CC558" s="49"/>
      <c r="CD558" s="49"/>
      <c r="CE558" s="49"/>
      <c r="CF558" s="49"/>
      <c r="CG558" s="49"/>
      <c r="CH558" s="49"/>
      <c r="CI558" s="49"/>
      <c r="CJ558" s="49"/>
      <c r="CK558" s="49"/>
      <c r="CL558" s="49"/>
      <c r="CM558" s="49"/>
      <c r="CN558" s="49"/>
      <c r="CO558" s="49"/>
      <c r="CP558" s="49"/>
      <c r="CQ558" s="49"/>
      <c r="CR558" s="49"/>
      <c r="CS558" s="49"/>
      <c r="CT558" s="155"/>
      <c r="CU558" s="155"/>
      <c r="CV558" s="155"/>
      <c r="CW558" s="155"/>
      <c r="CX558" s="155"/>
      <c r="CY558" s="155"/>
      <c r="CZ558" s="155"/>
      <c r="DA558" s="155"/>
      <c r="DB558" s="155"/>
      <c r="DC558" s="155"/>
      <c r="DD558" s="155"/>
      <c r="DE558" s="155"/>
      <c r="DF558" s="155"/>
      <c r="DG558" s="155"/>
      <c r="DH558" s="155"/>
      <c r="DI558" s="155"/>
      <c r="DJ558" s="155"/>
      <c r="DK558" s="155"/>
      <c r="DL558" s="155"/>
      <c r="DM558" s="155"/>
      <c r="DN558" s="155"/>
      <c r="DO558" s="155"/>
      <c r="DP558" s="155"/>
      <c r="DQ558" s="155"/>
      <c r="DR558" s="155"/>
      <c r="DS558" s="155"/>
      <c r="DT558" s="155"/>
      <c r="DU558" s="155"/>
      <c r="DV558" s="155"/>
      <c r="DW558" s="155"/>
      <c r="DX558" s="155"/>
    </row>
    <row r="559" spans="1:128" ht="18" customHeight="1">
      <c r="A559" s="155"/>
      <c r="B559" s="155"/>
      <c r="C559" s="155"/>
      <c r="D559" s="155"/>
      <c r="E559" s="155"/>
      <c r="F559" s="155"/>
      <c r="G559" s="155"/>
      <c r="H559" s="155"/>
      <c r="I559" s="270"/>
      <c r="J559" s="270"/>
      <c r="K559" s="270"/>
      <c r="L559" s="270"/>
      <c r="M559" s="270"/>
      <c r="N559" s="270"/>
      <c r="O559" s="155"/>
      <c r="P559" s="155"/>
      <c r="Q559" s="155"/>
      <c r="R559" s="155"/>
      <c r="S559" s="155"/>
      <c r="T559" s="155"/>
      <c r="U559" s="158"/>
      <c r="V559" s="155"/>
      <c r="W559" s="155"/>
      <c r="X559" s="263"/>
      <c r="Y559" s="155"/>
      <c r="Z559" s="155"/>
      <c r="AA559" s="263"/>
      <c r="AB559" s="263"/>
      <c r="AC559" s="155"/>
      <c r="AD559" s="155"/>
      <c r="AE559" s="155"/>
      <c r="AF559" s="155"/>
      <c r="AG559" s="155"/>
      <c r="AH559" s="155"/>
      <c r="AI559" s="155"/>
      <c r="AJ559" s="155"/>
      <c r="AK559" s="155"/>
      <c r="AL559" s="155"/>
      <c r="AM559" s="155"/>
      <c r="AN559" s="155"/>
      <c r="AO559" s="155"/>
      <c r="AP559" s="49"/>
      <c r="AQ559" s="49"/>
      <c r="AR559" s="155"/>
      <c r="AS559" s="155"/>
      <c r="AT559" s="155"/>
      <c r="AU559" s="155"/>
      <c r="AV559" s="155"/>
      <c r="AW559" s="155"/>
      <c r="AX559" s="155"/>
      <c r="AY559" s="155"/>
      <c r="AZ559" s="49"/>
      <c r="BA559" s="49"/>
      <c r="BB559" s="49"/>
      <c r="BC559" s="49"/>
      <c r="BD559" s="49"/>
      <c r="BE559" s="49"/>
      <c r="BF559" s="49"/>
      <c r="BG559" s="49"/>
      <c r="BH559" s="49"/>
      <c r="BI559" s="155"/>
      <c r="BJ559" s="155"/>
      <c r="BK559" s="155"/>
      <c r="BL559" s="49"/>
      <c r="BM559" s="49"/>
      <c r="BN559" s="49"/>
      <c r="BO559" s="49"/>
      <c r="BP559" s="49"/>
      <c r="BQ559" s="49"/>
      <c r="BR559" s="49"/>
      <c r="BS559" s="49"/>
      <c r="BT559" s="49"/>
      <c r="BU559" s="49"/>
      <c r="BV559" s="49"/>
      <c r="BW559" s="49"/>
      <c r="BX559" s="49"/>
      <c r="BY559" s="49"/>
      <c r="BZ559" s="49"/>
      <c r="CA559" s="49"/>
      <c r="CB559" s="49"/>
      <c r="CC559" s="49"/>
      <c r="CD559" s="49"/>
      <c r="CE559" s="49"/>
      <c r="CF559" s="49"/>
      <c r="CG559" s="49"/>
      <c r="CH559" s="49"/>
      <c r="CI559" s="49"/>
      <c r="CJ559" s="49"/>
      <c r="CK559" s="49"/>
      <c r="CL559" s="49"/>
      <c r="CM559" s="49"/>
      <c r="CN559" s="49"/>
      <c r="CO559" s="49"/>
      <c r="CP559" s="49"/>
      <c r="CQ559" s="49"/>
      <c r="CR559" s="49"/>
      <c r="CS559" s="49"/>
      <c r="CT559" s="155"/>
      <c r="CU559" s="155"/>
      <c r="CV559" s="155"/>
      <c r="CW559" s="155"/>
      <c r="CX559" s="155"/>
      <c r="CY559" s="155"/>
      <c r="CZ559" s="155"/>
      <c r="DA559" s="155"/>
      <c r="DB559" s="155"/>
      <c r="DC559" s="155"/>
      <c r="DD559" s="155"/>
      <c r="DE559" s="155"/>
      <c r="DF559" s="155"/>
      <c r="DG559" s="155"/>
      <c r="DH559" s="155"/>
      <c r="DI559" s="155"/>
      <c r="DJ559" s="155"/>
      <c r="DK559" s="155"/>
      <c r="DL559" s="155"/>
      <c r="DM559" s="155"/>
      <c r="DN559" s="155"/>
      <c r="DO559" s="155"/>
      <c r="DP559" s="155"/>
      <c r="DQ559" s="155"/>
      <c r="DR559" s="155"/>
      <c r="DS559" s="155"/>
      <c r="DT559" s="155"/>
      <c r="DU559" s="155"/>
      <c r="DV559" s="155"/>
      <c r="DW559" s="155"/>
      <c r="DX559" s="155"/>
    </row>
    <row r="560" spans="1:128" ht="18" customHeight="1">
      <c r="A560" s="155"/>
      <c r="B560" s="155"/>
      <c r="C560" s="155"/>
      <c r="D560" s="155"/>
      <c r="E560" s="155"/>
      <c r="F560" s="155"/>
      <c r="G560" s="155"/>
      <c r="H560" s="155"/>
      <c r="I560" s="270"/>
      <c r="J560" s="270"/>
      <c r="K560" s="270"/>
      <c r="L560" s="270"/>
      <c r="M560" s="270"/>
      <c r="N560" s="270"/>
      <c r="O560" s="155"/>
      <c r="P560" s="155"/>
      <c r="Q560" s="155"/>
      <c r="R560" s="155"/>
      <c r="S560" s="155"/>
      <c r="T560" s="155"/>
      <c r="U560" s="158"/>
      <c r="V560" s="155"/>
      <c r="W560" s="155"/>
      <c r="X560" s="263"/>
      <c r="Y560" s="155"/>
      <c r="Z560" s="155"/>
      <c r="AA560" s="263"/>
      <c r="AB560" s="263"/>
      <c r="AC560" s="155"/>
      <c r="AD560" s="155"/>
      <c r="AE560" s="155"/>
      <c r="AF560" s="155"/>
      <c r="AG560" s="155"/>
      <c r="AH560" s="155"/>
      <c r="AI560" s="155"/>
      <c r="AJ560" s="155"/>
      <c r="AK560" s="155"/>
      <c r="AL560" s="155"/>
      <c r="AM560" s="155"/>
      <c r="AN560" s="155"/>
      <c r="AO560" s="155"/>
      <c r="AP560" s="49"/>
      <c r="AQ560" s="49"/>
      <c r="AR560" s="155"/>
      <c r="AS560" s="155"/>
      <c r="AT560" s="155"/>
      <c r="AU560" s="155"/>
      <c r="AV560" s="155"/>
      <c r="AW560" s="155"/>
      <c r="AX560" s="155"/>
      <c r="AY560" s="155"/>
      <c r="AZ560" s="49"/>
      <c r="BA560" s="49"/>
      <c r="BB560" s="49"/>
      <c r="BC560" s="49"/>
      <c r="BD560" s="49"/>
      <c r="BE560" s="49"/>
      <c r="BF560" s="49"/>
      <c r="BG560" s="49"/>
      <c r="BH560" s="49"/>
      <c r="BI560" s="155"/>
      <c r="BJ560" s="155"/>
      <c r="BK560" s="155"/>
      <c r="BL560" s="49"/>
      <c r="BM560" s="49"/>
      <c r="BN560" s="49"/>
      <c r="BO560" s="49"/>
      <c r="BP560" s="49"/>
      <c r="BQ560" s="49"/>
      <c r="BR560" s="49"/>
      <c r="BS560" s="49"/>
      <c r="BT560" s="49"/>
      <c r="BU560" s="49"/>
      <c r="BV560" s="49"/>
      <c r="BW560" s="49"/>
      <c r="BX560" s="49"/>
      <c r="BY560" s="49"/>
      <c r="BZ560" s="49"/>
      <c r="CA560" s="49"/>
      <c r="CB560" s="49"/>
      <c r="CC560" s="49"/>
      <c r="CD560" s="49"/>
      <c r="CE560" s="49"/>
      <c r="CF560" s="49"/>
      <c r="CG560" s="49"/>
      <c r="CH560" s="49"/>
      <c r="CI560" s="49"/>
      <c r="CJ560" s="49"/>
      <c r="CK560" s="49"/>
      <c r="CL560" s="49"/>
      <c r="CM560" s="49"/>
      <c r="CN560" s="49"/>
      <c r="CO560" s="49"/>
      <c r="CP560" s="49"/>
      <c r="CQ560" s="49"/>
      <c r="CR560" s="49"/>
      <c r="CS560" s="49"/>
      <c r="CT560" s="155"/>
      <c r="CU560" s="155"/>
      <c r="CV560" s="155"/>
      <c r="CW560" s="155"/>
      <c r="CX560" s="155"/>
      <c r="CY560" s="155"/>
      <c r="CZ560" s="155"/>
      <c r="DA560" s="155"/>
      <c r="DB560" s="155"/>
      <c r="DC560" s="155"/>
      <c r="DD560" s="155"/>
      <c r="DE560" s="155"/>
      <c r="DF560" s="155"/>
      <c r="DG560" s="155"/>
      <c r="DH560" s="155"/>
      <c r="DI560" s="155"/>
      <c r="DJ560" s="155"/>
      <c r="DK560" s="155"/>
      <c r="DL560" s="155"/>
      <c r="DM560" s="155"/>
      <c r="DN560" s="155"/>
      <c r="DO560" s="155"/>
      <c r="DP560" s="155"/>
      <c r="DQ560" s="155"/>
      <c r="DR560" s="155"/>
      <c r="DS560" s="155"/>
      <c r="DT560" s="155"/>
      <c r="DU560" s="155"/>
      <c r="DV560" s="155"/>
      <c r="DW560" s="155"/>
      <c r="DX560" s="155"/>
    </row>
    <row r="561" spans="1:128" ht="18" customHeight="1">
      <c r="A561" s="155"/>
      <c r="B561" s="155"/>
      <c r="C561" s="155"/>
      <c r="D561" s="155"/>
      <c r="E561" s="155"/>
      <c r="F561" s="155"/>
      <c r="G561" s="155"/>
      <c r="H561" s="155"/>
      <c r="I561" s="270"/>
      <c r="J561" s="270"/>
      <c r="K561" s="270"/>
      <c r="L561" s="270"/>
      <c r="M561" s="270"/>
      <c r="N561" s="270"/>
      <c r="O561" s="155"/>
      <c r="P561" s="155"/>
      <c r="Q561" s="155"/>
      <c r="R561" s="155"/>
      <c r="S561" s="155"/>
      <c r="T561" s="155"/>
      <c r="U561" s="158"/>
      <c r="V561" s="155"/>
      <c r="W561" s="155"/>
      <c r="X561" s="263"/>
      <c r="Y561" s="155"/>
      <c r="Z561" s="155"/>
      <c r="AA561" s="263"/>
      <c r="AB561" s="263"/>
      <c r="AC561" s="155"/>
      <c r="AD561" s="155"/>
      <c r="AE561" s="155"/>
      <c r="AF561" s="155"/>
      <c r="AG561" s="155"/>
      <c r="AH561" s="155"/>
      <c r="AI561" s="155"/>
      <c r="AJ561" s="155"/>
      <c r="AK561" s="155"/>
      <c r="AL561" s="155"/>
      <c r="AM561" s="155"/>
      <c r="AN561" s="155"/>
      <c r="AO561" s="155"/>
      <c r="AP561" s="49"/>
      <c r="AQ561" s="49"/>
      <c r="AR561" s="155"/>
      <c r="AS561" s="155"/>
      <c r="AT561" s="155"/>
      <c r="AU561" s="155"/>
      <c r="AV561" s="155"/>
      <c r="AW561" s="155"/>
      <c r="AX561" s="155"/>
      <c r="AY561" s="155"/>
      <c r="AZ561" s="49"/>
      <c r="BA561" s="49"/>
      <c r="BB561" s="49"/>
      <c r="BC561" s="49"/>
      <c r="BD561" s="49"/>
      <c r="BE561" s="49"/>
      <c r="BF561" s="49"/>
      <c r="BG561" s="49"/>
      <c r="BH561" s="49"/>
      <c r="BI561" s="155"/>
      <c r="BJ561" s="155"/>
      <c r="BK561" s="155"/>
      <c r="BL561" s="49"/>
      <c r="BM561" s="49"/>
      <c r="BN561" s="49"/>
      <c r="BO561" s="49"/>
      <c r="BP561" s="49"/>
      <c r="BQ561" s="49"/>
      <c r="BR561" s="49"/>
      <c r="BS561" s="49"/>
      <c r="BT561" s="49"/>
      <c r="BU561" s="49"/>
      <c r="BV561" s="49"/>
      <c r="BW561" s="49"/>
      <c r="BX561" s="49"/>
      <c r="BY561" s="49"/>
      <c r="BZ561" s="49"/>
      <c r="CA561" s="49"/>
      <c r="CB561" s="49"/>
      <c r="CC561" s="49"/>
      <c r="CD561" s="49"/>
      <c r="CE561" s="49"/>
      <c r="CF561" s="49"/>
      <c r="CG561" s="49"/>
      <c r="CH561" s="49"/>
      <c r="CI561" s="49"/>
      <c r="CJ561" s="49"/>
      <c r="CK561" s="49"/>
      <c r="CL561" s="49"/>
      <c r="CM561" s="49"/>
      <c r="CN561" s="49"/>
      <c r="CO561" s="49"/>
      <c r="CP561" s="49"/>
      <c r="CQ561" s="49"/>
      <c r="CR561" s="49"/>
      <c r="CS561" s="49"/>
      <c r="CT561" s="155"/>
      <c r="CU561" s="155"/>
      <c r="CV561" s="155"/>
      <c r="CW561" s="155"/>
      <c r="CX561" s="155"/>
      <c r="CY561" s="155"/>
      <c r="CZ561" s="155"/>
      <c r="DA561" s="155"/>
      <c r="DB561" s="155"/>
      <c r="DC561" s="155"/>
      <c r="DD561" s="155"/>
      <c r="DE561" s="155"/>
      <c r="DF561" s="155"/>
      <c r="DG561" s="155"/>
      <c r="DH561" s="155"/>
      <c r="DI561" s="155"/>
      <c r="DJ561" s="155"/>
      <c r="DK561" s="155"/>
      <c r="DL561" s="155"/>
      <c r="DM561" s="155"/>
      <c r="DN561" s="155"/>
      <c r="DO561" s="155"/>
      <c r="DP561" s="155"/>
      <c r="DQ561" s="155"/>
      <c r="DR561" s="155"/>
      <c r="DS561" s="155"/>
      <c r="DT561" s="155"/>
      <c r="DU561" s="155"/>
      <c r="DV561" s="155"/>
      <c r="DW561" s="155"/>
      <c r="DX561" s="155"/>
    </row>
    <row r="562" spans="1:128" ht="18" customHeight="1">
      <c r="A562" s="155"/>
      <c r="B562" s="155"/>
      <c r="C562" s="155"/>
      <c r="D562" s="155"/>
      <c r="E562" s="155"/>
      <c r="F562" s="155"/>
      <c r="G562" s="155"/>
      <c r="H562" s="155"/>
      <c r="I562" s="270"/>
      <c r="J562" s="270"/>
      <c r="K562" s="270"/>
      <c r="L562" s="270"/>
      <c r="M562" s="270"/>
      <c r="N562" s="270"/>
      <c r="O562" s="155"/>
      <c r="P562" s="155"/>
      <c r="Q562" s="155"/>
      <c r="R562" s="155"/>
      <c r="S562" s="155"/>
      <c r="T562" s="155"/>
      <c r="U562" s="158"/>
      <c r="V562" s="155"/>
      <c r="W562" s="155"/>
      <c r="X562" s="263"/>
      <c r="Y562" s="155"/>
      <c r="Z562" s="155"/>
      <c r="AA562" s="263"/>
      <c r="AB562" s="263"/>
      <c r="AC562" s="155"/>
      <c r="AD562" s="155"/>
      <c r="AE562" s="155"/>
      <c r="AF562" s="155"/>
      <c r="AG562" s="155"/>
      <c r="AH562" s="155"/>
      <c r="AI562" s="155"/>
      <c r="AJ562" s="155"/>
      <c r="AK562" s="155"/>
      <c r="AL562" s="155"/>
      <c r="AM562" s="155"/>
      <c r="AN562" s="155"/>
      <c r="AO562" s="155"/>
      <c r="AP562" s="49"/>
      <c r="AQ562" s="49"/>
      <c r="AR562" s="155"/>
      <c r="AS562" s="155"/>
      <c r="AT562" s="155"/>
      <c r="AU562" s="155"/>
      <c r="AV562" s="155"/>
      <c r="AW562" s="155"/>
      <c r="AX562" s="155"/>
      <c r="AY562" s="155"/>
      <c r="AZ562" s="49"/>
      <c r="BA562" s="49"/>
      <c r="BB562" s="49"/>
      <c r="BC562" s="49"/>
      <c r="BD562" s="49"/>
      <c r="BE562" s="49"/>
      <c r="BF562" s="49"/>
      <c r="BG562" s="49"/>
      <c r="BH562" s="49"/>
      <c r="BI562" s="155"/>
      <c r="BJ562" s="155"/>
      <c r="BK562" s="155"/>
      <c r="BL562" s="49"/>
      <c r="BM562" s="49"/>
      <c r="BN562" s="49"/>
      <c r="BO562" s="49"/>
      <c r="BP562" s="49"/>
      <c r="BQ562" s="49"/>
      <c r="BR562" s="49"/>
      <c r="BS562" s="49"/>
      <c r="BT562" s="49"/>
      <c r="BU562" s="49"/>
      <c r="BV562" s="49"/>
      <c r="BW562" s="49"/>
      <c r="BX562" s="49"/>
      <c r="BY562" s="49"/>
      <c r="BZ562" s="49"/>
      <c r="CA562" s="49"/>
      <c r="CB562" s="49"/>
      <c r="CC562" s="49"/>
      <c r="CD562" s="49"/>
      <c r="CE562" s="49"/>
      <c r="CF562" s="49"/>
      <c r="CG562" s="49"/>
      <c r="CH562" s="49"/>
      <c r="CI562" s="49"/>
      <c r="CJ562" s="49"/>
      <c r="CK562" s="49"/>
      <c r="CL562" s="49"/>
      <c r="CM562" s="49"/>
      <c r="CN562" s="49"/>
      <c r="CO562" s="49"/>
      <c r="CP562" s="49"/>
      <c r="CQ562" s="49"/>
      <c r="CR562" s="49"/>
      <c r="CS562" s="49"/>
      <c r="CT562" s="155"/>
      <c r="CU562" s="155"/>
      <c r="CV562" s="155"/>
      <c r="CW562" s="155"/>
      <c r="CX562" s="155"/>
      <c r="CY562" s="155"/>
      <c r="CZ562" s="155"/>
      <c r="DA562" s="155"/>
      <c r="DB562" s="155"/>
      <c r="DC562" s="155"/>
      <c r="DD562" s="155"/>
      <c r="DE562" s="155"/>
      <c r="DF562" s="155"/>
      <c r="DG562" s="155"/>
      <c r="DH562" s="155"/>
      <c r="DI562" s="155"/>
      <c r="DJ562" s="155"/>
      <c r="DK562" s="155"/>
      <c r="DL562" s="155"/>
      <c r="DM562" s="155"/>
      <c r="DN562" s="155"/>
      <c r="DO562" s="155"/>
      <c r="DP562" s="155"/>
      <c r="DQ562" s="155"/>
      <c r="DR562" s="155"/>
      <c r="DS562" s="155"/>
      <c r="DT562" s="155"/>
      <c r="DU562" s="155"/>
      <c r="DV562" s="155"/>
      <c r="DW562" s="155"/>
      <c r="DX562" s="155"/>
    </row>
    <row r="563" spans="1:128" ht="18" customHeight="1">
      <c r="A563" s="155"/>
      <c r="B563" s="155"/>
      <c r="C563" s="155"/>
      <c r="D563" s="155"/>
      <c r="E563" s="155"/>
      <c r="F563" s="155"/>
      <c r="G563" s="155"/>
      <c r="H563" s="155"/>
      <c r="I563" s="270"/>
      <c r="J563" s="270"/>
      <c r="K563" s="270"/>
      <c r="L563" s="270"/>
      <c r="M563" s="270"/>
      <c r="N563" s="270"/>
      <c r="O563" s="155"/>
      <c r="P563" s="155"/>
      <c r="Q563" s="155"/>
      <c r="R563" s="155"/>
      <c r="S563" s="155"/>
      <c r="T563" s="155"/>
      <c r="U563" s="158"/>
      <c r="V563" s="155"/>
      <c r="W563" s="155"/>
      <c r="X563" s="263"/>
      <c r="Y563" s="155"/>
      <c r="Z563" s="155"/>
      <c r="AA563" s="263"/>
      <c r="AB563" s="263"/>
      <c r="AC563" s="155"/>
      <c r="AD563" s="155"/>
      <c r="AE563" s="155"/>
      <c r="AF563" s="155"/>
      <c r="AG563" s="155"/>
      <c r="AH563" s="155"/>
      <c r="AI563" s="155"/>
      <c r="AJ563" s="155"/>
      <c r="AK563" s="155"/>
      <c r="AL563" s="155"/>
      <c r="AM563" s="155"/>
      <c r="AN563" s="155"/>
      <c r="AO563" s="155"/>
      <c r="AP563" s="49"/>
      <c r="AQ563" s="49"/>
      <c r="AR563" s="155"/>
      <c r="AS563" s="155"/>
      <c r="AT563" s="155"/>
      <c r="AU563" s="155"/>
      <c r="AV563" s="155"/>
      <c r="AW563" s="155"/>
      <c r="AX563" s="155"/>
      <c r="AY563" s="155"/>
      <c r="AZ563" s="49"/>
      <c r="BA563" s="49"/>
      <c r="BB563" s="49"/>
      <c r="BC563" s="49"/>
      <c r="BD563" s="49"/>
      <c r="BE563" s="49"/>
      <c r="BF563" s="49"/>
      <c r="BG563" s="49"/>
      <c r="BH563" s="49"/>
      <c r="BI563" s="155"/>
      <c r="BJ563" s="155"/>
      <c r="BK563" s="155"/>
      <c r="BL563" s="49"/>
      <c r="BM563" s="49"/>
      <c r="BN563" s="49"/>
      <c r="BO563" s="49"/>
      <c r="BP563" s="49"/>
      <c r="BQ563" s="49"/>
      <c r="BR563" s="49"/>
      <c r="BS563" s="49"/>
      <c r="BT563" s="49"/>
      <c r="BU563" s="49"/>
      <c r="BV563" s="49"/>
      <c r="BW563" s="49"/>
      <c r="BX563" s="49"/>
      <c r="BY563" s="49"/>
      <c r="BZ563" s="49"/>
      <c r="CA563" s="49"/>
      <c r="CB563" s="49"/>
      <c r="CC563" s="49"/>
      <c r="CD563" s="49"/>
      <c r="CE563" s="49"/>
      <c r="CF563" s="49"/>
      <c r="CG563" s="49"/>
      <c r="CH563" s="49"/>
      <c r="CI563" s="49"/>
      <c r="CJ563" s="49"/>
      <c r="CK563" s="49"/>
      <c r="CL563" s="49"/>
      <c r="CM563" s="49"/>
      <c r="CN563" s="49"/>
      <c r="CO563" s="49"/>
      <c r="CP563" s="49"/>
      <c r="CQ563" s="49"/>
      <c r="CR563" s="49"/>
      <c r="CS563" s="49"/>
      <c r="CT563" s="155"/>
      <c r="CU563" s="155"/>
      <c r="CV563" s="155"/>
      <c r="CW563" s="155"/>
      <c r="CX563" s="155"/>
      <c r="CY563" s="155"/>
      <c r="CZ563" s="155"/>
      <c r="DA563" s="155"/>
      <c r="DB563" s="155"/>
      <c r="DC563" s="155"/>
      <c r="DD563" s="155"/>
      <c r="DE563" s="155"/>
      <c r="DF563" s="155"/>
      <c r="DG563" s="155"/>
      <c r="DH563" s="155"/>
      <c r="DI563" s="155"/>
      <c r="DJ563" s="155"/>
      <c r="DK563" s="155"/>
      <c r="DL563" s="155"/>
      <c r="DM563" s="155"/>
      <c r="DN563" s="155"/>
      <c r="DO563" s="155"/>
      <c r="DP563" s="155"/>
      <c r="DQ563" s="155"/>
      <c r="DR563" s="155"/>
      <c r="DS563" s="155"/>
      <c r="DT563" s="155"/>
      <c r="DU563" s="155"/>
      <c r="DV563" s="155"/>
      <c r="DW563" s="155"/>
      <c r="DX563" s="155"/>
    </row>
    <row r="564" spans="1:128" ht="18" customHeight="1">
      <c r="A564" s="155"/>
      <c r="B564" s="155"/>
      <c r="C564" s="155"/>
      <c r="D564" s="155"/>
      <c r="E564" s="155"/>
      <c r="F564" s="155"/>
      <c r="G564" s="155"/>
      <c r="H564" s="155"/>
      <c r="I564" s="270"/>
      <c r="J564" s="270"/>
      <c r="K564" s="270"/>
      <c r="L564" s="270"/>
      <c r="M564" s="270"/>
      <c r="N564" s="270"/>
      <c r="O564" s="155"/>
      <c r="P564" s="155"/>
      <c r="Q564" s="155"/>
      <c r="R564" s="155"/>
      <c r="S564" s="155"/>
      <c r="T564" s="155"/>
      <c r="U564" s="158"/>
      <c r="V564" s="155"/>
      <c r="W564" s="155"/>
      <c r="X564" s="263"/>
      <c r="Y564" s="155"/>
      <c r="Z564" s="155"/>
      <c r="AA564" s="263"/>
      <c r="AB564" s="263"/>
      <c r="AC564" s="155"/>
      <c r="AD564" s="155"/>
      <c r="AE564" s="155"/>
      <c r="AF564" s="155"/>
      <c r="AG564" s="155"/>
      <c r="AH564" s="155"/>
      <c r="AI564" s="155"/>
      <c r="AJ564" s="155"/>
      <c r="AK564" s="155"/>
      <c r="AL564" s="155"/>
      <c r="AM564" s="155"/>
      <c r="AN564" s="155"/>
      <c r="AO564" s="155"/>
      <c r="AP564" s="49"/>
      <c r="AQ564" s="49"/>
      <c r="AR564" s="155"/>
      <c r="AS564" s="155"/>
      <c r="AT564" s="155"/>
      <c r="AU564" s="155"/>
      <c r="AV564" s="155"/>
      <c r="AW564" s="155"/>
      <c r="AX564" s="155"/>
      <c r="AY564" s="155"/>
      <c r="AZ564" s="49"/>
      <c r="BA564" s="49"/>
      <c r="BB564" s="49"/>
      <c r="BC564" s="49"/>
      <c r="BD564" s="49"/>
      <c r="BE564" s="49"/>
      <c r="BF564" s="49"/>
      <c r="BG564" s="49"/>
      <c r="BH564" s="49"/>
      <c r="BI564" s="155"/>
      <c r="BJ564" s="155"/>
      <c r="BK564" s="155"/>
      <c r="BL564" s="49"/>
      <c r="BM564" s="49"/>
      <c r="BN564" s="49"/>
      <c r="BO564" s="49"/>
      <c r="BP564" s="49"/>
      <c r="BQ564" s="49"/>
      <c r="BR564" s="49"/>
      <c r="BS564" s="49"/>
      <c r="BT564" s="49"/>
      <c r="BU564" s="49"/>
      <c r="BV564" s="49"/>
      <c r="BW564" s="49"/>
      <c r="BX564" s="49"/>
      <c r="BY564" s="49"/>
      <c r="BZ564" s="49"/>
      <c r="CA564" s="49"/>
      <c r="CB564" s="49"/>
      <c r="CC564" s="49"/>
      <c r="CD564" s="49"/>
      <c r="CE564" s="49"/>
      <c r="CF564" s="49"/>
      <c r="CG564" s="49"/>
      <c r="CH564" s="49"/>
      <c r="CI564" s="49"/>
      <c r="CJ564" s="49"/>
      <c r="CK564" s="49"/>
      <c r="CL564" s="49"/>
      <c r="CM564" s="49"/>
      <c r="CN564" s="49"/>
      <c r="CO564" s="49"/>
      <c r="CP564" s="49"/>
      <c r="CQ564" s="49"/>
      <c r="CR564" s="49"/>
      <c r="CS564" s="49"/>
      <c r="CT564" s="155"/>
      <c r="CU564" s="155"/>
      <c r="CV564" s="155"/>
      <c r="CW564" s="155"/>
      <c r="CX564" s="155"/>
      <c r="CY564" s="155"/>
      <c r="CZ564" s="155"/>
      <c r="DA564" s="155"/>
      <c r="DB564" s="155"/>
      <c r="DC564" s="155"/>
      <c r="DD564" s="155"/>
      <c r="DE564" s="155"/>
      <c r="DF564" s="155"/>
      <c r="DG564" s="155"/>
      <c r="DH564" s="155"/>
      <c r="DI564" s="155"/>
      <c r="DJ564" s="155"/>
      <c r="DK564" s="155"/>
      <c r="DL564" s="155"/>
      <c r="DM564" s="155"/>
      <c r="DN564" s="155"/>
      <c r="DO564" s="155"/>
      <c r="DP564" s="155"/>
      <c r="DQ564" s="155"/>
      <c r="DR564" s="155"/>
      <c r="DS564" s="155"/>
      <c r="DT564" s="155"/>
      <c r="DU564" s="155"/>
      <c r="DV564" s="155"/>
      <c r="DW564" s="155"/>
      <c r="DX564" s="155"/>
    </row>
    <row r="565" spans="1:128" ht="18" customHeight="1">
      <c r="A565" s="155"/>
      <c r="B565" s="155"/>
      <c r="C565" s="155"/>
      <c r="D565" s="155"/>
      <c r="E565" s="155"/>
      <c r="F565" s="155"/>
      <c r="G565" s="155"/>
      <c r="H565" s="155"/>
      <c r="I565" s="270"/>
      <c r="J565" s="270"/>
      <c r="K565" s="270"/>
      <c r="L565" s="270"/>
      <c r="M565" s="270"/>
      <c r="N565" s="270"/>
      <c r="O565" s="155"/>
      <c r="P565" s="155"/>
      <c r="Q565" s="155"/>
      <c r="R565" s="155"/>
      <c r="S565" s="155"/>
      <c r="T565" s="155"/>
      <c r="U565" s="158"/>
      <c r="V565" s="155"/>
      <c r="W565" s="155"/>
      <c r="X565" s="263"/>
      <c r="Y565" s="155"/>
      <c r="Z565" s="155"/>
      <c r="AA565" s="263"/>
      <c r="AB565" s="263"/>
      <c r="AC565" s="155"/>
      <c r="AD565" s="155"/>
      <c r="AE565" s="155"/>
      <c r="AF565" s="155"/>
      <c r="AG565" s="155"/>
      <c r="AH565" s="155"/>
      <c r="AI565" s="155"/>
      <c r="AJ565" s="155"/>
      <c r="AK565" s="155"/>
      <c r="AL565" s="155"/>
      <c r="AM565" s="155"/>
      <c r="AN565" s="155"/>
      <c r="AO565" s="155"/>
      <c r="AP565" s="49"/>
      <c r="AQ565" s="49"/>
      <c r="AR565" s="155"/>
      <c r="AS565" s="155"/>
      <c r="AT565" s="155"/>
      <c r="AU565" s="155"/>
      <c r="AV565" s="155"/>
      <c r="AW565" s="155"/>
      <c r="AX565" s="155"/>
      <c r="AY565" s="155"/>
      <c r="AZ565" s="49"/>
      <c r="BA565" s="49"/>
      <c r="BB565" s="49"/>
      <c r="BC565" s="49"/>
      <c r="BD565" s="49"/>
      <c r="BE565" s="49"/>
      <c r="BF565" s="49"/>
      <c r="BG565" s="49"/>
      <c r="BH565" s="49"/>
      <c r="BI565" s="155"/>
      <c r="BJ565" s="155"/>
      <c r="BK565" s="155"/>
      <c r="BL565" s="49"/>
      <c r="BM565" s="49"/>
      <c r="BN565" s="49"/>
      <c r="BO565" s="49"/>
      <c r="BP565" s="49"/>
      <c r="BQ565" s="49"/>
      <c r="BR565" s="49"/>
      <c r="BS565" s="49"/>
      <c r="BT565" s="49"/>
      <c r="BU565" s="49"/>
      <c r="BV565" s="49"/>
      <c r="BW565" s="49"/>
      <c r="BX565" s="49"/>
      <c r="BY565" s="49"/>
      <c r="BZ565" s="49"/>
      <c r="CA565" s="49"/>
      <c r="CB565" s="49"/>
      <c r="CC565" s="49"/>
      <c r="CD565" s="49"/>
      <c r="CE565" s="49"/>
      <c r="CF565" s="49"/>
      <c r="CG565" s="49"/>
      <c r="CH565" s="49"/>
      <c r="CI565" s="49"/>
      <c r="CJ565" s="49"/>
      <c r="CK565" s="49"/>
      <c r="CL565" s="49"/>
      <c r="CM565" s="49"/>
      <c r="CN565" s="49"/>
      <c r="CO565" s="49"/>
      <c r="CP565" s="49"/>
      <c r="CQ565" s="49"/>
      <c r="CR565" s="49"/>
      <c r="CS565" s="49"/>
      <c r="CT565" s="155"/>
      <c r="CU565" s="155"/>
      <c r="CV565" s="155"/>
      <c r="CW565" s="155"/>
      <c r="CX565" s="155"/>
      <c r="CY565" s="155"/>
      <c r="CZ565" s="155"/>
      <c r="DA565" s="155"/>
      <c r="DB565" s="155"/>
      <c r="DC565" s="155"/>
      <c r="DD565" s="155"/>
      <c r="DE565" s="155"/>
      <c r="DF565" s="155"/>
      <c r="DG565" s="155"/>
      <c r="DH565" s="155"/>
      <c r="DI565" s="155"/>
      <c r="DJ565" s="155"/>
      <c r="DK565" s="155"/>
      <c r="DL565" s="155"/>
      <c r="DM565" s="155"/>
      <c r="DN565" s="155"/>
      <c r="DO565" s="155"/>
      <c r="DP565" s="155"/>
      <c r="DQ565" s="155"/>
      <c r="DR565" s="155"/>
      <c r="DS565" s="155"/>
      <c r="DT565" s="155"/>
      <c r="DU565" s="155"/>
      <c r="DV565" s="155"/>
      <c r="DW565" s="155"/>
      <c r="DX565" s="155"/>
    </row>
    <row r="566" spans="1:128" ht="18" customHeight="1">
      <c r="A566" s="155"/>
      <c r="B566" s="155"/>
      <c r="C566" s="155"/>
      <c r="D566" s="155"/>
      <c r="E566" s="155"/>
      <c r="F566" s="155"/>
      <c r="G566" s="155"/>
      <c r="H566" s="155"/>
      <c r="I566" s="270"/>
      <c r="J566" s="270"/>
      <c r="K566" s="270"/>
      <c r="L566" s="270"/>
      <c r="M566" s="270"/>
      <c r="N566" s="270"/>
      <c r="O566" s="155"/>
      <c r="P566" s="155"/>
      <c r="Q566" s="155"/>
      <c r="R566" s="155"/>
      <c r="S566" s="155"/>
      <c r="T566" s="155"/>
      <c r="U566" s="158"/>
      <c r="V566" s="155"/>
      <c r="W566" s="155"/>
      <c r="X566" s="263"/>
      <c r="Y566" s="155"/>
      <c r="Z566" s="155"/>
      <c r="AA566" s="263"/>
      <c r="AB566" s="263"/>
      <c r="AC566" s="155"/>
      <c r="AD566" s="155"/>
      <c r="AE566" s="155"/>
      <c r="AF566" s="155"/>
      <c r="AG566" s="155"/>
      <c r="AH566" s="155"/>
      <c r="AI566" s="155"/>
      <c r="AJ566" s="155"/>
      <c r="AK566" s="155"/>
      <c r="AL566" s="155"/>
      <c r="AM566" s="155"/>
      <c r="AN566" s="155"/>
      <c r="AO566" s="155"/>
      <c r="AP566" s="49"/>
      <c r="AQ566" s="49"/>
      <c r="AR566" s="155"/>
      <c r="AS566" s="155"/>
      <c r="AT566" s="155"/>
      <c r="AU566" s="155"/>
      <c r="AV566" s="155"/>
      <c r="AW566" s="155"/>
      <c r="AX566" s="155"/>
      <c r="AY566" s="155"/>
      <c r="AZ566" s="49"/>
      <c r="BA566" s="49"/>
      <c r="BB566" s="49"/>
      <c r="BC566" s="49"/>
      <c r="BD566" s="49"/>
      <c r="BE566" s="49"/>
      <c r="BF566" s="49"/>
      <c r="BG566" s="49"/>
      <c r="BH566" s="49"/>
      <c r="BI566" s="155"/>
      <c r="BJ566" s="155"/>
      <c r="BK566" s="155"/>
      <c r="BL566" s="49"/>
      <c r="BM566" s="49"/>
      <c r="BN566" s="49"/>
      <c r="BO566" s="49"/>
      <c r="BP566" s="49"/>
      <c r="BQ566" s="49"/>
      <c r="BR566" s="49"/>
      <c r="BS566" s="49"/>
      <c r="BT566" s="49"/>
      <c r="BU566" s="49"/>
      <c r="BV566" s="49"/>
      <c r="BW566" s="49"/>
      <c r="BX566" s="49"/>
      <c r="BY566" s="49"/>
      <c r="BZ566" s="49"/>
      <c r="CA566" s="49"/>
      <c r="CB566" s="49"/>
      <c r="CC566" s="49"/>
      <c r="CD566" s="49"/>
      <c r="CE566" s="49"/>
      <c r="CF566" s="49"/>
      <c r="CG566" s="49"/>
      <c r="CH566" s="49"/>
      <c r="CI566" s="49"/>
      <c r="CJ566" s="49"/>
      <c r="CK566" s="49"/>
      <c r="CL566" s="49"/>
      <c r="CM566" s="49"/>
      <c r="CN566" s="49"/>
      <c r="CO566" s="49"/>
      <c r="CP566" s="49"/>
      <c r="CQ566" s="49"/>
      <c r="CR566" s="49"/>
      <c r="CS566" s="49"/>
      <c r="CT566" s="155"/>
      <c r="CU566" s="155"/>
      <c r="CV566" s="155"/>
      <c r="CW566" s="155"/>
      <c r="CX566" s="155"/>
      <c r="CY566" s="155"/>
      <c r="CZ566" s="155"/>
      <c r="DA566" s="155"/>
      <c r="DB566" s="155"/>
      <c r="DC566" s="155"/>
      <c r="DD566" s="155"/>
      <c r="DE566" s="155"/>
      <c r="DF566" s="155"/>
      <c r="DG566" s="155"/>
      <c r="DH566" s="155"/>
      <c r="DI566" s="155"/>
      <c r="DJ566" s="155"/>
      <c r="DK566" s="155"/>
      <c r="DL566" s="155"/>
      <c r="DM566" s="155"/>
      <c r="DN566" s="155"/>
      <c r="DO566" s="155"/>
      <c r="DP566" s="155"/>
      <c r="DQ566" s="155"/>
      <c r="DR566" s="155"/>
      <c r="DS566" s="155"/>
      <c r="DT566" s="155"/>
      <c r="DU566" s="155"/>
      <c r="DV566" s="155"/>
      <c r="DW566" s="155"/>
      <c r="DX566" s="155"/>
    </row>
    <row r="567" spans="1:128" ht="18" customHeight="1">
      <c r="A567" s="155"/>
      <c r="B567" s="155"/>
      <c r="C567" s="155"/>
      <c r="D567" s="155"/>
      <c r="E567" s="155"/>
      <c r="F567" s="155"/>
      <c r="G567" s="155"/>
      <c r="H567" s="155"/>
      <c r="I567" s="270"/>
      <c r="J567" s="270"/>
      <c r="K567" s="270"/>
      <c r="L567" s="270"/>
      <c r="M567" s="270"/>
      <c r="N567" s="270"/>
      <c r="O567" s="155"/>
      <c r="P567" s="155"/>
      <c r="Q567" s="155"/>
      <c r="R567" s="155"/>
      <c r="S567" s="155"/>
      <c r="T567" s="155"/>
      <c r="U567" s="158"/>
      <c r="V567" s="155"/>
      <c r="W567" s="155"/>
      <c r="X567" s="263"/>
      <c r="Y567" s="155"/>
      <c r="Z567" s="155"/>
      <c r="AA567" s="263"/>
      <c r="AB567" s="263"/>
      <c r="AC567" s="155"/>
      <c r="AD567" s="155"/>
      <c r="AE567" s="155"/>
      <c r="AF567" s="155"/>
      <c r="AG567" s="155"/>
      <c r="AH567" s="155"/>
      <c r="AI567" s="155"/>
      <c r="AJ567" s="155"/>
      <c r="AK567" s="155"/>
      <c r="AL567" s="155"/>
      <c r="AM567" s="155"/>
      <c r="AN567" s="155"/>
      <c r="AO567" s="155"/>
      <c r="AP567" s="49"/>
      <c r="AQ567" s="49"/>
      <c r="AR567" s="155"/>
      <c r="AS567" s="155"/>
      <c r="AT567" s="155"/>
      <c r="AU567" s="155"/>
      <c r="AV567" s="155"/>
      <c r="AW567" s="155"/>
      <c r="AX567" s="155"/>
      <c r="AY567" s="155"/>
      <c r="AZ567" s="49"/>
      <c r="BA567" s="49"/>
      <c r="BB567" s="49"/>
      <c r="BC567" s="49"/>
      <c r="BD567" s="49"/>
      <c r="BE567" s="49"/>
      <c r="BF567" s="49"/>
      <c r="BG567" s="49"/>
      <c r="BH567" s="49"/>
      <c r="BI567" s="155"/>
      <c r="BJ567" s="155"/>
      <c r="BK567" s="155"/>
      <c r="BL567" s="49"/>
      <c r="BM567" s="49"/>
      <c r="BN567" s="49"/>
      <c r="BO567" s="49"/>
      <c r="BP567" s="49"/>
      <c r="BQ567" s="49"/>
      <c r="BR567" s="49"/>
      <c r="BS567" s="49"/>
      <c r="BT567" s="49"/>
      <c r="BU567" s="49"/>
      <c r="BV567" s="49"/>
      <c r="BW567" s="49"/>
      <c r="BX567" s="49"/>
      <c r="BY567" s="49"/>
      <c r="BZ567" s="49"/>
      <c r="CA567" s="49"/>
      <c r="CB567" s="49"/>
      <c r="CC567" s="49"/>
      <c r="CD567" s="49"/>
      <c r="CE567" s="49"/>
      <c r="CF567" s="49"/>
      <c r="CG567" s="49"/>
      <c r="CH567" s="49"/>
      <c r="CI567" s="49"/>
      <c r="CJ567" s="49"/>
      <c r="CK567" s="49"/>
      <c r="CL567" s="49"/>
      <c r="CM567" s="49"/>
      <c r="CN567" s="49"/>
      <c r="CO567" s="49"/>
      <c r="CP567" s="49"/>
      <c r="CQ567" s="49"/>
      <c r="CR567" s="49"/>
      <c r="CS567" s="49"/>
      <c r="CT567" s="155"/>
      <c r="CU567" s="155"/>
      <c r="CV567" s="155"/>
      <c r="CW567" s="155"/>
      <c r="CX567" s="155"/>
      <c r="CY567" s="155"/>
      <c r="CZ567" s="155"/>
      <c r="DA567" s="155"/>
      <c r="DB567" s="155"/>
      <c r="DC567" s="155"/>
      <c r="DD567" s="155"/>
      <c r="DE567" s="155"/>
      <c r="DF567" s="155"/>
      <c r="DG567" s="155"/>
      <c r="DH567" s="155"/>
      <c r="DI567" s="155"/>
      <c r="DJ567" s="155"/>
      <c r="DK567" s="155"/>
      <c r="DL567" s="155"/>
      <c r="DM567" s="155"/>
      <c r="DN567" s="155"/>
      <c r="DO567" s="155"/>
      <c r="DP567" s="155"/>
      <c r="DQ567" s="155"/>
      <c r="DR567" s="155"/>
      <c r="DS567" s="155"/>
      <c r="DT567" s="155"/>
      <c r="DU567" s="155"/>
      <c r="DV567" s="155"/>
      <c r="DW567" s="155"/>
      <c r="DX567" s="155"/>
    </row>
    <row r="568" spans="1:128" ht="18" customHeight="1">
      <c r="A568" s="155"/>
      <c r="B568" s="155"/>
      <c r="C568" s="155"/>
      <c r="D568" s="155"/>
      <c r="E568" s="155"/>
      <c r="F568" s="155"/>
      <c r="G568" s="155"/>
      <c r="H568" s="155"/>
      <c r="I568" s="270"/>
      <c r="J568" s="270"/>
      <c r="K568" s="270"/>
      <c r="L568" s="270"/>
      <c r="M568" s="270"/>
      <c r="N568" s="270"/>
      <c r="O568" s="155"/>
      <c r="P568" s="155"/>
      <c r="Q568" s="155"/>
      <c r="R568" s="155"/>
      <c r="S568" s="155"/>
      <c r="T568" s="155"/>
      <c r="U568" s="158"/>
      <c r="V568" s="155"/>
      <c r="W568" s="155"/>
      <c r="X568" s="263"/>
      <c r="Y568" s="155"/>
      <c r="Z568" s="155"/>
      <c r="AA568" s="263"/>
      <c r="AB568" s="263"/>
      <c r="AC568" s="155"/>
      <c r="AD568" s="155"/>
      <c r="AE568" s="155"/>
      <c r="AF568" s="155"/>
      <c r="AG568" s="155"/>
      <c r="AH568" s="155"/>
      <c r="AI568" s="155"/>
      <c r="AJ568" s="155"/>
      <c r="AK568" s="155"/>
      <c r="AL568" s="155"/>
      <c r="AM568" s="155"/>
      <c r="AN568" s="155"/>
      <c r="AO568" s="155"/>
      <c r="AP568" s="49"/>
      <c r="AQ568" s="49"/>
      <c r="AR568" s="155"/>
      <c r="AS568" s="155"/>
      <c r="AT568" s="155"/>
      <c r="AU568" s="155"/>
      <c r="AV568" s="155"/>
      <c r="AW568" s="155"/>
      <c r="AX568" s="155"/>
      <c r="AY568" s="155"/>
      <c r="AZ568" s="49"/>
      <c r="BA568" s="49"/>
      <c r="BB568" s="49"/>
      <c r="BC568" s="49"/>
      <c r="BD568" s="49"/>
      <c r="BE568" s="49"/>
      <c r="BF568" s="49"/>
      <c r="BG568" s="49"/>
      <c r="BH568" s="49"/>
      <c r="BI568" s="155"/>
      <c r="BJ568" s="155"/>
      <c r="BK568" s="155"/>
      <c r="BL568" s="49"/>
      <c r="BM568" s="49"/>
      <c r="BN568" s="49"/>
      <c r="BO568" s="49"/>
      <c r="BP568" s="49"/>
      <c r="BQ568" s="49"/>
      <c r="BR568" s="49"/>
      <c r="BS568" s="49"/>
      <c r="BT568" s="49"/>
      <c r="BU568" s="49"/>
      <c r="BV568" s="49"/>
      <c r="BW568" s="49"/>
      <c r="BX568" s="49"/>
      <c r="BY568" s="49"/>
      <c r="BZ568" s="49"/>
      <c r="CA568" s="49"/>
      <c r="CB568" s="49"/>
      <c r="CC568" s="49"/>
      <c r="CD568" s="49"/>
      <c r="CE568" s="49"/>
      <c r="CF568" s="49"/>
      <c r="CG568" s="49"/>
      <c r="CH568" s="49"/>
      <c r="CI568" s="49"/>
      <c r="CJ568" s="49"/>
      <c r="CK568" s="49"/>
      <c r="CL568" s="49"/>
      <c r="CM568" s="49"/>
      <c r="CN568" s="49"/>
      <c r="CO568" s="49"/>
      <c r="CP568" s="49"/>
      <c r="CQ568" s="49"/>
      <c r="CR568" s="49"/>
      <c r="CS568" s="49"/>
      <c r="CT568" s="155"/>
      <c r="CU568" s="155"/>
      <c r="CV568" s="155"/>
      <c r="CW568" s="155"/>
      <c r="CX568" s="155"/>
      <c r="CY568" s="155"/>
      <c r="CZ568" s="155"/>
      <c r="DA568" s="155"/>
      <c r="DB568" s="155"/>
      <c r="DC568" s="155"/>
      <c r="DD568" s="155"/>
      <c r="DE568" s="155"/>
      <c r="DF568" s="155"/>
      <c r="DG568" s="155"/>
      <c r="DH568" s="155"/>
      <c r="DI568" s="155"/>
      <c r="DJ568" s="155"/>
      <c r="DK568" s="155"/>
      <c r="DL568" s="155"/>
      <c r="DM568" s="155"/>
      <c r="DN568" s="155"/>
      <c r="DO568" s="155"/>
      <c r="DP568" s="155"/>
      <c r="DQ568" s="155"/>
      <c r="DR568" s="155"/>
      <c r="DS568" s="155"/>
      <c r="DT568" s="155"/>
      <c r="DU568" s="155"/>
      <c r="DV568" s="155"/>
      <c r="DW568" s="155"/>
      <c r="DX568" s="155"/>
    </row>
    <row r="569" spans="1:128" ht="18" customHeight="1">
      <c r="A569" s="155"/>
      <c r="B569" s="155"/>
      <c r="C569" s="155"/>
      <c r="D569" s="155"/>
      <c r="E569" s="155"/>
      <c r="F569" s="155"/>
      <c r="G569" s="155"/>
      <c r="H569" s="155"/>
      <c r="I569" s="270"/>
      <c r="J569" s="270"/>
      <c r="K569" s="270"/>
      <c r="L569" s="270"/>
      <c r="M569" s="270"/>
      <c r="N569" s="270"/>
      <c r="O569" s="155"/>
      <c r="P569" s="155"/>
      <c r="Q569" s="155"/>
      <c r="R569" s="155"/>
      <c r="S569" s="155"/>
      <c r="T569" s="155"/>
      <c r="U569" s="158"/>
      <c r="V569" s="155"/>
      <c r="W569" s="155"/>
      <c r="X569" s="263"/>
      <c r="Y569" s="155"/>
      <c r="Z569" s="155"/>
      <c r="AA569" s="263"/>
      <c r="AB569" s="263"/>
      <c r="AC569" s="155"/>
      <c r="AD569" s="155"/>
      <c r="AE569" s="155"/>
      <c r="AF569" s="155"/>
      <c r="AG569" s="155"/>
      <c r="AH569" s="155"/>
      <c r="AI569" s="155"/>
      <c r="AJ569" s="155"/>
      <c r="AK569" s="155"/>
      <c r="AL569" s="155"/>
      <c r="AM569" s="155"/>
      <c r="AN569" s="155"/>
      <c r="AO569" s="155"/>
      <c r="AP569" s="49"/>
      <c r="AQ569" s="49"/>
      <c r="AR569" s="155"/>
      <c r="AS569" s="155"/>
      <c r="AT569" s="155"/>
      <c r="AU569" s="155"/>
      <c r="AV569" s="155"/>
      <c r="AW569" s="155"/>
      <c r="AX569" s="155"/>
      <c r="AY569" s="155"/>
      <c r="AZ569" s="49"/>
      <c r="BA569" s="49"/>
      <c r="BB569" s="49"/>
      <c r="BC569" s="49"/>
      <c r="BD569" s="49"/>
      <c r="BE569" s="49"/>
      <c r="BF569" s="49"/>
      <c r="BG569" s="49"/>
      <c r="BH569" s="49"/>
      <c r="BI569" s="155"/>
      <c r="BJ569" s="155"/>
      <c r="BK569" s="155"/>
      <c r="BL569" s="49"/>
      <c r="BM569" s="49"/>
      <c r="BN569" s="49"/>
      <c r="BO569" s="49"/>
      <c r="BP569" s="49"/>
      <c r="BQ569" s="49"/>
      <c r="BR569" s="49"/>
      <c r="BS569" s="49"/>
      <c r="BT569" s="49"/>
      <c r="BU569" s="49"/>
      <c r="BV569" s="49"/>
      <c r="BW569" s="49"/>
      <c r="BX569" s="49"/>
      <c r="BY569" s="49"/>
      <c r="BZ569" s="49"/>
      <c r="CA569" s="49"/>
      <c r="CB569" s="49"/>
      <c r="CC569" s="49"/>
      <c r="CD569" s="49"/>
      <c r="CE569" s="49"/>
      <c r="CF569" s="49"/>
      <c r="CG569" s="49"/>
      <c r="CH569" s="49"/>
      <c r="CI569" s="49"/>
      <c r="CJ569" s="49"/>
      <c r="CK569" s="49"/>
      <c r="CL569" s="49"/>
      <c r="CM569" s="49"/>
      <c r="CN569" s="49"/>
      <c r="CO569" s="49"/>
      <c r="CP569" s="49"/>
      <c r="CQ569" s="49"/>
      <c r="CR569" s="49"/>
      <c r="CS569" s="49"/>
      <c r="CT569" s="155"/>
      <c r="CU569" s="155"/>
      <c r="CV569" s="155"/>
      <c r="CW569" s="155"/>
      <c r="CX569" s="155"/>
      <c r="CY569" s="155"/>
      <c r="CZ569" s="155"/>
      <c r="DA569" s="155"/>
      <c r="DB569" s="155"/>
      <c r="DC569" s="155"/>
      <c r="DD569" s="155"/>
      <c r="DE569" s="155"/>
      <c r="DF569" s="155"/>
      <c r="DG569" s="155"/>
      <c r="DH569" s="155"/>
      <c r="DI569" s="155"/>
      <c r="DJ569" s="155"/>
      <c r="DK569" s="155"/>
      <c r="DL569" s="155"/>
      <c r="DM569" s="155"/>
      <c r="DN569" s="155"/>
      <c r="DO569" s="155"/>
      <c r="DP569" s="155"/>
      <c r="DQ569" s="155"/>
      <c r="DR569" s="155"/>
      <c r="DS569" s="155"/>
      <c r="DT569" s="155"/>
      <c r="DU569" s="155"/>
      <c r="DV569" s="155"/>
      <c r="DW569" s="155"/>
      <c r="DX569" s="155"/>
    </row>
    <row r="570" spans="1:128" ht="18" customHeight="1">
      <c r="A570" s="155"/>
      <c r="B570" s="155"/>
      <c r="C570" s="155"/>
      <c r="D570" s="155"/>
      <c r="E570" s="155"/>
      <c r="F570" s="155"/>
      <c r="G570" s="155"/>
      <c r="H570" s="155"/>
      <c r="I570" s="270"/>
      <c r="J570" s="270"/>
      <c r="K570" s="270"/>
      <c r="L570" s="270"/>
      <c r="M570" s="270"/>
      <c r="N570" s="270"/>
      <c r="O570" s="155"/>
      <c r="P570" s="155"/>
      <c r="Q570" s="155"/>
      <c r="R570" s="155"/>
      <c r="S570" s="155"/>
      <c r="T570" s="155"/>
      <c r="U570" s="158"/>
      <c r="V570" s="155"/>
      <c r="W570" s="155"/>
      <c r="X570" s="263"/>
      <c r="Y570" s="155"/>
      <c r="Z570" s="155"/>
      <c r="AA570" s="263"/>
      <c r="AB570" s="263"/>
      <c r="AC570" s="155"/>
      <c r="AD570" s="155"/>
      <c r="AE570" s="155"/>
      <c r="AF570" s="155"/>
      <c r="AG570" s="155"/>
      <c r="AH570" s="155"/>
      <c r="AI570" s="155"/>
      <c r="AJ570" s="155"/>
      <c r="AK570" s="155"/>
      <c r="AL570" s="155"/>
      <c r="AM570" s="155"/>
      <c r="AN570" s="155"/>
      <c r="AO570" s="155"/>
      <c r="AP570" s="49"/>
      <c r="AQ570" s="49"/>
      <c r="AR570" s="155"/>
      <c r="AS570" s="155"/>
      <c r="AT570" s="155"/>
      <c r="AU570" s="155"/>
      <c r="AV570" s="155"/>
      <c r="AW570" s="155"/>
      <c r="AX570" s="155"/>
      <c r="AY570" s="155"/>
      <c r="AZ570" s="49"/>
      <c r="BA570" s="49"/>
      <c r="BB570" s="49"/>
      <c r="BC570" s="49"/>
      <c r="BD570" s="49"/>
      <c r="BE570" s="49"/>
      <c r="BF570" s="49"/>
      <c r="BG570" s="49"/>
      <c r="BH570" s="49"/>
      <c r="BI570" s="155"/>
      <c r="BJ570" s="155"/>
      <c r="BK570" s="155"/>
      <c r="BL570" s="49"/>
      <c r="BM570" s="49"/>
      <c r="BN570" s="49"/>
      <c r="BO570" s="49"/>
      <c r="BP570" s="49"/>
      <c r="BQ570" s="49"/>
      <c r="BR570" s="49"/>
      <c r="BS570" s="49"/>
      <c r="BT570" s="49"/>
      <c r="BU570" s="49"/>
      <c r="BV570" s="49"/>
      <c r="BW570" s="49"/>
      <c r="BX570" s="49"/>
      <c r="BY570" s="49"/>
      <c r="BZ570" s="49"/>
      <c r="CA570" s="49"/>
      <c r="CB570" s="49"/>
      <c r="CC570" s="49"/>
      <c r="CD570" s="49"/>
      <c r="CE570" s="49"/>
      <c r="CF570" s="49"/>
      <c r="CG570" s="49"/>
      <c r="CH570" s="49"/>
      <c r="CI570" s="49"/>
      <c r="CJ570" s="49"/>
      <c r="CK570" s="49"/>
      <c r="CL570" s="49"/>
      <c r="CM570" s="49"/>
      <c r="CN570" s="49"/>
      <c r="CO570" s="49"/>
      <c r="CP570" s="49"/>
      <c r="CQ570" s="49"/>
      <c r="CR570" s="49"/>
      <c r="CS570" s="49"/>
      <c r="CT570" s="155"/>
      <c r="CU570" s="155"/>
      <c r="CV570" s="155"/>
      <c r="CW570" s="155"/>
      <c r="CX570" s="155"/>
      <c r="CY570" s="155"/>
      <c r="CZ570" s="155"/>
      <c r="DA570" s="155"/>
      <c r="DB570" s="155"/>
      <c r="DC570" s="155"/>
      <c r="DD570" s="155"/>
      <c r="DE570" s="155"/>
      <c r="DF570" s="155"/>
      <c r="DG570" s="155"/>
      <c r="DH570" s="155"/>
      <c r="DI570" s="155"/>
      <c r="DJ570" s="155"/>
      <c r="DK570" s="155"/>
      <c r="DL570" s="155"/>
      <c r="DM570" s="155"/>
      <c r="DN570" s="155"/>
      <c r="DO570" s="155"/>
      <c r="DP570" s="155"/>
      <c r="DQ570" s="155"/>
      <c r="DR570" s="155"/>
      <c r="DS570" s="155"/>
      <c r="DT570" s="155"/>
      <c r="DU570" s="155"/>
      <c r="DV570" s="155"/>
      <c r="DW570" s="155"/>
      <c r="DX570" s="155"/>
    </row>
    <row r="571" spans="1:128" ht="18" customHeight="1">
      <c r="A571" s="155"/>
      <c r="B571" s="155"/>
      <c r="C571" s="155"/>
      <c r="D571" s="155"/>
      <c r="E571" s="155"/>
      <c r="F571" s="155"/>
      <c r="G571" s="155"/>
      <c r="H571" s="155"/>
      <c r="I571" s="270"/>
      <c r="J571" s="270"/>
      <c r="K571" s="270"/>
      <c r="L571" s="270"/>
      <c r="M571" s="270"/>
      <c r="N571" s="270"/>
      <c r="O571" s="155"/>
      <c r="P571" s="155"/>
      <c r="Q571" s="155"/>
      <c r="R571" s="155"/>
      <c r="S571" s="155"/>
      <c r="T571" s="155"/>
      <c r="U571" s="158"/>
      <c r="V571" s="155"/>
      <c r="W571" s="155"/>
      <c r="X571" s="263"/>
      <c r="Y571" s="155"/>
      <c r="Z571" s="155"/>
      <c r="AA571" s="263"/>
      <c r="AB571" s="263"/>
      <c r="AC571" s="155"/>
      <c r="AD571" s="155"/>
      <c r="AE571" s="155"/>
      <c r="AF571" s="155"/>
      <c r="AG571" s="155"/>
      <c r="AH571" s="155"/>
      <c r="AI571" s="155"/>
      <c r="AJ571" s="155"/>
      <c r="AK571" s="155"/>
      <c r="AL571" s="155"/>
      <c r="AM571" s="155"/>
      <c r="AN571" s="155"/>
      <c r="AO571" s="155"/>
      <c r="AP571" s="49"/>
      <c r="AQ571" s="49"/>
      <c r="AR571" s="155"/>
      <c r="AS571" s="155"/>
      <c r="AT571" s="155"/>
      <c r="AU571" s="155"/>
      <c r="AV571" s="155"/>
      <c r="AW571" s="155"/>
      <c r="AX571" s="155"/>
      <c r="AY571" s="155"/>
      <c r="AZ571" s="49"/>
      <c r="BA571" s="49"/>
      <c r="BB571" s="49"/>
      <c r="BC571" s="49"/>
      <c r="BD571" s="49"/>
      <c r="BE571" s="49"/>
      <c r="BF571" s="49"/>
      <c r="BG571" s="49"/>
      <c r="BH571" s="49"/>
      <c r="BI571" s="155"/>
      <c r="BJ571" s="155"/>
      <c r="BK571" s="155"/>
      <c r="BL571" s="49"/>
      <c r="BM571" s="49"/>
      <c r="BN571" s="49"/>
      <c r="BO571" s="49"/>
      <c r="BP571" s="49"/>
      <c r="BQ571" s="49"/>
      <c r="BR571" s="49"/>
      <c r="BS571" s="49"/>
      <c r="BT571" s="49"/>
      <c r="BU571" s="49"/>
      <c r="BV571" s="49"/>
      <c r="BW571" s="49"/>
      <c r="BX571" s="49"/>
      <c r="BY571" s="49"/>
      <c r="BZ571" s="49"/>
      <c r="CA571" s="49"/>
      <c r="CB571" s="49"/>
      <c r="CC571" s="49"/>
      <c r="CD571" s="49"/>
      <c r="CE571" s="49"/>
      <c r="CF571" s="49"/>
      <c r="CG571" s="49"/>
      <c r="CH571" s="49"/>
      <c r="CI571" s="49"/>
      <c r="CJ571" s="49"/>
      <c r="CK571" s="49"/>
      <c r="CL571" s="49"/>
      <c r="CM571" s="49"/>
      <c r="CN571" s="49"/>
      <c r="CO571" s="49"/>
      <c r="CP571" s="49"/>
      <c r="CQ571" s="49"/>
      <c r="CR571" s="49"/>
      <c r="CS571" s="49"/>
      <c r="CT571" s="155"/>
      <c r="CU571" s="155"/>
      <c r="CV571" s="155"/>
      <c r="CW571" s="155"/>
      <c r="CX571" s="155"/>
      <c r="CY571" s="155"/>
      <c r="CZ571" s="155"/>
      <c r="DA571" s="155"/>
      <c r="DB571" s="155"/>
      <c r="DC571" s="155"/>
      <c r="DD571" s="155"/>
      <c r="DE571" s="155"/>
      <c r="DF571" s="155"/>
      <c r="DG571" s="155"/>
      <c r="DH571" s="155"/>
      <c r="DI571" s="155"/>
      <c r="DJ571" s="155"/>
      <c r="DK571" s="155"/>
      <c r="DL571" s="155"/>
      <c r="DM571" s="155"/>
      <c r="DN571" s="155"/>
      <c r="DO571" s="155"/>
      <c r="DP571" s="155"/>
      <c r="DQ571" s="155"/>
      <c r="DR571" s="155"/>
      <c r="DS571" s="155"/>
      <c r="DT571" s="155"/>
      <c r="DU571" s="155"/>
      <c r="DV571" s="155"/>
      <c r="DW571" s="155"/>
      <c r="DX571" s="155"/>
    </row>
    <row r="572" spans="1:128" ht="18" customHeight="1">
      <c r="A572" s="155"/>
      <c r="B572" s="155"/>
      <c r="C572" s="155"/>
      <c r="D572" s="155"/>
      <c r="E572" s="155"/>
      <c r="F572" s="155"/>
      <c r="G572" s="155"/>
      <c r="H572" s="155"/>
      <c r="I572" s="270"/>
      <c r="J572" s="270"/>
      <c r="K572" s="270"/>
      <c r="L572" s="270"/>
      <c r="M572" s="270"/>
      <c r="N572" s="270"/>
      <c r="O572" s="155"/>
      <c r="P572" s="155"/>
      <c r="Q572" s="155"/>
      <c r="R572" s="155"/>
      <c r="S572" s="155"/>
      <c r="T572" s="155"/>
      <c r="U572" s="158"/>
      <c r="V572" s="155"/>
      <c r="W572" s="155"/>
      <c r="X572" s="263"/>
      <c r="Y572" s="155"/>
      <c r="Z572" s="155"/>
      <c r="AA572" s="263"/>
      <c r="AB572" s="263"/>
      <c r="AC572" s="155"/>
      <c r="AD572" s="155"/>
      <c r="AE572" s="155"/>
      <c r="AF572" s="155"/>
      <c r="AG572" s="155"/>
      <c r="AH572" s="155"/>
      <c r="AI572" s="155"/>
      <c r="AJ572" s="155"/>
      <c r="AK572" s="155"/>
      <c r="AL572" s="155"/>
      <c r="AM572" s="155"/>
      <c r="AN572" s="155"/>
      <c r="AO572" s="155"/>
      <c r="AP572" s="49"/>
      <c r="AQ572" s="49"/>
      <c r="AR572" s="155"/>
      <c r="AS572" s="155"/>
      <c r="AT572" s="155"/>
      <c r="AU572" s="155"/>
      <c r="AV572" s="155"/>
      <c r="AW572" s="155"/>
      <c r="AX572" s="155"/>
      <c r="AY572" s="155"/>
      <c r="AZ572" s="49"/>
      <c r="BA572" s="49"/>
      <c r="BB572" s="49"/>
      <c r="BC572" s="49"/>
      <c r="BD572" s="49"/>
      <c r="BE572" s="49"/>
      <c r="BF572" s="49"/>
      <c r="BG572" s="49"/>
      <c r="BH572" s="49"/>
      <c r="BI572" s="155"/>
      <c r="BJ572" s="155"/>
      <c r="BK572" s="155"/>
      <c r="BL572" s="49"/>
      <c r="BM572" s="49"/>
      <c r="BN572" s="49"/>
      <c r="BO572" s="49"/>
      <c r="BP572" s="49"/>
      <c r="BQ572" s="49"/>
      <c r="BR572" s="49"/>
      <c r="BS572" s="49"/>
      <c r="BT572" s="49"/>
      <c r="BU572" s="49"/>
      <c r="BV572" s="49"/>
      <c r="BW572" s="49"/>
      <c r="BX572" s="49"/>
      <c r="BY572" s="49"/>
      <c r="BZ572" s="49"/>
      <c r="CA572" s="49"/>
      <c r="CB572" s="49"/>
      <c r="CC572" s="49"/>
      <c r="CD572" s="49"/>
      <c r="CE572" s="49"/>
      <c r="CF572" s="49"/>
      <c r="CG572" s="49"/>
      <c r="CH572" s="49"/>
      <c r="CI572" s="49"/>
      <c r="CJ572" s="49"/>
      <c r="CK572" s="49"/>
      <c r="CL572" s="49"/>
      <c r="CM572" s="49"/>
      <c r="CN572" s="49"/>
      <c r="CO572" s="49"/>
      <c r="CP572" s="49"/>
      <c r="CQ572" s="49"/>
      <c r="CR572" s="49"/>
      <c r="CS572" s="49"/>
      <c r="CT572" s="155"/>
      <c r="CU572" s="155"/>
      <c r="CV572" s="155"/>
      <c r="CW572" s="155"/>
      <c r="CX572" s="155"/>
      <c r="CY572" s="155"/>
      <c r="CZ572" s="155"/>
      <c r="DA572" s="155"/>
      <c r="DB572" s="155"/>
      <c r="DC572" s="155"/>
      <c r="DD572" s="155"/>
      <c r="DE572" s="155"/>
      <c r="DF572" s="155"/>
      <c r="DG572" s="155"/>
      <c r="DH572" s="155"/>
      <c r="DI572" s="155"/>
      <c r="DJ572" s="155"/>
      <c r="DK572" s="155"/>
      <c r="DL572" s="155"/>
      <c r="DM572" s="155"/>
      <c r="DN572" s="155"/>
      <c r="DO572" s="155"/>
      <c r="DP572" s="155"/>
      <c r="DQ572" s="155"/>
      <c r="DR572" s="155"/>
      <c r="DS572" s="155"/>
      <c r="DT572" s="155"/>
      <c r="DU572" s="155"/>
      <c r="DV572" s="155"/>
      <c r="DW572" s="155"/>
      <c r="DX572" s="155"/>
    </row>
    <row r="573" spans="1:128" ht="18" customHeight="1">
      <c r="A573" s="155"/>
      <c r="B573" s="155"/>
      <c r="C573" s="155"/>
      <c r="D573" s="155"/>
      <c r="E573" s="155"/>
      <c r="F573" s="155"/>
      <c r="G573" s="155"/>
      <c r="H573" s="155"/>
      <c r="I573" s="270"/>
      <c r="J573" s="270"/>
      <c r="K573" s="270"/>
      <c r="L573" s="270"/>
      <c r="M573" s="270"/>
      <c r="N573" s="270"/>
      <c r="O573" s="155"/>
      <c r="P573" s="155"/>
      <c r="Q573" s="155"/>
      <c r="R573" s="155"/>
      <c r="S573" s="155"/>
      <c r="T573" s="155"/>
      <c r="U573" s="158"/>
      <c r="V573" s="155"/>
      <c r="W573" s="155"/>
      <c r="X573" s="263"/>
      <c r="Y573" s="155"/>
      <c r="Z573" s="155"/>
      <c r="AA573" s="263"/>
      <c r="AB573" s="263"/>
      <c r="AC573" s="155"/>
      <c r="AD573" s="155"/>
      <c r="AE573" s="155"/>
      <c r="AF573" s="155"/>
      <c r="AG573" s="155"/>
      <c r="AH573" s="155"/>
      <c r="AI573" s="155"/>
      <c r="AJ573" s="155"/>
      <c r="AK573" s="155"/>
      <c r="AL573" s="155"/>
      <c r="AM573" s="155"/>
      <c r="AN573" s="155"/>
      <c r="AO573" s="155"/>
      <c r="AP573" s="49"/>
      <c r="AQ573" s="49"/>
      <c r="AR573" s="155"/>
      <c r="AS573" s="155"/>
      <c r="AT573" s="155"/>
      <c r="AU573" s="155"/>
      <c r="AV573" s="155"/>
      <c r="AW573" s="155"/>
      <c r="AX573" s="155"/>
      <c r="AY573" s="155"/>
      <c r="AZ573" s="49"/>
      <c r="BA573" s="49"/>
      <c r="BB573" s="49"/>
      <c r="BC573" s="49"/>
      <c r="BD573" s="49"/>
      <c r="BE573" s="49"/>
      <c r="BF573" s="49"/>
      <c r="BG573" s="49"/>
      <c r="BH573" s="49"/>
      <c r="BI573" s="155"/>
      <c r="BJ573" s="155"/>
      <c r="BK573" s="155"/>
      <c r="BL573" s="49"/>
      <c r="BM573" s="49"/>
      <c r="BN573" s="49"/>
      <c r="BO573" s="49"/>
      <c r="BP573" s="49"/>
      <c r="BQ573" s="49"/>
      <c r="BR573" s="49"/>
      <c r="BS573" s="49"/>
      <c r="BT573" s="49"/>
      <c r="BU573" s="49"/>
      <c r="BV573" s="49"/>
      <c r="BW573" s="49"/>
      <c r="BX573" s="49"/>
      <c r="BY573" s="49"/>
      <c r="BZ573" s="49"/>
      <c r="CA573" s="49"/>
      <c r="CB573" s="49"/>
      <c r="CC573" s="49"/>
      <c r="CD573" s="49"/>
      <c r="CE573" s="49"/>
      <c r="CF573" s="49"/>
      <c r="CG573" s="49"/>
      <c r="CH573" s="49"/>
      <c r="CI573" s="49"/>
      <c r="CJ573" s="49"/>
      <c r="CK573" s="49"/>
      <c r="CL573" s="49"/>
      <c r="CM573" s="49"/>
      <c r="CN573" s="49"/>
      <c r="CO573" s="49"/>
      <c r="CP573" s="49"/>
      <c r="CQ573" s="49"/>
      <c r="CR573" s="49"/>
      <c r="CS573" s="49"/>
      <c r="CT573" s="155"/>
      <c r="CU573" s="155"/>
      <c r="CV573" s="155"/>
      <c r="CW573" s="155"/>
      <c r="CX573" s="155"/>
      <c r="CY573" s="155"/>
      <c r="CZ573" s="155"/>
      <c r="DA573" s="155"/>
      <c r="DB573" s="155"/>
      <c r="DC573" s="155"/>
      <c r="DD573" s="155"/>
      <c r="DE573" s="155"/>
      <c r="DF573" s="155"/>
      <c r="DG573" s="155"/>
      <c r="DH573" s="155"/>
      <c r="DI573" s="155"/>
      <c r="DJ573" s="155"/>
      <c r="DK573" s="155"/>
      <c r="DL573" s="155"/>
      <c r="DM573" s="155"/>
      <c r="DN573" s="155"/>
      <c r="DO573" s="155"/>
      <c r="DP573" s="155"/>
      <c r="DQ573" s="155"/>
      <c r="DR573" s="155"/>
      <c r="DS573" s="155"/>
      <c r="DT573" s="155"/>
      <c r="DU573" s="155"/>
      <c r="DV573" s="155"/>
      <c r="DW573" s="155"/>
      <c r="DX573" s="155"/>
    </row>
    <row r="574" spans="1:128" ht="18" customHeight="1">
      <c r="A574" s="155"/>
      <c r="B574" s="155"/>
      <c r="C574" s="155"/>
      <c r="D574" s="155"/>
      <c r="E574" s="155"/>
      <c r="F574" s="155"/>
      <c r="G574" s="155"/>
      <c r="H574" s="155"/>
      <c r="I574" s="270"/>
      <c r="J574" s="270"/>
      <c r="K574" s="270"/>
      <c r="L574" s="270"/>
      <c r="M574" s="270"/>
      <c r="N574" s="270"/>
      <c r="O574" s="155"/>
      <c r="P574" s="155"/>
      <c r="Q574" s="155"/>
      <c r="R574" s="155"/>
      <c r="S574" s="155"/>
      <c r="T574" s="155"/>
      <c r="U574" s="158"/>
      <c r="V574" s="155"/>
      <c r="W574" s="155"/>
      <c r="X574" s="263"/>
      <c r="Y574" s="155"/>
      <c r="Z574" s="155"/>
      <c r="AA574" s="263"/>
      <c r="AB574" s="263"/>
      <c r="AC574" s="155"/>
      <c r="AD574" s="155"/>
      <c r="AE574" s="155"/>
      <c r="AF574" s="155"/>
      <c r="AG574" s="155"/>
      <c r="AH574" s="155"/>
      <c r="AI574" s="155"/>
      <c r="AJ574" s="155"/>
      <c r="AK574" s="155"/>
      <c r="AL574" s="155"/>
      <c r="AM574" s="155"/>
      <c r="AN574" s="155"/>
      <c r="AO574" s="155"/>
      <c r="AP574" s="49"/>
      <c r="AQ574" s="49"/>
      <c r="AR574" s="155"/>
      <c r="AS574" s="155"/>
      <c r="AT574" s="155"/>
      <c r="AU574" s="155"/>
      <c r="AV574" s="155"/>
      <c r="AW574" s="155"/>
      <c r="AX574" s="155"/>
      <c r="AY574" s="155"/>
      <c r="AZ574" s="49"/>
      <c r="BA574" s="49"/>
      <c r="BB574" s="49"/>
      <c r="BC574" s="49"/>
      <c r="BD574" s="49"/>
      <c r="BE574" s="49"/>
      <c r="BF574" s="49"/>
      <c r="BG574" s="49"/>
      <c r="BH574" s="49"/>
      <c r="BI574" s="155"/>
      <c r="BJ574" s="155"/>
      <c r="BK574" s="155"/>
      <c r="BL574" s="49"/>
      <c r="BM574" s="49"/>
      <c r="BN574" s="49"/>
      <c r="BO574" s="49"/>
      <c r="BP574" s="49"/>
      <c r="BQ574" s="49"/>
      <c r="BR574" s="49"/>
      <c r="BS574" s="49"/>
      <c r="BT574" s="49"/>
      <c r="BU574" s="49"/>
      <c r="BV574" s="49"/>
      <c r="BW574" s="49"/>
      <c r="BX574" s="49"/>
      <c r="BY574" s="49"/>
      <c r="BZ574" s="49"/>
      <c r="CA574" s="49"/>
      <c r="CB574" s="49"/>
      <c r="CC574" s="49"/>
      <c r="CD574" s="49"/>
      <c r="CE574" s="49"/>
      <c r="CF574" s="49"/>
      <c r="CG574" s="49"/>
      <c r="CH574" s="49"/>
      <c r="CI574" s="49"/>
      <c r="CJ574" s="49"/>
      <c r="CK574" s="49"/>
      <c r="CL574" s="49"/>
      <c r="CM574" s="49"/>
      <c r="CN574" s="49"/>
      <c r="CO574" s="49"/>
      <c r="CP574" s="49"/>
      <c r="CQ574" s="49"/>
      <c r="CR574" s="49"/>
      <c r="CS574" s="49"/>
      <c r="CT574" s="155"/>
      <c r="CU574" s="155"/>
      <c r="CV574" s="155"/>
      <c r="CW574" s="155"/>
      <c r="CX574" s="155"/>
      <c r="CY574" s="155"/>
      <c r="CZ574" s="155"/>
      <c r="DA574" s="155"/>
      <c r="DB574" s="155"/>
      <c r="DC574" s="155"/>
      <c r="DD574" s="155"/>
      <c r="DE574" s="155"/>
      <c r="DF574" s="155"/>
      <c r="DG574" s="155"/>
      <c r="DH574" s="155"/>
      <c r="DI574" s="155"/>
      <c r="DJ574" s="155"/>
      <c r="DK574" s="155"/>
      <c r="DL574" s="155"/>
      <c r="DM574" s="155"/>
      <c r="DN574" s="155"/>
      <c r="DO574" s="155"/>
      <c r="DP574" s="155"/>
      <c r="DQ574" s="155"/>
      <c r="DR574" s="155"/>
      <c r="DS574" s="155"/>
      <c r="DT574" s="155"/>
      <c r="DU574" s="155"/>
      <c r="DV574" s="155"/>
      <c r="DW574" s="155"/>
      <c r="DX574" s="155"/>
    </row>
    <row r="575" spans="1:128" ht="18" customHeight="1">
      <c r="A575" s="155"/>
      <c r="B575" s="155"/>
      <c r="C575" s="155"/>
      <c r="D575" s="155"/>
      <c r="E575" s="155"/>
      <c r="F575" s="155"/>
      <c r="G575" s="155"/>
      <c r="H575" s="155"/>
      <c r="I575" s="270"/>
      <c r="J575" s="270"/>
      <c r="K575" s="270"/>
      <c r="L575" s="270"/>
      <c r="M575" s="270"/>
      <c r="N575" s="270"/>
      <c r="O575" s="155"/>
      <c r="P575" s="155"/>
      <c r="Q575" s="155"/>
      <c r="R575" s="155"/>
      <c r="S575" s="155"/>
      <c r="T575" s="155"/>
      <c r="U575" s="158"/>
      <c r="V575" s="155"/>
      <c r="W575" s="155"/>
      <c r="X575" s="263"/>
      <c r="Y575" s="155"/>
      <c r="Z575" s="155"/>
      <c r="AA575" s="263"/>
      <c r="AB575" s="263"/>
      <c r="AC575" s="155"/>
      <c r="AD575" s="155"/>
      <c r="AE575" s="155"/>
      <c r="AF575" s="155"/>
      <c r="AG575" s="155"/>
      <c r="AH575" s="155"/>
      <c r="AI575" s="155"/>
      <c r="AJ575" s="155"/>
      <c r="AK575" s="155"/>
      <c r="AL575" s="155"/>
      <c r="AM575" s="155"/>
      <c r="AN575" s="155"/>
      <c r="AO575" s="155"/>
      <c r="AP575" s="49"/>
      <c r="AQ575" s="49"/>
      <c r="AR575" s="155"/>
      <c r="AS575" s="155"/>
      <c r="AT575" s="155"/>
      <c r="AU575" s="155"/>
      <c r="AV575" s="155"/>
      <c r="AW575" s="155"/>
      <c r="AX575" s="155"/>
      <c r="AY575" s="155"/>
      <c r="AZ575" s="49"/>
      <c r="BA575" s="49"/>
      <c r="BB575" s="49"/>
      <c r="BC575" s="49"/>
      <c r="BD575" s="49"/>
      <c r="BE575" s="49"/>
      <c r="BF575" s="49"/>
      <c r="BG575" s="49"/>
      <c r="BH575" s="49"/>
      <c r="BI575" s="155"/>
      <c r="BJ575" s="155"/>
      <c r="BK575" s="155"/>
      <c r="BL575" s="49"/>
      <c r="BM575" s="49"/>
      <c r="BN575" s="49"/>
      <c r="BO575" s="49"/>
      <c r="BP575" s="49"/>
      <c r="BQ575" s="49"/>
      <c r="BR575" s="49"/>
      <c r="BS575" s="49"/>
      <c r="BT575" s="49"/>
      <c r="BU575" s="49"/>
      <c r="BV575" s="49"/>
      <c r="BW575" s="49"/>
      <c r="BX575" s="49"/>
      <c r="BY575" s="49"/>
      <c r="BZ575" s="49"/>
      <c r="CA575" s="49"/>
      <c r="CB575" s="49"/>
      <c r="CC575" s="49"/>
      <c r="CD575" s="49"/>
      <c r="CE575" s="49"/>
      <c r="CF575" s="49"/>
      <c r="CG575" s="49"/>
      <c r="CH575" s="49"/>
      <c r="CI575" s="49"/>
      <c r="CJ575" s="49"/>
      <c r="CK575" s="49"/>
      <c r="CL575" s="49"/>
      <c r="CM575" s="49"/>
      <c r="CN575" s="49"/>
      <c r="CO575" s="49"/>
      <c r="CP575" s="49"/>
      <c r="CQ575" s="49"/>
      <c r="CR575" s="49"/>
      <c r="CS575" s="49"/>
      <c r="CT575" s="155"/>
      <c r="CU575" s="155"/>
      <c r="CV575" s="155"/>
      <c r="CW575" s="155"/>
      <c r="CX575" s="155"/>
      <c r="CY575" s="155"/>
      <c r="CZ575" s="155"/>
      <c r="DA575" s="155"/>
      <c r="DB575" s="155"/>
      <c r="DC575" s="155"/>
      <c r="DD575" s="155"/>
      <c r="DE575" s="155"/>
      <c r="DF575" s="155"/>
      <c r="DG575" s="155"/>
      <c r="DH575" s="155"/>
      <c r="DI575" s="155"/>
      <c r="DJ575" s="155"/>
      <c r="DK575" s="155"/>
      <c r="DL575" s="155"/>
      <c r="DM575" s="155"/>
      <c r="DN575" s="155"/>
      <c r="DO575" s="155"/>
      <c r="DP575" s="155"/>
      <c r="DQ575" s="155"/>
      <c r="DR575" s="155"/>
      <c r="DS575" s="155"/>
      <c r="DT575" s="155"/>
      <c r="DU575" s="155"/>
      <c r="DV575" s="155"/>
      <c r="DW575" s="155"/>
      <c r="DX575" s="155"/>
    </row>
    <row r="576" spans="1:128" ht="18" customHeight="1">
      <c r="A576" s="155"/>
      <c r="B576" s="155"/>
      <c r="C576" s="155"/>
      <c r="D576" s="155"/>
      <c r="E576" s="155"/>
      <c r="F576" s="155"/>
      <c r="G576" s="155"/>
      <c r="H576" s="155"/>
      <c r="I576" s="270"/>
      <c r="J576" s="270"/>
      <c r="K576" s="270"/>
      <c r="L576" s="270"/>
      <c r="M576" s="270"/>
      <c r="N576" s="270"/>
      <c r="O576" s="155"/>
      <c r="P576" s="155"/>
      <c r="Q576" s="155"/>
      <c r="R576" s="155"/>
      <c r="S576" s="155"/>
      <c r="T576" s="155"/>
      <c r="U576" s="158"/>
      <c r="V576" s="155"/>
      <c r="W576" s="155"/>
      <c r="X576" s="263"/>
      <c r="Y576" s="155"/>
      <c r="Z576" s="155"/>
      <c r="AA576" s="263"/>
      <c r="AB576" s="263"/>
      <c r="AC576" s="155"/>
      <c r="AD576" s="155"/>
      <c r="AE576" s="155"/>
      <c r="AF576" s="155"/>
      <c r="AG576" s="155"/>
      <c r="AH576" s="155"/>
      <c r="AI576" s="155"/>
      <c r="AJ576" s="155"/>
      <c r="AK576" s="155"/>
      <c r="AL576" s="155"/>
      <c r="AM576" s="155"/>
      <c r="AN576" s="155"/>
      <c r="AO576" s="155"/>
      <c r="AP576" s="49"/>
      <c r="AQ576" s="49"/>
      <c r="AR576" s="155"/>
      <c r="AS576" s="155"/>
      <c r="AT576" s="155"/>
      <c r="AU576" s="155"/>
      <c r="AV576" s="155"/>
      <c r="AW576" s="155"/>
      <c r="AX576" s="155"/>
      <c r="AY576" s="155"/>
      <c r="AZ576" s="49"/>
      <c r="BA576" s="49"/>
      <c r="BB576" s="49"/>
      <c r="BC576" s="49"/>
      <c r="BD576" s="49"/>
      <c r="BE576" s="49"/>
      <c r="BF576" s="49"/>
      <c r="BG576" s="49"/>
      <c r="BH576" s="49"/>
      <c r="BI576" s="155"/>
      <c r="BJ576" s="155"/>
      <c r="BK576" s="155"/>
      <c r="BL576" s="49"/>
      <c r="BM576" s="49"/>
      <c r="BN576" s="49"/>
      <c r="BO576" s="49"/>
      <c r="BP576" s="49"/>
      <c r="BQ576" s="49"/>
      <c r="BR576" s="49"/>
      <c r="BS576" s="49"/>
      <c r="BT576" s="49"/>
      <c r="BU576" s="49"/>
      <c r="BV576" s="49"/>
      <c r="BW576" s="49"/>
      <c r="BX576" s="49"/>
      <c r="BY576" s="49"/>
      <c r="BZ576" s="49"/>
      <c r="CA576" s="49"/>
      <c r="CB576" s="49"/>
      <c r="CC576" s="49"/>
      <c r="CD576" s="49"/>
      <c r="CE576" s="49"/>
      <c r="CF576" s="49"/>
      <c r="CG576" s="49"/>
      <c r="CH576" s="49"/>
      <c r="CI576" s="49"/>
      <c r="CJ576" s="49"/>
      <c r="CK576" s="49"/>
      <c r="CL576" s="49"/>
      <c r="CM576" s="49"/>
      <c r="CN576" s="49"/>
      <c r="CO576" s="49"/>
      <c r="CP576" s="49"/>
      <c r="CQ576" s="49"/>
      <c r="CR576" s="49"/>
      <c r="CS576" s="49"/>
      <c r="CT576" s="155"/>
      <c r="CU576" s="155"/>
      <c r="CV576" s="155"/>
      <c r="CW576" s="155"/>
      <c r="CX576" s="155"/>
      <c r="CY576" s="155"/>
      <c r="CZ576" s="155"/>
      <c r="DA576" s="155"/>
      <c r="DB576" s="155"/>
      <c r="DC576" s="155"/>
      <c r="DD576" s="155"/>
      <c r="DE576" s="155"/>
      <c r="DF576" s="155"/>
      <c r="DG576" s="155"/>
      <c r="DH576" s="155"/>
      <c r="DI576" s="155"/>
      <c r="DJ576" s="155"/>
      <c r="DK576" s="155"/>
      <c r="DL576" s="155"/>
      <c r="DM576" s="155"/>
      <c r="DN576" s="155"/>
      <c r="DO576" s="155"/>
      <c r="DP576" s="155"/>
      <c r="DQ576" s="155"/>
      <c r="DR576" s="155"/>
      <c r="DS576" s="155"/>
      <c r="DT576" s="155"/>
      <c r="DU576" s="155"/>
      <c r="DV576" s="155"/>
      <c r="DW576" s="155"/>
      <c r="DX576" s="155"/>
    </row>
    <row r="577" spans="1:128" ht="18" customHeight="1">
      <c r="A577" s="155"/>
      <c r="B577" s="155"/>
      <c r="C577" s="155"/>
      <c r="D577" s="155"/>
      <c r="E577" s="155"/>
      <c r="F577" s="155"/>
      <c r="G577" s="155"/>
      <c r="H577" s="155"/>
      <c r="I577" s="270"/>
      <c r="J577" s="270"/>
      <c r="K577" s="270"/>
      <c r="L577" s="270"/>
      <c r="M577" s="270"/>
      <c r="N577" s="270"/>
      <c r="O577" s="155"/>
      <c r="P577" s="155"/>
      <c r="Q577" s="155"/>
      <c r="R577" s="155"/>
      <c r="S577" s="155"/>
      <c r="T577" s="155"/>
      <c r="U577" s="158"/>
      <c r="V577" s="155"/>
      <c r="W577" s="155"/>
      <c r="X577" s="263"/>
      <c r="Y577" s="155"/>
      <c r="Z577" s="155"/>
      <c r="AA577" s="263"/>
      <c r="AB577" s="263"/>
      <c r="AC577" s="155"/>
      <c r="AD577" s="155"/>
      <c r="AE577" s="155"/>
      <c r="AF577" s="155"/>
      <c r="AG577" s="155"/>
      <c r="AH577" s="155"/>
      <c r="AI577" s="155"/>
      <c r="AJ577" s="155"/>
      <c r="AK577" s="155"/>
      <c r="AL577" s="155"/>
      <c r="AM577" s="155"/>
      <c r="AN577" s="155"/>
      <c r="AO577" s="155"/>
      <c r="AP577" s="49"/>
      <c r="AQ577" s="49"/>
      <c r="AR577" s="155"/>
      <c r="AS577" s="155"/>
      <c r="AT577" s="155"/>
      <c r="AU577" s="155"/>
      <c r="AV577" s="155"/>
      <c r="AW577" s="155"/>
      <c r="AX577" s="155"/>
      <c r="AY577" s="155"/>
      <c r="AZ577" s="49"/>
      <c r="BA577" s="49"/>
      <c r="BB577" s="49"/>
      <c r="BC577" s="49"/>
      <c r="BD577" s="49"/>
      <c r="BE577" s="49"/>
      <c r="BF577" s="49"/>
      <c r="BG577" s="49"/>
      <c r="BH577" s="49"/>
      <c r="BI577" s="155"/>
      <c r="BJ577" s="155"/>
      <c r="BK577" s="155"/>
      <c r="BL577" s="49"/>
      <c r="BM577" s="49"/>
      <c r="BN577" s="49"/>
      <c r="BO577" s="49"/>
      <c r="BP577" s="49"/>
      <c r="BQ577" s="49"/>
      <c r="BR577" s="49"/>
      <c r="BS577" s="49"/>
      <c r="BT577" s="49"/>
      <c r="BU577" s="49"/>
      <c r="BV577" s="49"/>
      <c r="BW577" s="49"/>
      <c r="BX577" s="49"/>
      <c r="BY577" s="49"/>
      <c r="BZ577" s="49"/>
      <c r="CA577" s="49"/>
      <c r="CB577" s="49"/>
      <c r="CC577" s="49"/>
      <c r="CD577" s="49"/>
      <c r="CE577" s="49"/>
      <c r="CF577" s="49"/>
      <c r="CG577" s="49"/>
      <c r="CH577" s="49"/>
      <c r="CI577" s="49"/>
      <c r="CJ577" s="49"/>
      <c r="CK577" s="49"/>
      <c r="CL577" s="49"/>
      <c r="CM577" s="49"/>
      <c r="CN577" s="49"/>
      <c r="CO577" s="49"/>
      <c r="CP577" s="49"/>
      <c r="CQ577" s="49"/>
      <c r="CR577" s="49"/>
      <c r="CS577" s="49"/>
      <c r="CT577" s="155"/>
      <c r="CU577" s="155"/>
      <c r="CV577" s="155"/>
      <c r="CW577" s="155"/>
      <c r="CX577" s="155"/>
      <c r="CY577" s="155"/>
      <c r="CZ577" s="155"/>
      <c r="DA577" s="155"/>
      <c r="DB577" s="155"/>
      <c r="DC577" s="155"/>
      <c r="DD577" s="155"/>
      <c r="DE577" s="155"/>
      <c r="DF577" s="155"/>
      <c r="DG577" s="155"/>
      <c r="DH577" s="155"/>
      <c r="DI577" s="155"/>
      <c r="DJ577" s="155"/>
      <c r="DK577" s="155"/>
      <c r="DL577" s="155"/>
      <c r="DM577" s="155"/>
      <c r="DN577" s="155"/>
      <c r="DO577" s="155"/>
      <c r="DP577" s="155"/>
      <c r="DQ577" s="155"/>
      <c r="DR577" s="155"/>
      <c r="DS577" s="155"/>
      <c r="DT577" s="155"/>
      <c r="DU577" s="155"/>
      <c r="DV577" s="155"/>
      <c r="DW577" s="155"/>
      <c r="DX577" s="155"/>
    </row>
    <row r="578" spans="1:128" ht="18" customHeight="1">
      <c r="A578" s="155"/>
      <c r="B578" s="155"/>
      <c r="C578" s="155"/>
      <c r="D578" s="155"/>
      <c r="E578" s="155"/>
      <c r="F578" s="155"/>
      <c r="G578" s="155"/>
      <c r="H578" s="155"/>
      <c r="I578" s="270"/>
      <c r="J578" s="270"/>
      <c r="K578" s="270"/>
      <c r="L578" s="270"/>
      <c r="M578" s="270"/>
      <c r="N578" s="270"/>
      <c r="O578" s="155"/>
      <c r="P578" s="155"/>
      <c r="Q578" s="155"/>
      <c r="R578" s="155"/>
      <c r="S578" s="155"/>
      <c r="T578" s="155"/>
      <c r="U578" s="158"/>
      <c r="V578" s="155"/>
      <c r="W578" s="155"/>
      <c r="X578" s="263"/>
      <c r="Y578" s="155"/>
      <c r="Z578" s="155"/>
      <c r="AA578" s="263"/>
      <c r="AB578" s="263"/>
      <c r="AC578" s="155"/>
      <c r="AD578" s="155"/>
      <c r="AE578" s="155"/>
      <c r="AF578" s="155"/>
      <c r="AG578" s="155"/>
      <c r="AH578" s="155"/>
      <c r="AI578" s="155"/>
      <c r="AJ578" s="155"/>
      <c r="AK578" s="155"/>
      <c r="AL578" s="155"/>
      <c r="AM578" s="155"/>
      <c r="AN578" s="155"/>
      <c r="AO578" s="155"/>
      <c r="AP578" s="49"/>
      <c r="AQ578" s="49"/>
      <c r="AR578" s="155"/>
      <c r="AS578" s="155"/>
      <c r="AT578" s="155"/>
      <c r="AU578" s="155"/>
      <c r="AV578" s="155"/>
      <c r="AW578" s="155"/>
      <c r="AX578" s="155"/>
      <c r="AY578" s="155"/>
      <c r="AZ578" s="49"/>
      <c r="BA578" s="49"/>
      <c r="BB578" s="49"/>
      <c r="BC578" s="49"/>
      <c r="BD578" s="49"/>
      <c r="BE578" s="49"/>
      <c r="BF578" s="49"/>
      <c r="BG578" s="49"/>
      <c r="BH578" s="49"/>
      <c r="BI578" s="155"/>
      <c r="BJ578" s="155"/>
      <c r="BK578" s="155"/>
      <c r="BL578" s="49"/>
      <c r="BM578" s="49"/>
      <c r="BN578" s="49"/>
      <c r="BO578" s="49"/>
      <c r="BP578" s="49"/>
      <c r="BQ578" s="49"/>
      <c r="BR578" s="49"/>
      <c r="BS578" s="49"/>
      <c r="BT578" s="49"/>
      <c r="BU578" s="49"/>
      <c r="BV578" s="49"/>
      <c r="BW578" s="49"/>
      <c r="BX578" s="49"/>
      <c r="BY578" s="49"/>
      <c r="BZ578" s="49"/>
      <c r="CA578" s="49"/>
      <c r="CB578" s="49"/>
      <c r="CC578" s="49"/>
      <c r="CD578" s="49"/>
      <c r="CE578" s="49"/>
      <c r="CF578" s="49"/>
      <c r="CG578" s="49"/>
      <c r="CH578" s="49"/>
      <c r="CI578" s="49"/>
      <c r="CJ578" s="49"/>
      <c r="CK578" s="49"/>
      <c r="CL578" s="49"/>
      <c r="CM578" s="49"/>
      <c r="CN578" s="49"/>
      <c r="CO578" s="49"/>
      <c r="CP578" s="49"/>
      <c r="CQ578" s="49"/>
      <c r="CR578" s="49"/>
      <c r="CS578" s="49"/>
      <c r="CT578" s="155"/>
      <c r="CU578" s="155"/>
      <c r="CV578" s="155"/>
      <c r="CW578" s="155"/>
      <c r="CX578" s="155"/>
      <c r="CY578" s="155"/>
      <c r="CZ578" s="155"/>
      <c r="DA578" s="155"/>
      <c r="DB578" s="155"/>
      <c r="DC578" s="155"/>
      <c r="DD578" s="155"/>
      <c r="DE578" s="155"/>
      <c r="DF578" s="155"/>
      <c r="DG578" s="155"/>
      <c r="DH578" s="155"/>
      <c r="DI578" s="155"/>
      <c r="DJ578" s="155"/>
      <c r="DK578" s="155"/>
      <c r="DL578" s="155"/>
      <c r="DM578" s="155"/>
      <c r="DN578" s="155"/>
      <c r="DO578" s="155"/>
      <c r="DP578" s="155"/>
      <c r="DQ578" s="155"/>
      <c r="DR578" s="155"/>
      <c r="DS578" s="155"/>
      <c r="DT578" s="155"/>
      <c r="DU578" s="155"/>
      <c r="DV578" s="155"/>
      <c r="DW578" s="155"/>
      <c r="DX578" s="155"/>
    </row>
    <row r="579" spans="1:128" ht="18" customHeight="1">
      <c r="A579" s="155"/>
      <c r="B579" s="155"/>
      <c r="C579" s="155"/>
      <c r="D579" s="155"/>
      <c r="E579" s="155"/>
      <c r="F579" s="155"/>
      <c r="G579" s="155"/>
      <c r="H579" s="155"/>
      <c r="I579" s="270"/>
      <c r="J579" s="270"/>
      <c r="K579" s="270"/>
      <c r="L579" s="270"/>
      <c r="M579" s="270"/>
      <c r="N579" s="270"/>
      <c r="O579" s="155"/>
      <c r="P579" s="155"/>
      <c r="Q579" s="155"/>
      <c r="R579" s="155"/>
      <c r="S579" s="155"/>
      <c r="T579" s="155"/>
      <c r="U579" s="158"/>
      <c r="V579" s="155"/>
      <c r="W579" s="155"/>
      <c r="X579" s="263"/>
      <c r="Y579" s="155"/>
      <c r="Z579" s="155"/>
      <c r="AA579" s="263"/>
      <c r="AB579" s="263"/>
      <c r="AC579" s="155"/>
      <c r="AD579" s="155"/>
      <c r="AE579" s="155"/>
      <c r="AF579" s="155"/>
      <c r="AG579" s="155"/>
      <c r="AH579" s="155"/>
      <c r="AI579" s="155"/>
      <c r="AJ579" s="155"/>
      <c r="AK579" s="155"/>
      <c r="AL579" s="155"/>
      <c r="AM579" s="155"/>
      <c r="AN579" s="155"/>
      <c r="AO579" s="155"/>
      <c r="AP579" s="49"/>
      <c r="AQ579" s="49"/>
      <c r="AR579" s="155"/>
      <c r="AS579" s="155"/>
      <c r="AT579" s="155"/>
      <c r="AU579" s="155"/>
      <c r="AV579" s="155"/>
      <c r="AW579" s="155"/>
      <c r="AX579" s="155"/>
      <c r="AY579" s="155"/>
      <c r="AZ579" s="49"/>
      <c r="BA579" s="49"/>
      <c r="BB579" s="49"/>
      <c r="BC579" s="49"/>
      <c r="BD579" s="49"/>
      <c r="BE579" s="49"/>
      <c r="BF579" s="49"/>
      <c r="BG579" s="49"/>
      <c r="BH579" s="49"/>
      <c r="BI579" s="155"/>
      <c r="BJ579" s="155"/>
      <c r="BK579" s="155"/>
      <c r="BL579" s="49"/>
      <c r="BM579" s="49"/>
      <c r="BN579" s="49"/>
      <c r="BO579" s="49"/>
      <c r="BP579" s="49"/>
      <c r="BQ579" s="49"/>
      <c r="BR579" s="49"/>
      <c r="BS579" s="49"/>
      <c r="BT579" s="49"/>
      <c r="BU579" s="49"/>
      <c r="BV579" s="49"/>
      <c r="BW579" s="49"/>
      <c r="BX579" s="49"/>
      <c r="BY579" s="49"/>
      <c r="BZ579" s="49"/>
      <c r="CA579" s="49"/>
      <c r="CB579" s="49"/>
      <c r="CC579" s="49"/>
      <c r="CD579" s="49"/>
      <c r="CE579" s="49"/>
      <c r="CF579" s="49"/>
      <c r="CG579" s="49"/>
      <c r="CH579" s="49"/>
      <c r="CI579" s="49"/>
      <c r="CJ579" s="49"/>
      <c r="CK579" s="49"/>
      <c r="CL579" s="49"/>
      <c r="CM579" s="49"/>
      <c r="CN579" s="49"/>
      <c r="CO579" s="49"/>
      <c r="CP579" s="49"/>
      <c r="CQ579" s="49"/>
      <c r="CR579" s="49"/>
      <c r="CS579" s="49"/>
      <c r="CT579" s="155"/>
      <c r="CU579" s="155"/>
      <c r="CV579" s="155"/>
      <c r="CW579" s="155"/>
      <c r="CX579" s="155"/>
      <c r="CY579" s="155"/>
      <c r="CZ579" s="155"/>
      <c r="DA579" s="155"/>
      <c r="DB579" s="155"/>
      <c r="DC579" s="155"/>
      <c r="DD579" s="155"/>
      <c r="DE579" s="155"/>
      <c r="DF579" s="155"/>
      <c r="DG579" s="155"/>
      <c r="DH579" s="155"/>
      <c r="DI579" s="155"/>
      <c r="DJ579" s="155"/>
      <c r="DK579" s="155"/>
      <c r="DL579" s="155"/>
      <c r="DM579" s="155"/>
      <c r="DN579" s="155"/>
      <c r="DO579" s="155"/>
      <c r="DP579" s="155"/>
      <c r="DQ579" s="155"/>
      <c r="DR579" s="155"/>
      <c r="DS579" s="155"/>
      <c r="DT579" s="155"/>
      <c r="DU579" s="155"/>
      <c r="DV579" s="155"/>
      <c r="DW579" s="155"/>
      <c r="DX579" s="155"/>
    </row>
    <row r="580" spans="1:128" ht="18" customHeight="1">
      <c r="A580" s="155"/>
      <c r="B580" s="155"/>
      <c r="C580" s="155"/>
      <c r="D580" s="155"/>
      <c r="E580" s="155"/>
      <c r="F580" s="155"/>
      <c r="G580" s="155"/>
      <c r="H580" s="155"/>
      <c r="I580" s="270"/>
      <c r="J580" s="270"/>
      <c r="K580" s="270"/>
      <c r="L580" s="270"/>
      <c r="M580" s="270"/>
      <c r="N580" s="270"/>
      <c r="O580" s="155"/>
      <c r="P580" s="155"/>
      <c r="Q580" s="155"/>
      <c r="R580" s="155"/>
      <c r="S580" s="155"/>
      <c r="T580" s="155"/>
      <c r="U580" s="158"/>
      <c r="V580" s="155"/>
      <c r="W580" s="155"/>
      <c r="X580" s="263"/>
      <c r="Y580" s="155"/>
      <c r="Z580" s="155"/>
      <c r="AA580" s="263"/>
      <c r="AB580" s="263"/>
      <c r="AC580" s="155"/>
      <c r="AD580" s="155"/>
      <c r="AE580" s="155"/>
      <c r="AF580" s="155"/>
      <c r="AG580" s="155"/>
      <c r="AH580" s="155"/>
      <c r="AI580" s="155"/>
      <c r="AJ580" s="155"/>
      <c r="AK580" s="155"/>
      <c r="AL580" s="155"/>
      <c r="AM580" s="155"/>
      <c r="AN580" s="155"/>
      <c r="AO580" s="155"/>
      <c r="AP580" s="49"/>
      <c r="AQ580" s="49"/>
      <c r="AR580" s="155"/>
      <c r="AS580" s="155"/>
      <c r="AT580" s="155"/>
      <c r="AU580" s="155"/>
      <c r="AV580" s="155"/>
      <c r="AW580" s="155"/>
      <c r="AX580" s="155"/>
      <c r="AY580" s="155"/>
      <c r="AZ580" s="49"/>
      <c r="BA580" s="49"/>
      <c r="BB580" s="49"/>
      <c r="BC580" s="49"/>
      <c r="BD580" s="49"/>
      <c r="BE580" s="49"/>
      <c r="BF580" s="49"/>
      <c r="BG580" s="49"/>
      <c r="BH580" s="49"/>
      <c r="BI580" s="155"/>
      <c r="BJ580" s="155"/>
      <c r="BK580" s="155"/>
      <c r="BL580" s="49"/>
      <c r="BM580" s="49"/>
      <c r="BN580" s="49"/>
      <c r="BO580" s="49"/>
      <c r="BP580" s="49"/>
      <c r="BQ580" s="49"/>
      <c r="BR580" s="49"/>
      <c r="BS580" s="49"/>
      <c r="BT580" s="49"/>
      <c r="BU580" s="49"/>
      <c r="BV580" s="49"/>
      <c r="BW580" s="49"/>
      <c r="BX580" s="49"/>
      <c r="BY580" s="49"/>
      <c r="BZ580" s="49"/>
      <c r="CA580" s="49"/>
      <c r="CB580" s="49"/>
      <c r="CC580" s="49"/>
      <c r="CD580" s="49"/>
      <c r="CE580" s="49"/>
      <c r="CF580" s="49"/>
      <c r="CG580" s="49"/>
      <c r="CH580" s="49"/>
      <c r="CI580" s="49"/>
      <c r="CJ580" s="49"/>
      <c r="CK580" s="49"/>
      <c r="CL580" s="49"/>
      <c r="CM580" s="49"/>
      <c r="CN580" s="49"/>
      <c r="CO580" s="49"/>
      <c r="CP580" s="49"/>
      <c r="CQ580" s="49"/>
      <c r="CR580" s="49"/>
      <c r="CS580" s="49"/>
      <c r="CT580" s="155"/>
      <c r="CU580" s="155"/>
      <c r="CV580" s="155"/>
      <c r="CW580" s="155"/>
      <c r="CX580" s="155"/>
      <c r="CY580" s="155"/>
      <c r="CZ580" s="155"/>
      <c r="DA580" s="155"/>
      <c r="DB580" s="155"/>
      <c r="DC580" s="155"/>
      <c r="DD580" s="155"/>
      <c r="DE580" s="155"/>
      <c r="DF580" s="155"/>
      <c r="DG580" s="155"/>
      <c r="DH580" s="155"/>
      <c r="DI580" s="155"/>
      <c r="DJ580" s="155"/>
      <c r="DK580" s="155"/>
      <c r="DL580" s="155"/>
      <c r="DM580" s="155"/>
      <c r="DN580" s="155"/>
      <c r="DO580" s="155"/>
      <c r="DP580" s="155"/>
      <c r="DQ580" s="155"/>
      <c r="DR580" s="155"/>
      <c r="DS580" s="155"/>
      <c r="DT580" s="155"/>
      <c r="DU580" s="155"/>
      <c r="DV580" s="155"/>
      <c r="DW580" s="155"/>
      <c r="DX580" s="155"/>
    </row>
    <row r="581" spans="1:128" ht="18" customHeight="1">
      <c r="A581" s="155"/>
      <c r="B581" s="155"/>
      <c r="C581" s="155"/>
      <c r="D581" s="155"/>
      <c r="E581" s="155"/>
      <c r="F581" s="155"/>
      <c r="G581" s="155"/>
      <c r="H581" s="155"/>
      <c r="I581" s="270"/>
      <c r="J581" s="270"/>
      <c r="K581" s="270"/>
      <c r="L581" s="270"/>
      <c r="M581" s="270"/>
      <c r="N581" s="270"/>
      <c r="O581" s="155"/>
      <c r="P581" s="155"/>
      <c r="Q581" s="155"/>
      <c r="R581" s="155"/>
      <c r="S581" s="155"/>
      <c r="T581" s="155"/>
      <c r="U581" s="158"/>
      <c r="V581" s="155"/>
      <c r="W581" s="155"/>
      <c r="X581" s="263"/>
      <c r="Y581" s="155"/>
      <c r="Z581" s="155"/>
      <c r="AA581" s="263"/>
      <c r="AB581" s="263"/>
      <c r="AC581" s="155"/>
      <c r="AD581" s="155"/>
      <c r="AE581" s="155"/>
      <c r="AF581" s="155"/>
      <c r="AG581" s="155"/>
      <c r="AH581" s="155"/>
      <c r="AI581" s="155"/>
      <c r="AJ581" s="155"/>
      <c r="AK581" s="155"/>
      <c r="AL581" s="155"/>
      <c r="AM581" s="155"/>
      <c r="AN581" s="155"/>
      <c r="AO581" s="155"/>
      <c r="AP581" s="49"/>
      <c r="AQ581" s="49"/>
      <c r="AR581" s="155"/>
      <c r="AS581" s="155"/>
      <c r="AT581" s="155"/>
      <c r="AU581" s="155"/>
      <c r="AV581" s="155"/>
      <c r="AW581" s="155"/>
      <c r="AX581" s="155"/>
      <c r="AY581" s="155"/>
      <c r="AZ581" s="49"/>
      <c r="BA581" s="49"/>
      <c r="BB581" s="49"/>
      <c r="BC581" s="49"/>
      <c r="BD581" s="49"/>
      <c r="BE581" s="49"/>
      <c r="BF581" s="49"/>
      <c r="BG581" s="49"/>
      <c r="BH581" s="49"/>
      <c r="BI581" s="155"/>
      <c r="BJ581" s="155"/>
      <c r="BK581" s="155"/>
      <c r="BL581" s="49"/>
      <c r="BM581" s="49"/>
      <c r="BN581" s="49"/>
      <c r="BO581" s="49"/>
      <c r="BP581" s="49"/>
      <c r="BQ581" s="49"/>
      <c r="BR581" s="49"/>
      <c r="BS581" s="49"/>
      <c r="BT581" s="49"/>
      <c r="BU581" s="49"/>
      <c r="BV581" s="49"/>
      <c r="BW581" s="49"/>
      <c r="BX581" s="49"/>
      <c r="BY581" s="49"/>
      <c r="BZ581" s="49"/>
      <c r="CA581" s="49"/>
      <c r="CB581" s="49"/>
      <c r="CC581" s="49"/>
      <c r="CD581" s="49"/>
      <c r="CE581" s="49"/>
      <c r="CF581" s="49"/>
      <c r="CG581" s="49"/>
      <c r="CH581" s="49"/>
      <c r="CI581" s="49"/>
      <c r="CJ581" s="49"/>
      <c r="CK581" s="49"/>
      <c r="CL581" s="49"/>
      <c r="CM581" s="49"/>
      <c r="CN581" s="49"/>
      <c r="CO581" s="49"/>
      <c r="CP581" s="49"/>
      <c r="CQ581" s="49"/>
      <c r="CR581" s="49"/>
      <c r="CS581" s="49"/>
      <c r="CT581" s="155"/>
      <c r="CU581" s="155"/>
      <c r="CV581" s="155"/>
      <c r="CW581" s="155"/>
      <c r="CX581" s="155"/>
      <c r="CY581" s="155"/>
      <c r="CZ581" s="155"/>
      <c r="DA581" s="155"/>
      <c r="DB581" s="155"/>
      <c r="DC581" s="155"/>
      <c r="DD581" s="155"/>
      <c r="DE581" s="155"/>
      <c r="DF581" s="155"/>
      <c r="DG581" s="155"/>
      <c r="DH581" s="155"/>
      <c r="DI581" s="155"/>
      <c r="DJ581" s="155"/>
      <c r="DK581" s="155"/>
      <c r="DL581" s="155"/>
      <c r="DM581" s="155"/>
      <c r="DN581" s="155"/>
      <c r="DO581" s="155"/>
      <c r="DP581" s="155"/>
      <c r="DQ581" s="155"/>
      <c r="DR581" s="155"/>
      <c r="DS581" s="155"/>
      <c r="DT581" s="155"/>
      <c r="DU581" s="155"/>
      <c r="DV581" s="155"/>
      <c r="DW581" s="155"/>
      <c r="DX581" s="155"/>
    </row>
    <row r="582" spans="1:128" ht="18" customHeight="1">
      <c r="A582" s="155"/>
      <c r="B582" s="155"/>
      <c r="C582" s="155"/>
      <c r="D582" s="155"/>
      <c r="E582" s="155"/>
      <c r="F582" s="155"/>
      <c r="G582" s="155"/>
      <c r="H582" s="155"/>
      <c r="I582" s="270"/>
      <c r="J582" s="270"/>
      <c r="K582" s="270"/>
      <c r="L582" s="270"/>
      <c r="M582" s="270"/>
      <c r="N582" s="270"/>
      <c r="O582" s="155"/>
      <c r="P582" s="155"/>
      <c r="Q582" s="155"/>
      <c r="R582" s="155"/>
      <c r="S582" s="155"/>
      <c r="T582" s="155"/>
      <c r="U582" s="158"/>
      <c r="V582" s="155"/>
      <c r="W582" s="155"/>
      <c r="X582" s="263"/>
      <c r="Y582" s="155"/>
      <c r="Z582" s="155"/>
      <c r="AA582" s="263"/>
      <c r="AB582" s="263"/>
      <c r="AC582" s="155"/>
      <c r="AD582" s="155"/>
      <c r="AE582" s="155"/>
      <c r="AF582" s="155"/>
      <c r="AG582" s="155"/>
      <c r="AH582" s="155"/>
      <c r="AI582" s="155"/>
      <c r="AJ582" s="155"/>
      <c r="AK582" s="155"/>
      <c r="AL582" s="155"/>
      <c r="AM582" s="155"/>
      <c r="AN582" s="155"/>
      <c r="AO582" s="155"/>
      <c r="AP582" s="49"/>
      <c r="AQ582" s="49"/>
      <c r="AR582" s="155"/>
      <c r="AS582" s="155"/>
      <c r="AT582" s="155"/>
      <c r="AU582" s="155"/>
      <c r="AV582" s="155"/>
      <c r="AW582" s="155"/>
      <c r="AX582" s="155"/>
      <c r="AY582" s="155"/>
      <c r="AZ582" s="49"/>
      <c r="BA582" s="49"/>
      <c r="BB582" s="49"/>
      <c r="BC582" s="49"/>
      <c r="BD582" s="49"/>
      <c r="BE582" s="49"/>
      <c r="BF582" s="49"/>
      <c r="BG582" s="49"/>
      <c r="BH582" s="49"/>
      <c r="BI582" s="155"/>
      <c r="BJ582" s="155"/>
      <c r="BK582" s="155"/>
      <c r="BL582" s="49"/>
      <c r="BM582" s="49"/>
      <c r="BN582" s="49"/>
      <c r="BO582" s="49"/>
      <c r="BP582" s="49"/>
      <c r="BQ582" s="49"/>
      <c r="BR582" s="49"/>
      <c r="BS582" s="49"/>
      <c r="BT582" s="49"/>
      <c r="BU582" s="49"/>
      <c r="BV582" s="49"/>
      <c r="BW582" s="49"/>
      <c r="BX582" s="49"/>
      <c r="BY582" s="49"/>
      <c r="BZ582" s="49"/>
      <c r="CA582" s="49"/>
      <c r="CB582" s="49"/>
      <c r="CC582" s="49"/>
      <c r="CD582" s="49"/>
      <c r="CE582" s="49"/>
      <c r="CF582" s="49"/>
      <c r="CG582" s="49"/>
      <c r="CH582" s="49"/>
      <c r="CI582" s="49"/>
      <c r="CJ582" s="49"/>
      <c r="CK582" s="49"/>
      <c r="CL582" s="49"/>
      <c r="CM582" s="49"/>
      <c r="CN582" s="49"/>
      <c r="CO582" s="49"/>
      <c r="CP582" s="49"/>
      <c r="CQ582" s="49"/>
      <c r="CR582" s="49"/>
      <c r="CS582" s="49"/>
      <c r="CT582" s="155"/>
      <c r="CU582" s="155"/>
      <c r="CV582" s="155"/>
      <c r="CW582" s="155"/>
      <c r="CX582" s="155"/>
      <c r="CY582" s="155"/>
      <c r="CZ582" s="155"/>
      <c r="DA582" s="155"/>
      <c r="DB582" s="155"/>
      <c r="DC582" s="155"/>
      <c r="DD582" s="155"/>
      <c r="DE582" s="155"/>
      <c r="DF582" s="155"/>
      <c r="DG582" s="155"/>
      <c r="DH582" s="155"/>
      <c r="DI582" s="155"/>
      <c r="DJ582" s="155"/>
      <c r="DK582" s="155"/>
      <c r="DL582" s="155"/>
      <c r="DM582" s="155"/>
      <c r="DN582" s="155"/>
      <c r="DO582" s="155"/>
      <c r="DP582" s="155"/>
      <c r="DQ582" s="155"/>
      <c r="DR582" s="155"/>
      <c r="DS582" s="155"/>
      <c r="DT582" s="155"/>
      <c r="DU582" s="155"/>
      <c r="DV582" s="155"/>
      <c r="DW582" s="155"/>
      <c r="DX582" s="155"/>
    </row>
    <row r="583" spans="1:128" ht="18" customHeight="1">
      <c r="A583" s="155"/>
      <c r="B583" s="155"/>
      <c r="C583" s="155"/>
      <c r="D583" s="155"/>
      <c r="E583" s="155"/>
      <c r="F583" s="155"/>
      <c r="G583" s="155"/>
      <c r="H583" s="155"/>
      <c r="I583" s="270"/>
      <c r="J583" s="270"/>
      <c r="K583" s="270"/>
      <c r="L583" s="270"/>
      <c r="M583" s="270"/>
      <c r="N583" s="270"/>
      <c r="O583" s="155"/>
      <c r="P583" s="155"/>
      <c r="Q583" s="155"/>
      <c r="R583" s="155"/>
      <c r="S583" s="155"/>
      <c r="T583" s="155"/>
      <c r="U583" s="158"/>
      <c r="V583" s="155"/>
      <c r="W583" s="155"/>
      <c r="X583" s="263"/>
      <c r="Y583" s="155"/>
      <c r="Z583" s="155"/>
      <c r="AA583" s="263"/>
      <c r="AB583" s="263"/>
      <c r="AC583" s="155"/>
      <c r="AD583" s="155"/>
      <c r="AE583" s="155"/>
      <c r="AF583" s="155"/>
      <c r="AG583" s="155"/>
      <c r="AH583" s="155"/>
      <c r="AI583" s="155"/>
      <c r="AJ583" s="155"/>
      <c r="AK583" s="155"/>
      <c r="AL583" s="155"/>
      <c r="AM583" s="155"/>
      <c r="AN583" s="155"/>
      <c r="AO583" s="155"/>
      <c r="AP583" s="49"/>
      <c r="AQ583" s="49"/>
      <c r="AR583" s="155"/>
      <c r="AS583" s="155"/>
      <c r="AT583" s="155"/>
      <c r="AU583" s="155"/>
      <c r="AV583" s="155"/>
      <c r="AW583" s="155"/>
      <c r="AX583" s="155"/>
      <c r="AY583" s="155"/>
      <c r="AZ583" s="49"/>
      <c r="BA583" s="49"/>
      <c r="BB583" s="49"/>
      <c r="BC583" s="49"/>
      <c r="BD583" s="49"/>
      <c r="BE583" s="49"/>
      <c r="BF583" s="49"/>
      <c r="BG583" s="49"/>
      <c r="BH583" s="49"/>
      <c r="BI583" s="155"/>
      <c r="BJ583" s="155"/>
      <c r="BK583" s="155"/>
      <c r="BL583" s="49"/>
      <c r="BM583" s="49"/>
      <c r="BN583" s="49"/>
      <c r="BO583" s="49"/>
      <c r="BP583" s="49"/>
      <c r="BQ583" s="49"/>
      <c r="BR583" s="49"/>
      <c r="BS583" s="49"/>
      <c r="BT583" s="49"/>
      <c r="BU583" s="49"/>
      <c r="BV583" s="49"/>
      <c r="BW583" s="49"/>
      <c r="BX583" s="49"/>
      <c r="BY583" s="49"/>
      <c r="BZ583" s="49"/>
      <c r="CA583" s="49"/>
      <c r="CB583" s="49"/>
      <c r="CC583" s="49"/>
      <c r="CD583" s="49"/>
      <c r="CE583" s="49"/>
      <c r="CF583" s="49"/>
      <c r="CG583" s="49"/>
      <c r="CH583" s="49"/>
      <c r="CI583" s="49"/>
      <c r="CJ583" s="49"/>
      <c r="CK583" s="49"/>
      <c r="CL583" s="49"/>
      <c r="CM583" s="49"/>
      <c r="CN583" s="49"/>
      <c r="CO583" s="49"/>
      <c r="CP583" s="49"/>
      <c r="CQ583" s="49"/>
      <c r="CR583" s="49"/>
      <c r="CS583" s="49"/>
      <c r="CT583" s="155"/>
      <c r="CU583" s="155"/>
      <c r="CV583" s="155"/>
      <c r="CW583" s="155"/>
      <c r="CX583" s="155"/>
      <c r="CY583" s="155"/>
      <c r="CZ583" s="155"/>
      <c r="DA583" s="155"/>
      <c r="DB583" s="155"/>
      <c r="DC583" s="155"/>
      <c r="DD583" s="155"/>
      <c r="DE583" s="155"/>
      <c r="DF583" s="155"/>
      <c r="DG583" s="155"/>
      <c r="DH583" s="155"/>
      <c r="DI583" s="155"/>
      <c r="DJ583" s="155"/>
      <c r="DK583" s="155"/>
      <c r="DL583" s="155"/>
      <c r="DM583" s="155"/>
      <c r="DN583" s="155"/>
      <c r="DO583" s="155"/>
      <c r="DP583" s="155"/>
      <c r="DQ583" s="155"/>
      <c r="DR583" s="155"/>
      <c r="DS583" s="155"/>
      <c r="DT583" s="155"/>
      <c r="DU583" s="155"/>
      <c r="DV583" s="155"/>
      <c r="DW583" s="155"/>
      <c r="DX583" s="155"/>
    </row>
    <row r="584" spans="1:128" ht="18" customHeight="1">
      <c r="A584" s="155"/>
      <c r="B584" s="155"/>
      <c r="C584" s="155"/>
      <c r="D584" s="155"/>
      <c r="E584" s="155"/>
      <c r="F584" s="155"/>
      <c r="G584" s="155"/>
      <c r="H584" s="155"/>
      <c r="I584" s="270"/>
      <c r="J584" s="270"/>
      <c r="K584" s="270"/>
      <c r="L584" s="270"/>
      <c r="M584" s="270"/>
      <c r="N584" s="270"/>
      <c r="O584" s="155"/>
      <c r="P584" s="155"/>
      <c r="Q584" s="155"/>
      <c r="R584" s="155"/>
      <c r="S584" s="155"/>
      <c r="T584" s="155"/>
      <c r="U584" s="158"/>
      <c r="V584" s="155"/>
      <c r="W584" s="155"/>
      <c r="X584" s="263"/>
      <c r="Y584" s="155"/>
      <c r="Z584" s="155"/>
      <c r="AA584" s="263"/>
      <c r="AB584" s="263"/>
      <c r="AC584" s="155"/>
      <c r="AD584" s="155"/>
      <c r="AE584" s="155"/>
      <c r="AF584" s="155"/>
      <c r="AG584" s="155"/>
      <c r="AH584" s="155"/>
      <c r="AI584" s="155"/>
      <c r="AJ584" s="155"/>
      <c r="AK584" s="155"/>
      <c r="AL584" s="155"/>
      <c r="AM584" s="155"/>
      <c r="AN584" s="155"/>
      <c r="AO584" s="155"/>
      <c r="AP584" s="49"/>
      <c r="AQ584" s="49"/>
      <c r="AR584" s="155"/>
      <c r="AS584" s="155"/>
      <c r="AT584" s="155"/>
      <c r="AU584" s="155"/>
      <c r="AV584" s="155"/>
      <c r="AW584" s="155"/>
      <c r="AX584" s="155"/>
      <c r="AY584" s="155"/>
      <c r="AZ584" s="49"/>
      <c r="BA584" s="49"/>
      <c r="BB584" s="49"/>
      <c r="BC584" s="49"/>
      <c r="BD584" s="49"/>
      <c r="BE584" s="49"/>
      <c r="BF584" s="49"/>
      <c r="BG584" s="49"/>
      <c r="BH584" s="49"/>
      <c r="BI584" s="155"/>
      <c r="BJ584" s="155"/>
      <c r="BK584" s="155"/>
      <c r="BL584" s="49"/>
      <c r="BM584" s="49"/>
      <c r="BN584" s="49"/>
      <c r="BO584" s="49"/>
      <c r="BP584" s="49"/>
      <c r="BQ584" s="49"/>
      <c r="BR584" s="49"/>
      <c r="BS584" s="49"/>
      <c r="BT584" s="49"/>
      <c r="BU584" s="49"/>
      <c r="BV584" s="49"/>
      <c r="BW584" s="49"/>
      <c r="BX584" s="49"/>
      <c r="BY584" s="49"/>
      <c r="BZ584" s="49"/>
      <c r="CA584" s="49"/>
      <c r="CB584" s="49"/>
      <c r="CC584" s="49"/>
      <c r="CD584" s="49"/>
      <c r="CE584" s="49"/>
      <c r="CF584" s="49"/>
      <c r="CG584" s="49"/>
      <c r="CH584" s="49"/>
      <c r="CI584" s="49"/>
      <c r="CJ584" s="49"/>
      <c r="CK584" s="49"/>
      <c r="CL584" s="49"/>
      <c r="CM584" s="49"/>
      <c r="CN584" s="49"/>
      <c r="CO584" s="49"/>
      <c r="CP584" s="49"/>
      <c r="CQ584" s="49"/>
      <c r="CR584" s="49"/>
      <c r="CS584" s="49"/>
      <c r="CT584" s="155"/>
      <c r="CU584" s="155"/>
      <c r="CV584" s="155"/>
      <c r="CW584" s="155"/>
      <c r="CX584" s="155"/>
      <c r="CY584" s="155"/>
      <c r="CZ584" s="155"/>
      <c r="DA584" s="155"/>
      <c r="DB584" s="155"/>
      <c r="DC584" s="155"/>
      <c r="DD584" s="155"/>
      <c r="DE584" s="155"/>
      <c r="DF584" s="155"/>
      <c r="DG584" s="155"/>
      <c r="DH584" s="155"/>
      <c r="DI584" s="155"/>
      <c r="DJ584" s="155"/>
      <c r="DK584" s="155"/>
      <c r="DL584" s="155"/>
      <c r="DM584" s="155"/>
      <c r="DN584" s="155"/>
      <c r="DO584" s="155"/>
      <c r="DP584" s="155"/>
      <c r="DQ584" s="155"/>
      <c r="DR584" s="155"/>
      <c r="DS584" s="155"/>
      <c r="DT584" s="155"/>
      <c r="DU584" s="155"/>
      <c r="DV584" s="155"/>
      <c r="DW584" s="155"/>
      <c r="DX584" s="155"/>
    </row>
    <row r="585" spans="1:128" ht="18" customHeight="1">
      <c r="A585" s="155"/>
      <c r="B585" s="155"/>
      <c r="C585" s="155"/>
      <c r="D585" s="155"/>
      <c r="E585" s="155"/>
      <c r="F585" s="155"/>
      <c r="G585" s="155"/>
      <c r="H585" s="155"/>
      <c r="I585" s="270"/>
      <c r="J585" s="270"/>
      <c r="K585" s="270"/>
      <c r="L585" s="270"/>
      <c r="M585" s="270"/>
      <c r="N585" s="270"/>
      <c r="O585" s="155"/>
      <c r="P585" s="155"/>
      <c r="Q585" s="155"/>
      <c r="R585" s="155"/>
      <c r="S585" s="155"/>
      <c r="T585" s="155"/>
      <c r="U585" s="158"/>
      <c r="V585" s="155"/>
      <c r="W585" s="155"/>
      <c r="X585" s="263"/>
      <c r="Y585" s="155"/>
      <c r="Z585" s="155"/>
      <c r="AA585" s="263"/>
      <c r="AB585" s="263"/>
      <c r="AC585" s="155"/>
      <c r="AD585" s="155"/>
      <c r="AE585" s="155"/>
      <c r="AF585" s="155"/>
      <c r="AG585" s="155"/>
      <c r="AH585" s="155"/>
      <c r="AI585" s="155"/>
      <c r="AJ585" s="155"/>
      <c r="AK585" s="155"/>
      <c r="AL585" s="155"/>
      <c r="AM585" s="155"/>
      <c r="AN585" s="155"/>
      <c r="AO585" s="155"/>
      <c r="AP585" s="49"/>
      <c r="AQ585" s="49"/>
      <c r="AR585" s="155"/>
      <c r="AS585" s="155"/>
      <c r="AT585" s="155"/>
      <c r="AU585" s="155"/>
      <c r="AV585" s="155"/>
      <c r="AW585" s="155"/>
      <c r="AX585" s="155"/>
      <c r="AY585" s="155"/>
      <c r="AZ585" s="49"/>
      <c r="BA585" s="49"/>
      <c r="BB585" s="49"/>
      <c r="BC585" s="49"/>
      <c r="BD585" s="49"/>
      <c r="BE585" s="49"/>
      <c r="BF585" s="49"/>
      <c r="BG585" s="49"/>
      <c r="BH585" s="49"/>
      <c r="BI585" s="155"/>
      <c r="BJ585" s="155"/>
      <c r="BK585" s="155"/>
      <c r="BL585" s="49"/>
      <c r="BM585" s="49"/>
      <c r="BN585" s="49"/>
      <c r="BO585" s="49"/>
      <c r="BP585" s="49"/>
      <c r="BQ585" s="49"/>
      <c r="BR585" s="49"/>
      <c r="BS585" s="49"/>
      <c r="BT585" s="49"/>
      <c r="BU585" s="49"/>
      <c r="BV585" s="49"/>
      <c r="BW585" s="49"/>
      <c r="BX585" s="49"/>
      <c r="BY585" s="49"/>
      <c r="BZ585" s="49"/>
      <c r="CA585" s="49"/>
      <c r="CB585" s="49"/>
      <c r="CC585" s="49"/>
      <c r="CD585" s="49"/>
      <c r="CE585" s="49"/>
      <c r="CF585" s="49"/>
      <c r="CG585" s="49"/>
      <c r="CH585" s="49"/>
      <c r="CI585" s="49"/>
      <c r="CJ585" s="49"/>
      <c r="CK585" s="49"/>
      <c r="CL585" s="49"/>
      <c r="CM585" s="49"/>
      <c r="CN585" s="49"/>
      <c r="CO585" s="49"/>
      <c r="CP585" s="49"/>
      <c r="CQ585" s="49"/>
      <c r="CR585" s="49"/>
      <c r="CS585" s="49"/>
      <c r="CT585" s="155"/>
      <c r="CU585" s="155"/>
      <c r="CV585" s="155"/>
      <c r="CW585" s="155"/>
      <c r="CX585" s="155"/>
      <c r="CY585" s="155"/>
      <c r="CZ585" s="155"/>
      <c r="DA585" s="155"/>
      <c r="DB585" s="155"/>
      <c r="DC585" s="155"/>
      <c r="DD585" s="155"/>
      <c r="DE585" s="155"/>
      <c r="DF585" s="155"/>
      <c r="DG585" s="155"/>
      <c r="DH585" s="155"/>
      <c r="DI585" s="155"/>
      <c r="DJ585" s="155"/>
      <c r="DK585" s="155"/>
      <c r="DL585" s="155"/>
      <c r="DM585" s="155"/>
      <c r="DN585" s="155"/>
      <c r="DO585" s="155"/>
      <c r="DP585" s="155"/>
      <c r="DQ585" s="155"/>
      <c r="DR585" s="155"/>
      <c r="DS585" s="155"/>
      <c r="DT585" s="155"/>
      <c r="DU585" s="155"/>
      <c r="DV585" s="155"/>
      <c r="DW585" s="155"/>
      <c r="DX585" s="155"/>
    </row>
    <row r="586" spans="1:128" ht="18" customHeight="1">
      <c r="A586" s="155"/>
      <c r="B586" s="155"/>
      <c r="C586" s="155"/>
      <c r="D586" s="155"/>
      <c r="E586" s="155"/>
      <c r="F586" s="155"/>
      <c r="G586" s="155"/>
      <c r="H586" s="155"/>
      <c r="I586" s="270"/>
      <c r="J586" s="270"/>
      <c r="K586" s="270"/>
      <c r="L586" s="270"/>
      <c r="M586" s="270"/>
      <c r="N586" s="270"/>
      <c r="O586" s="155"/>
      <c r="P586" s="155"/>
      <c r="Q586" s="155"/>
      <c r="R586" s="155"/>
      <c r="S586" s="155"/>
      <c r="T586" s="155"/>
      <c r="U586" s="158"/>
      <c r="V586" s="155"/>
      <c r="W586" s="155"/>
      <c r="X586" s="263"/>
      <c r="Y586" s="155"/>
      <c r="Z586" s="155"/>
      <c r="AA586" s="263"/>
      <c r="AB586" s="263"/>
      <c r="AC586" s="155"/>
      <c r="AD586" s="155"/>
      <c r="AE586" s="155"/>
      <c r="AF586" s="155"/>
      <c r="AG586" s="155"/>
      <c r="AH586" s="155"/>
      <c r="AI586" s="155"/>
      <c r="AJ586" s="155"/>
      <c r="AK586" s="155"/>
      <c r="AL586" s="155"/>
      <c r="AM586" s="155"/>
      <c r="AN586" s="155"/>
      <c r="AO586" s="155"/>
      <c r="AP586" s="49"/>
      <c r="AQ586" s="49"/>
      <c r="AR586" s="155"/>
      <c r="AS586" s="155"/>
      <c r="AT586" s="155"/>
      <c r="AU586" s="155"/>
      <c r="AV586" s="155"/>
      <c r="AW586" s="155"/>
      <c r="AX586" s="155"/>
      <c r="AY586" s="155"/>
      <c r="AZ586" s="49"/>
      <c r="BA586" s="49"/>
      <c r="BB586" s="49"/>
      <c r="BC586" s="49"/>
      <c r="BD586" s="49"/>
      <c r="BE586" s="49"/>
      <c r="BF586" s="49"/>
      <c r="BG586" s="49"/>
      <c r="BH586" s="49"/>
      <c r="BI586" s="155"/>
      <c r="BJ586" s="155"/>
      <c r="BK586" s="155"/>
      <c r="BL586" s="49"/>
      <c r="BM586" s="49"/>
      <c r="BN586" s="49"/>
      <c r="BO586" s="49"/>
      <c r="BP586" s="49"/>
      <c r="BQ586" s="49"/>
      <c r="BR586" s="49"/>
      <c r="BS586" s="49"/>
      <c r="BT586" s="49"/>
      <c r="BU586" s="49"/>
      <c r="BV586" s="49"/>
      <c r="BW586" s="49"/>
      <c r="BX586" s="49"/>
      <c r="BY586" s="49"/>
      <c r="BZ586" s="49"/>
      <c r="CA586" s="49"/>
      <c r="CB586" s="49"/>
      <c r="CC586" s="49"/>
      <c r="CD586" s="49"/>
      <c r="CE586" s="49"/>
      <c r="CF586" s="49"/>
      <c r="CG586" s="49"/>
      <c r="CH586" s="49"/>
      <c r="CI586" s="49"/>
      <c r="CJ586" s="49"/>
      <c r="CK586" s="49"/>
      <c r="CL586" s="49"/>
      <c r="CM586" s="49"/>
      <c r="CN586" s="49"/>
      <c r="CO586" s="49"/>
      <c r="CP586" s="49"/>
      <c r="CQ586" s="49"/>
      <c r="CR586" s="49"/>
      <c r="CS586" s="49"/>
      <c r="CT586" s="155"/>
      <c r="CU586" s="155"/>
      <c r="CV586" s="155"/>
      <c r="CW586" s="155"/>
      <c r="CX586" s="155"/>
      <c r="CY586" s="155"/>
      <c r="CZ586" s="155"/>
      <c r="DA586" s="155"/>
      <c r="DB586" s="155"/>
      <c r="DC586" s="155"/>
      <c r="DD586" s="155"/>
      <c r="DE586" s="155"/>
      <c r="DF586" s="155"/>
      <c r="DG586" s="155"/>
      <c r="DH586" s="155"/>
      <c r="DI586" s="155"/>
      <c r="DJ586" s="155"/>
      <c r="DK586" s="155"/>
      <c r="DL586" s="155"/>
      <c r="DM586" s="155"/>
      <c r="DN586" s="155"/>
      <c r="DO586" s="155"/>
      <c r="DP586" s="155"/>
      <c r="DQ586" s="155"/>
      <c r="DR586" s="155"/>
      <c r="DS586" s="155"/>
      <c r="DT586" s="155"/>
      <c r="DU586" s="155"/>
      <c r="DV586" s="155"/>
      <c r="DW586" s="155"/>
      <c r="DX586" s="155"/>
    </row>
    <row r="587" spans="1:128" ht="18" customHeight="1">
      <c r="A587" s="155"/>
      <c r="B587" s="155"/>
      <c r="C587" s="155"/>
      <c r="D587" s="155"/>
      <c r="E587" s="155"/>
      <c r="F587" s="155"/>
      <c r="G587" s="155"/>
      <c r="H587" s="155"/>
      <c r="I587" s="270"/>
      <c r="J587" s="270"/>
      <c r="K587" s="270"/>
      <c r="L587" s="270"/>
      <c r="M587" s="270"/>
      <c r="N587" s="270"/>
      <c r="O587" s="155"/>
      <c r="P587" s="155"/>
      <c r="Q587" s="155"/>
      <c r="R587" s="155"/>
      <c r="S587" s="155"/>
      <c r="T587" s="155"/>
      <c r="U587" s="158"/>
      <c r="V587" s="155"/>
      <c r="W587" s="155"/>
      <c r="X587" s="263"/>
      <c r="Y587" s="155"/>
      <c r="Z587" s="155"/>
      <c r="AA587" s="263"/>
      <c r="AB587" s="263"/>
      <c r="AC587" s="155"/>
      <c r="AD587" s="155"/>
      <c r="AE587" s="155"/>
      <c r="AF587" s="155"/>
      <c r="AG587" s="155"/>
      <c r="AH587" s="155"/>
      <c r="AI587" s="155"/>
      <c r="AJ587" s="155"/>
      <c r="AK587" s="155"/>
      <c r="AL587" s="155"/>
      <c r="AM587" s="155"/>
      <c r="AN587" s="155"/>
      <c r="AO587" s="155"/>
      <c r="AP587" s="49"/>
      <c r="AQ587" s="49"/>
      <c r="AR587" s="155"/>
      <c r="AS587" s="155"/>
      <c r="AT587" s="155"/>
      <c r="AU587" s="155"/>
      <c r="AV587" s="155"/>
      <c r="AW587" s="155"/>
      <c r="AX587" s="155"/>
      <c r="AY587" s="155"/>
      <c r="AZ587" s="49"/>
      <c r="BA587" s="49"/>
      <c r="BB587" s="49"/>
      <c r="BC587" s="49"/>
      <c r="BD587" s="49"/>
      <c r="BE587" s="49"/>
      <c r="BF587" s="49"/>
      <c r="BG587" s="49"/>
      <c r="BH587" s="49"/>
      <c r="BI587" s="155"/>
      <c r="BJ587" s="155"/>
      <c r="BK587" s="155"/>
      <c r="BL587" s="49"/>
      <c r="BM587" s="49"/>
      <c r="BN587" s="49"/>
      <c r="BO587" s="49"/>
      <c r="BP587" s="49"/>
      <c r="BQ587" s="49"/>
      <c r="BR587" s="49"/>
      <c r="BS587" s="49"/>
      <c r="BT587" s="49"/>
      <c r="BU587" s="49"/>
      <c r="BV587" s="49"/>
      <c r="BW587" s="49"/>
      <c r="BX587" s="49"/>
      <c r="BY587" s="49"/>
      <c r="BZ587" s="49"/>
      <c r="CA587" s="49"/>
      <c r="CB587" s="49"/>
      <c r="CC587" s="49"/>
      <c r="CD587" s="49"/>
      <c r="CE587" s="49"/>
      <c r="CF587" s="49"/>
      <c r="CG587" s="49"/>
      <c r="CH587" s="49"/>
      <c r="CI587" s="49"/>
      <c r="CJ587" s="49"/>
      <c r="CK587" s="49"/>
      <c r="CL587" s="49"/>
      <c r="CM587" s="49"/>
      <c r="CN587" s="49"/>
      <c r="CO587" s="49"/>
      <c r="CP587" s="49"/>
      <c r="CQ587" s="49"/>
      <c r="CR587" s="49"/>
      <c r="CS587" s="49"/>
      <c r="CT587" s="155"/>
      <c r="CU587" s="155"/>
      <c r="CV587" s="155"/>
      <c r="CW587" s="155"/>
      <c r="CX587" s="155"/>
      <c r="CY587" s="155"/>
      <c r="CZ587" s="155"/>
      <c r="DA587" s="155"/>
      <c r="DB587" s="155"/>
      <c r="DC587" s="155"/>
      <c r="DD587" s="155"/>
      <c r="DE587" s="155"/>
      <c r="DF587" s="155"/>
      <c r="DG587" s="155"/>
      <c r="DH587" s="155"/>
      <c r="DI587" s="155"/>
      <c r="DJ587" s="155"/>
      <c r="DK587" s="155"/>
      <c r="DL587" s="155"/>
      <c r="DM587" s="155"/>
      <c r="DN587" s="155"/>
      <c r="DO587" s="155"/>
      <c r="DP587" s="155"/>
      <c r="DQ587" s="155"/>
      <c r="DR587" s="155"/>
      <c r="DS587" s="155"/>
      <c r="DT587" s="155"/>
      <c r="DU587" s="155"/>
      <c r="DV587" s="155"/>
      <c r="DW587" s="155"/>
      <c r="DX587" s="155"/>
    </row>
    <row r="588" spans="1:128" ht="18" customHeight="1">
      <c r="A588" s="155"/>
      <c r="B588" s="155"/>
      <c r="C588" s="155"/>
      <c r="D588" s="155"/>
      <c r="E588" s="155"/>
      <c r="F588" s="155"/>
      <c r="G588" s="155"/>
      <c r="H588" s="155"/>
      <c r="I588" s="270"/>
      <c r="J588" s="270"/>
      <c r="K588" s="270"/>
      <c r="L588" s="270"/>
      <c r="M588" s="270"/>
      <c r="N588" s="270"/>
      <c r="O588" s="155"/>
      <c r="P588" s="155"/>
      <c r="Q588" s="155"/>
      <c r="R588" s="155"/>
      <c r="S588" s="155"/>
      <c r="T588" s="155"/>
      <c r="U588" s="158"/>
      <c r="V588" s="155"/>
      <c r="W588" s="155"/>
      <c r="X588" s="263"/>
      <c r="Y588" s="155"/>
      <c r="Z588" s="155"/>
      <c r="AA588" s="263"/>
      <c r="AB588" s="263"/>
      <c r="AC588" s="155"/>
      <c r="AD588" s="155"/>
      <c r="AE588" s="155"/>
      <c r="AF588" s="155"/>
      <c r="AG588" s="155"/>
      <c r="AH588" s="155"/>
      <c r="AI588" s="155"/>
      <c r="AJ588" s="155"/>
      <c r="AK588" s="155"/>
      <c r="AL588" s="155"/>
      <c r="AM588" s="155"/>
      <c r="AN588" s="155"/>
      <c r="AO588" s="155"/>
      <c r="AP588" s="49"/>
      <c r="AQ588" s="49"/>
      <c r="AR588" s="155"/>
      <c r="AS588" s="155"/>
      <c r="AT588" s="155"/>
      <c r="AU588" s="155"/>
      <c r="AV588" s="155"/>
      <c r="AW588" s="155"/>
      <c r="AX588" s="155"/>
      <c r="AY588" s="155"/>
      <c r="AZ588" s="49"/>
      <c r="BA588" s="49"/>
      <c r="BB588" s="49"/>
      <c r="BC588" s="49"/>
      <c r="BD588" s="49"/>
      <c r="BE588" s="49"/>
      <c r="BF588" s="49"/>
      <c r="BG588" s="49"/>
      <c r="BH588" s="49"/>
      <c r="BI588" s="155"/>
      <c r="BJ588" s="155"/>
      <c r="BK588" s="155"/>
      <c r="BL588" s="49"/>
      <c r="BM588" s="49"/>
      <c r="BN588" s="49"/>
      <c r="BO588" s="49"/>
      <c r="BP588" s="49"/>
      <c r="BQ588" s="49"/>
      <c r="BR588" s="49"/>
      <c r="BS588" s="49"/>
      <c r="BT588" s="49"/>
      <c r="BU588" s="49"/>
      <c r="BV588" s="49"/>
      <c r="BW588" s="49"/>
      <c r="BX588" s="49"/>
      <c r="BY588" s="49"/>
      <c r="BZ588" s="49"/>
      <c r="CA588" s="49"/>
      <c r="CB588" s="49"/>
      <c r="CC588" s="49"/>
      <c r="CD588" s="49"/>
      <c r="CE588" s="49"/>
      <c r="CF588" s="49"/>
      <c r="CG588" s="49"/>
      <c r="CH588" s="49"/>
      <c r="CI588" s="49"/>
      <c r="CJ588" s="49"/>
      <c r="CK588" s="49"/>
      <c r="CL588" s="49"/>
      <c r="CM588" s="49"/>
      <c r="CN588" s="49"/>
      <c r="CO588" s="49"/>
      <c r="CP588" s="49"/>
      <c r="CQ588" s="49"/>
      <c r="CR588" s="49"/>
      <c r="CS588" s="49"/>
      <c r="CT588" s="155"/>
      <c r="CU588" s="155"/>
      <c r="CV588" s="155"/>
      <c r="CW588" s="155"/>
      <c r="CX588" s="155"/>
      <c r="CY588" s="155"/>
      <c r="CZ588" s="155"/>
      <c r="DA588" s="155"/>
      <c r="DB588" s="155"/>
      <c r="DC588" s="155"/>
      <c r="DD588" s="155"/>
      <c r="DE588" s="155"/>
      <c r="DF588" s="155"/>
      <c r="DG588" s="155"/>
      <c r="DH588" s="155"/>
      <c r="DI588" s="155"/>
      <c r="DJ588" s="155"/>
      <c r="DK588" s="155"/>
      <c r="DL588" s="155"/>
      <c r="DM588" s="155"/>
      <c r="DN588" s="155"/>
      <c r="DO588" s="155"/>
      <c r="DP588" s="155"/>
      <c r="DQ588" s="155"/>
      <c r="DR588" s="155"/>
      <c r="DS588" s="155"/>
      <c r="DT588" s="155"/>
      <c r="DU588" s="155"/>
      <c r="DV588" s="155"/>
      <c r="DW588" s="155"/>
      <c r="DX588" s="155"/>
    </row>
    <row r="589" spans="1:128" ht="18" customHeight="1">
      <c r="A589" s="155"/>
      <c r="B589" s="155"/>
      <c r="C589" s="155"/>
      <c r="D589" s="155"/>
      <c r="E589" s="155"/>
      <c r="F589" s="155"/>
      <c r="G589" s="155"/>
      <c r="H589" s="155"/>
      <c r="I589" s="270"/>
      <c r="J589" s="270"/>
      <c r="K589" s="270"/>
      <c r="L589" s="270"/>
      <c r="M589" s="270"/>
      <c r="N589" s="270"/>
      <c r="O589" s="155"/>
      <c r="P589" s="155"/>
      <c r="Q589" s="155"/>
      <c r="R589" s="155"/>
      <c r="S589" s="155"/>
      <c r="T589" s="155"/>
      <c r="U589" s="158"/>
      <c r="V589" s="155"/>
      <c r="W589" s="155"/>
      <c r="X589" s="263"/>
      <c r="Y589" s="155"/>
      <c r="Z589" s="155"/>
      <c r="AA589" s="263"/>
      <c r="AB589" s="263"/>
      <c r="AC589" s="155"/>
      <c r="AD589" s="155"/>
      <c r="AE589" s="155"/>
      <c r="AF589" s="155"/>
      <c r="AG589" s="155"/>
      <c r="AH589" s="155"/>
      <c r="AI589" s="155"/>
      <c r="AJ589" s="155"/>
      <c r="AK589" s="155"/>
      <c r="AL589" s="155"/>
      <c r="AM589" s="155"/>
      <c r="AN589" s="155"/>
      <c r="AO589" s="155"/>
      <c r="AP589" s="49"/>
      <c r="AQ589" s="49"/>
      <c r="AR589" s="155"/>
      <c r="AS589" s="155"/>
      <c r="AT589" s="155"/>
      <c r="AU589" s="155"/>
      <c r="AV589" s="155"/>
      <c r="AW589" s="155"/>
      <c r="AX589" s="155"/>
      <c r="AY589" s="155"/>
      <c r="AZ589" s="49"/>
      <c r="BA589" s="49"/>
      <c r="BB589" s="49"/>
      <c r="BC589" s="49"/>
      <c r="BD589" s="49"/>
      <c r="BE589" s="49"/>
      <c r="BF589" s="49"/>
      <c r="BG589" s="49"/>
      <c r="BH589" s="49"/>
      <c r="BI589" s="155"/>
      <c r="BJ589" s="155"/>
      <c r="BK589" s="155"/>
      <c r="BL589" s="49"/>
      <c r="BM589" s="49"/>
      <c r="BN589" s="49"/>
      <c r="BO589" s="49"/>
      <c r="BP589" s="49"/>
      <c r="BQ589" s="49"/>
      <c r="BR589" s="49"/>
      <c r="BS589" s="49"/>
      <c r="BT589" s="49"/>
      <c r="BU589" s="49"/>
      <c r="BV589" s="49"/>
      <c r="BW589" s="49"/>
      <c r="BX589" s="49"/>
      <c r="BY589" s="49"/>
      <c r="BZ589" s="49"/>
      <c r="CA589" s="49"/>
      <c r="CB589" s="49"/>
      <c r="CC589" s="49"/>
      <c r="CD589" s="49"/>
      <c r="CE589" s="49"/>
      <c r="CF589" s="49"/>
      <c r="CG589" s="49"/>
      <c r="CH589" s="49"/>
      <c r="CI589" s="49"/>
      <c r="CJ589" s="49"/>
      <c r="CK589" s="49"/>
      <c r="CL589" s="49"/>
      <c r="CM589" s="49"/>
      <c r="CN589" s="49"/>
      <c r="CO589" s="49"/>
      <c r="CP589" s="49"/>
      <c r="CQ589" s="49"/>
      <c r="CR589" s="49"/>
      <c r="CS589" s="49"/>
      <c r="CT589" s="155"/>
      <c r="CU589" s="155"/>
      <c r="CV589" s="155"/>
      <c r="CW589" s="155"/>
      <c r="CX589" s="155"/>
      <c r="CY589" s="155"/>
      <c r="CZ589" s="155"/>
      <c r="DA589" s="155"/>
      <c r="DB589" s="155"/>
      <c r="DC589" s="155"/>
      <c r="DD589" s="155"/>
      <c r="DE589" s="155"/>
      <c r="DF589" s="155"/>
      <c r="DG589" s="155"/>
      <c r="DH589" s="155"/>
      <c r="DI589" s="155"/>
      <c r="DJ589" s="155"/>
      <c r="DK589" s="155"/>
      <c r="DL589" s="155"/>
      <c r="DM589" s="155"/>
      <c r="DN589" s="155"/>
      <c r="DO589" s="155"/>
      <c r="DP589" s="155"/>
      <c r="DQ589" s="155"/>
      <c r="DR589" s="155"/>
      <c r="DS589" s="155"/>
      <c r="DT589" s="155"/>
      <c r="DU589" s="155"/>
      <c r="DV589" s="155"/>
      <c r="DW589" s="155"/>
      <c r="DX589" s="155"/>
    </row>
    <row r="590" spans="1:128" ht="18" customHeight="1">
      <c r="A590" s="155"/>
      <c r="B590" s="155"/>
      <c r="C590" s="155"/>
      <c r="D590" s="155"/>
      <c r="E590" s="155"/>
      <c r="F590" s="155"/>
      <c r="G590" s="155"/>
      <c r="H590" s="155"/>
      <c r="I590" s="270"/>
      <c r="J590" s="270"/>
      <c r="K590" s="270"/>
      <c r="L590" s="270"/>
      <c r="M590" s="270"/>
      <c r="N590" s="270"/>
      <c r="O590" s="155"/>
      <c r="P590" s="155"/>
      <c r="Q590" s="155"/>
      <c r="R590" s="155"/>
      <c r="S590" s="155"/>
      <c r="T590" s="155"/>
      <c r="U590" s="158"/>
      <c r="V590" s="155"/>
      <c r="W590" s="155"/>
      <c r="X590" s="263"/>
      <c r="Y590" s="155"/>
      <c r="Z590" s="155"/>
      <c r="AA590" s="263"/>
      <c r="AB590" s="263"/>
      <c r="AC590" s="155"/>
      <c r="AD590" s="155"/>
      <c r="AE590" s="155"/>
      <c r="AF590" s="155"/>
      <c r="AG590" s="155"/>
      <c r="AH590" s="155"/>
      <c r="AI590" s="155"/>
      <c r="AJ590" s="155"/>
      <c r="AK590" s="155"/>
      <c r="AL590" s="155"/>
      <c r="AM590" s="155"/>
      <c r="AN590" s="155"/>
      <c r="AO590" s="155"/>
      <c r="AP590" s="49"/>
      <c r="AQ590" s="49"/>
      <c r="AR590" s="155"/>
      <c r="AS590" s="155"/>
      <c r="AT590" s="155"/>
      <c r="AU590" s="155"/>
      <c r="AV590" s="155"/>
      <c r="AW590" s="155"/>
      <c r="AX590" s="155"/>
      <c r="AY590" s="155"/>
      <c r="AZ590" s="49"/>
      <c r="BA590" s="49"/>
      <c r="BB590" s="49"/>
      <c r="BC590" s="49"/>
      <c r="BD590" s="49"/>
      <c r="BE590" s="49"/>
      <c r="BF590" s="49"/>
      <c r="BG590" s="49"/>
      <c r="BH590" s="49"/>
      <c r="BI590" s="155"/>
      <c r="BJ590" s="155"/>
      <c r="BK590" s="155"/>
      <c r="BL590" s="49"/>
      <c r="BM590" s="49"/>
      <c r="BN590" s="49"/>
      <c r="BO590" s="49"/>
      <c r="BP590" s="49"/>
      <c r="BQ590" s="49"/>
      <c r="BR590" s="49"/>
      <c r="BS590" s="49"/>
      <c r="BT590" s="49"/>
      <c r="BU590" s="49"/>
      <c r="BV590" s="49"/>
      <c r="BW590" s="49"/>
      <c r="BX590" s="49"/>
      <c r="BY590" s="49"/>
      <c r="BZ590" s="49"/>
      <c r="CA590" s="49"/>
      <c r="CB590" s="49"/>
      <c r="CC590" s="49"/>
      <c r="CD590" s="49"/>
      <c r="CE590" s="49"/>
      <c r="CF590" s="49"/>
      <c r="CG590" s="49"/>
      <c r="CH590" s="49"/>
      <c r="CI590" s="49"/>
      <c r="CJ590" s="49"/>
      <c r="CK590" s="49"/>
      <c r="CL590" s="49"/>
      <c r="CM590" s="49"/>
      <c r="CN590" s="49"/>
      <c r="CO590" s="49"/>
      <c r="CP590" s="49"/>
      <c r="CQ590" s="49"/>
      <c r="CR590" s="49"/>
      <c r="CS590" s="49"/>
      <c r="CT590" s="155"/>
      <c r="CU590" s="155"/>
      <c r="CV590" s="155"/>
      <c r="CW590" s="155"/>
      <c r="CX590" s="155"/>
      <c r="CY590" s="155"/>
      <c r="CZ590" s="155"/>
      <c r="DA590" s="155"/>
      <c r="DB590" s="155"/>
      <c r="DC590" s="155"/>
      <c r="DD590" s="155"/>
      <c r="DE590" s="155"/>
      <c r="DF590" s="155"/>
      <c r="DG590" s="155"/>
      <c r="DH590" s="155"/>
      <c r="DI590" s="155"/>
      <c r="DJ590" s="155"/>
      <c r="DK590" s="155"/>
      <c r="DL590" s="155"/>
      <c r="DM590" s="155"/>
      <c r="DN590" s="155"/>
      <c r="DO590" s="155"/>
      <c r="DP590" s="155"/>
      <c r="DQ590" s="155"/>
      <c r="DR590" s="155"/>
      <c r="DS590" s="155"/>
      <c r="DT590" s="155"/>
      <c r="DU590" s="155"/>
      <c r="DV590" s="155"/>
      <c r="DW590" s="155"/>
      <c r="DX590" s="155"/>
    </row>
    <row r="591" spans="1:128" ht="18" customHeight="1">
      <c r="A591" s="155"/>
      <c r="B591" s="155"/>
      <c r="C591" s="155"/>
      <c r="D591" s="155"/>
      <c r="E591" s="155"/>
      <c r="F591" s="155"/>
      <c r="G591" s="155"/>
      <c r="H591" s="155"/>
      <c r="I591" s="270"/>
      <c r="J591" s="270"/>
      <c r="K591" s="270"/>
      <c r="L591" s="270"/>
      <c r="M591" s="270"/>
      <c r="N591" s="270"/>
      <c r="O591" s="155"/>
      <c r="P591" s="155"/>
      <c r="Q591" s="155"/>
      <c r="R591" s="155"/>
      <c r="S591" s="155"/>
      <c r="T591" s="155"/>
      <c r="U591" s="158"/>
      <c r="V591" s="155"/>
      <c r="W591" s="155"/>
      <c r="X591" s="263"/>
      <c r="Y591" s="155"/>
      <c r="Z591" s="155"/>
      <c r="AA591" s="263"/>
      <c r="AB591" s="263"/>
      <c r="AC591" s="155"/>
      <c r="AD591" s="155"/>
      <c r="AE591" s="155"/>
      <c r="AF591" s="155"/>
      <c r="AG591" s="155"/>
      <c r="AH591" s="155"/>
      <c r="AI591" s="155"/>
      <c r="AJ591" s="155"/>
      <c r="AK591" s="155"/>
      <c r="AL591" s="155"/>
      <c r="AM591" s="155"/>
      <c r="AN591" s="155"/>
      <c r="AO591" s="155"/>
      <c r="AP591" s="49"/>
      <c r="AQ591" s="49"/>
      <c r="AR591" s="155"/>
      <c r="AS591" s="155"/>
      <c r="AT591" s="155"/>
      <c r="AU591" s="155"/>
      <c r="AV591" s="155"/>
      <c r="AW591" s="155"/>
      <c r="AX591" s="155"/>
      <c r="AY591" s="155"/>
      <c r="AZ591" s="49"/>
      <c r="BA591" s="49"/>
      <c r="BB591" s="49"/>
      <c r="BC591" s="49"/>
      <c r="BD591" s="49"/>
      <c r="BE591" s="49"/>
      <c r="BF591" s="49"/>
      <c r="BG591" s="49"/>
      <c r="BH591" s="49"/>
      <c r="BI591" s="155"/>
      <c r="BJ591" s="155"/>
      <c r="BK591" s="155"/>
      <c r="BL591" s="49"/>
      <c r="BM591" s="49"/>
      <c r="BN591" s="49"/>
      <c r="BO591" s="49"/>
      <c r="BP591" s="49"/>
      <c r="BQ591" s="49"/>
      <c r="BR591" s="49"/>
      <c r="BS591" s="49"/>
      <c r="BT591" s="49"/>
      <c r="BU591" s="49"/>
      <c r="BV591" s="49"/>
      <c r="BW591" s="49"/>
      <c r="BX591" s="49"/>
      <c r="BY591" s="49"/>
      <c r="BZ591" s="49"/>
      <c r="CA591" s="49"/>
      <c r="CB591" s="49"/>
      <c r="CC591" s="49"/>
      <c r="CD591" s="49"/>
      <c r="CE591" s="49"/>
      <c r="CF591" s="49"/>
      <c r="CG591" s="49"/>
      <c r="CH591" s="49"/>
      <c r="CI591" s="49"/>
      <c r="CJ591" s="49"/>
      <c r="CK591" s="49"/>
      <c r="CL591" s="49"/>
      <c r="CM591" s="49"/>
      <c r="CN591" s="49"/>
      <c r="CO591" s="49"/>
      <c r="CP591" s="49"/>
      <c r="CQ591" s="49"/>
      <c r="CR591" s="49"/>
      <c r="CS591" s="49"/>
      <c r="CT591" s="155"/>
      <c r="CU591" s="155"/>
      <c r="CV591" s="155"/>
      <c r="CW591" s="155"/>
      <c r="CX591" s="155"/>
      <c r="CY591" s="155"/>
      <c r="CZ591" s="155"/>
      <c r="DA591" s="155"/>
      <c r="DB591" s="155"/>
      <c r="DC591" s="155"/>
      <c r="DD591" s="155"/>
      <c r="DE591" s="155"/>
      <c r="DF591" s="155"/>
      <c r="DG591" s="155"/>
      <c r="DH591" s="155"/>
      <c r="DI591" s="155"/>
      <c r="DJ591" s="155"/>
      <c r="DK591" s="155"/>
      <c r="DL591" s="155"/>
      <c r="DM591" s="155"/>
      <c r="DN591" s="155"/>
      <c r="DO591" s="155"/>
      <c r="DP591" s="155"/>
      <c r="DQ591" s="155"/>
      <c r="DR591" s="155"/>
      <c r="DS591" s="155"/>
      <c r="DT591" s="155"/>
      <c r="DU591" s="155"/>
      <c r="DV591" s="155"/>
      <c r="DW591" s="155"/>
      <c r="DX591" s="155"/>
    </row>
    <row r="592" spans="1:128" ht="18" customHeight="1">
      <c r="A592" s="155"/>
      <c r="B592" s="155"/>
      <c r="C592" s="155"/>
      <c r="D592" s="155"/>
      <c r="E592" s="155"/>
      <c r="F592" s="155"/>
      <c r="G592" s="155"/>
      <c r="H592" s="155"/>
      <c r="I592" s="270"/>
      <c r="J592" s="270"/>
      <c r="K592" s="270"/>
      <c r="L592" s="270"/>
      <c r="M592" s="270"/>
      <c r="N592" s="270"/>
      <c r="O592" s="155"/>
      <c r="P592" s="155"/>
      <c r="Q592" s="155"/>
      <c r="R592" s="155"/>
      <c r="S592" s="155"/>
      <c r="T592" s="155"/>
      <c r="U592" s="158"/>
      <c r="V592" s="155"/>
      <c r="W592" s="155"/>
      <c r="X592" s="263"/>
      <c r="Y592" s="155"/>
      <c r="Z592" s="155"/>
      <c r="AA592" s="263"/>
      <c r="AB592" s="263"/>
      <c r="AC592" s="155"/>
      <c r="AD592" s="155"/>
      <c r="AE592" s="155"/>
      <c r="AF592" s="155"/>
      <c r="AG592" s="155"/>
      <c r="AH592" s="155"/>
      <c r="AI592" s="155"/>
      <c r="AJ592" s="155"/>
      <c r="AK592" s="155"/>
      <c r="AL592" s="155"/>
      <c r="AM592" s="155"/>
      <c r="AN592" s="155"/>
      <c r="AO592" s="155"/>
      <c r="AP592" s="49"/>
      <c r="AQ592" s="49"/>
      <c r="AR592" s="155"/>
      <c r="AS592" s="155"/>
      <c r="AT592" s="155"/>
      <c r="AU592" s="155"/>
      <c r="AV592" s="155"/>
      <c r="AW592" s="155"/>
      <c r="AX592" s="155"/>
      <c r="AY592" s="155"/>
      <c r="AZ592" s="49"/>
      <c r="BA592" s="49"/>
      <c r="BB592" s="49"/>
      <c r="BC592" s="49"/>
      <c r="BD592" s="49"/>
      <c r="BE592" s="49"/>
      <c r="BF592" s="49"/>
      <c r="BG592" s="49"/>
      <c r="BH592" s="49"/>
      <c r="BI592" s="155"/>
      <c r="BJ592" s="155"/>
      <c r="BK592" s="155"/>
      <c r="BL592" s="49"/>
      <c r="BM592" s="49"/>
      <c r="BN592" s="49"/>
      <c r="BO592" s="49"/>
      <c r="BP592" s="49"/>
      <c r="BQ592" s="49"/>
      <c r="BR592" s="49"/>
      <c r="BS592" s="49"/>
      <c r="BT592" s="49"/>
      <c r="BU592" s="49"/>
      <c r="BV592" s="49"/>
      <c r="BW592" s="49"/>
      <c r="BX592" s="49"/>
      <c r="BY592" s="49"/>
      <c r="BZ592" s="49"/>
      <c r="CA592" s="49"/>
      <c r="CB592" s="49"/>
      <c r="CC592" s="49"/>
      <c r="CD592" s="49"/>
      <c r="CE592" s="49"/>
      <c r="CF592" s="49"/>
      <c r="CG592" s="49"/>
      <c r="CH592" s="49"/>
      <c r="CI592" s="49"/>
      <c r="CJ592" s="49"/>
      <c r="CK592" s="49"/>
      <c r="CL592" s="49"/>
      <c r="CM592" s="49"/>
      <c r="CN592" s="49"/>
      <c r="CO592" s="49"/>
      <c r="CP592" s="49"/>
      <c r="CQ592" s="49"/>
      <c r="CR592" s="49"/>
      <c r="CS592" s="49"/>
      <c r="CT592" s="155"/>
      <c r="CU592" s="155"/>
      <c r="CV592" s="155"/>
      <c r="CW592" s="155"/>
      <c r="CX592" s="155"/>
      <c r="CY592" s="155"/>
      <c r="CZ592" s="155"/>
      <c r="DA592" s="155"/>
      <c r="DB592" s="155"/>
      <c r="DC592" s="155"/>
      <c r="DD592" s="155"/>
      <c r="DE592" s="155"/>
      <c r="DF592" s="155"/>
      <c r="DG592" s="155"/>
      <c r="DH592" s="155"/>
      <c r="DI592" s="155"/>
      <c r="DJ592" s="155"/>
      <c r="DK592" s="155"/>
      <c r="DL592" s="155"/>
      <c r="DM592" s="155"/>
      <c r="DN592" s="155"/>
      <c r="DO592" s="155"/>
      <c r="DP592" s="155"/>
      <c r="DQ592" s="155"/>
      <c r="DR592" s="155"/>
      <c r="DS592" s="155"/>
      <c r="DT592" s="155"/>
      <c r="DU592" s="155"/>
      <c r="DV592" s="155"/>
      <c r="DW592" s="155"/>
      <c r="DX592" s="155"/>
    </row>
    <row r="593" spans="1:128" ht="18" customHeight="1">
      <c r="A593" s="155"/>
      <c r="B593" s="155"/>
      <c r="C593" s="155"/>
      <c r="D593" s="155"/>
      <c r="E593" s="155"/>
      <c r="F593" s="155"/>
      <c r="G593" s="155"/>
      <c r="H593" s="155"/>
      <c r="I593" s="270"/>
      <c r="J593" s="270"/>
      <c r="K593" s="270"/>
      <c r="L593" s="270"/>
      <c r="M593" s="270"/>
      <c r="N593" s="270"/>
      <c r="O593" s="155"/>
      <c r="P593" s="155"/>
      <c r="Q593" s="155"/>
      <c r="R593" s="155"/>
      <c r="S593" s="155"/>
      <c r="T593" s="155"/>
      <c r="U593" s="158"/>
      <c r="V593" s="155"/>
      <c r="W593" s="155"/>
      <c r="X593" s="263"/>
      <c r="Y593" s="155"/>
      <c r="Z593" s="155"/>
      <c r="AA593" s="263"/>
      <c r="AB593" s="263"/>
      <c r="AC593" s="155"/>
      <c r="AD593" s="155"/>
      <c r="AE593" s="155"/>
      <c r="AF593" s="155"/>
      <c r="AG593" s="155"/>
      <c r="AH593" s="155"/>
      <c r="AI593" s="155"/>
      <c r="AJ593" s="155"/>
      <c r="AK593" s="155"/>
      <c r="AL593" s="155"/>
      <c r="AM593" s="155"/>
      <c r="AN593" s="155"/>
      <c r="AO593" s="155"/>
      <c r="AP593" s="49"/>
      <c r="AQ593" s="49"/>
      <c r="AR593" s="155"/>
      <c r="AS593" s="155"/>
      <c r="AT593" s="155"/>
      <c r="AU593" s="155"/>
      <c r="AV593" s="155"/>
      <c r="AW593" s="155"/>
      <c r="AX593" s="155"/>
      <c r="AY593" s="155"/>
      <c r="AZ593" s="49"/>
      <c r="BA593" s="49"/>
      <c r="BB593" s="49"/>
      <c r="BC593" s="49"/>
      <c r="BD593" s="49"/>
      <c r="BE593" s="49"/>
      <c r="BF593" s="49"/>
      <c r="BG593" s="49"/>
      <c r="BH593" s="49"/>
      <c r="BI593" s="155"/>
      <c r="BJ593" s="155"/>
      <c r="BK593" s="155"/>
      <c r="BL593" s="49"/>
      <c r="BM593" s="49"/>
      <c r="BN593" s="49"/>
      <c r="BO593" s="49"/>
      <c r="BP593" s="49"/>
      <c r="BQ593" s="49"/>
      <c r="BR593" s="49"/>
      <c r="BS593" s="49"/>
      <c r="BT593" s="49"/>
      <c r="BU593" s="49"/>
      <c r="BV593" s="49"/>
      <c r="BW593" s="49"/>
      <c r="BX593" s="49"/>
      <c r="BY593" s="49"/>
      <c r="BZ593" s="49"/>
      <c r="CA593" s="49"/>
      <c r="CB593" s="49"/>
      <c r="CC593" s="49"/>
      <c r="CD593" s="49"/>
      <c r="CE593" s="49"/>
      <c r="CF593" s="49"/>
      <c r="CG593" s="49"/>
      <c r="CH593" s="49"/>
      <c r="CI593" s="49"/>
      <c r="CJ593" s="49"/>
      <c r="CK593" s="49"/>
      <c r="CL593" s="49"/>
      <c r="CM593" s="49"/>
      <c r="CN593" s="49"/>
      <c r="CO593" s="49"/>
      <c r="CP593" s="49"/>
      <c r="CQ593" s="49"/>
      <c r="CR593" s="49"/>
      <c r="CS593" s="49"/>
      <c r="CT593" s="155"/>
      <c r="CU593" s="155"/>
      <c r="CV593" s="155"/>
      <c r="CW593" s="155"/>
      <c r="CX593" s="155"/>
      <c r="CY593" s="155"/>
      <c r="CZ593" s="155"/>
      <c r="DA593" s="155"/>
      <c r="DB593" s="155"/>
      <c r="DC593" s="155"/>
      <c r="DD593" s="155"/>
      <c r="DE593" s="155"/>
      <c r="DF593" s="155"/>
      <c r="DG593" s="155"/>
      <c r="DH593" s="155"/>
      <c r="DI593" s="155"/>
      <c r="DJ593" s="155"/>
      <c r="DK593" s="155"/>
      <c r="DL593" s="155"/>
      <c r="DM593" s="155"/>
      <c r="DN593" s="155"/>
      <c r="DO593" s="155"/>
      <c r="DP593" s="155"/>
      <c r="DQ593" s="155"/>
      <c r="DR593" s="155"/>
      <c r="DS593" s="155"/>
      <c r="DT593" s="155"/>
      <c r="DU593" s="155"/>
      <c r="DV593" s="155"/>
      <c r="DW593" s="155"/>
      <c r="DX593" s="155"/>
    </row>
    <row r="594" spans="1:128" ht="18" customHeight="1">
      <c r="A594" s="155"/>
      <c r="B594" s="155"/>
      <c r="C594" s="155"/>
      <c r="D594" s="155"/>
      <c r="E594" s="155"/>
      <c r="F594" s="155"/>
      <c r="G594" s="155"/>
      <c r="H594" s="155"/>
      <c r="I594" s="270"/>
      <c r="J594" s="270"/>
      <c r="K594" s="270"/>
      <c r="L594" s="270"/>
      <c r="M594" s="270"/>
      <c r="N594" s="270"/>
      <c r="O594" s="155"/>
      <c r="P594" s="155"/>
      <c r="Q594" s="155"/>
      <c r="R594" s="155"/>
      <c r="S594" s="155"/>
      <c r="T594" s="155"/>
      <c r="U594" s="158"/>
      <c r="V594" s="155"/>
      <c r="W594" s="155"/>
      <c r="X594" s="263"/>
      <c r="Y594" s="155"/>
      <c r="Z594" s="155"/>
      <c r="AA594" s="263"/>
      <c r="AB594" s="263"/>
      <c r="AC594" s="155"/>
      <c r="AD594" s="155"/>
      <c r="AE594" s="155"/>
      <c r="AF594" s="155"/>
      <c r="AG594" s="155"/>
      <c r="AH594" s="155"/>
      <c r="AI594" s="155"/>
      <c r="AJ594" s="155"/>
      <c r="AK594" s="155"/>
      <c r="AL594" s="155"/>
      <c r="AM594" s="155"/>
      <c r="AN594" s="155"/>
      <c r="AO594" s="155"/>
      <c r="AP594" s="49"/>
      <c r="AQ594" s="49"/>
      <c r="AR594" s="155"/>
      <c r="AS594" s="155"/>
      <c r="AT594" s="155"/>
      <c r="AU594" s="155"/>
      <c r="AV594" s="155"/>
      <c r="AW594" s="155"/>
      <c r="AX594" s="155"/>
      <c r="AY594" s="155"/>
      <c r="AZ594" s="49"/>
      <c r="BA594" s="49"/>
      <c r="BB594" s="49"/>
      <c r="BC594" s="49"/>
      <c r="BD594" s="49"/>
      <c r="BE594" s="49"/>
      <c r="BF594" s="49"/>
      <c r="BG594" s="49"/>
      <c r="BH594" s="49"/>
      <c r="BI594" s="155"/>
      <c r="BJ594" s="155"/>
      <c r="BK594" s="155"/>
      <c r="BL594" s="49"/>
      <c r="BM594" s="49"/>
      <c r="BN594" s="49"/>
      <c r="BO594" s="49"/>
      <c r="BP594" s="49"/>
      <c r="BQ594" s="49"/>
      <c r="BR594" s="49"/>
      <c r="BS594" s="49"/>
      <c r="BT594" s="49"/>
      <c r="BU594" s="49"/>
      <c r="BV594" s="49"/>
      <c r="BW594" s="49"/>
      <c r="BX594" s="49"/>
      <c r="BY594" s="49"/>
      <c r="BZ594" s="49"/>
      <c r="CA594" s="49"/>
      <c r="CB594" s="49"/>
      <c r="CC594" s="49"/>
      <c r="CD594" s="49"/>
      <c r="CE594" s="49"/>
      <c r="CF594" s="49"/>
      <c r="CG594" s="49"/>
      <c r="CH594" s="49"/>
      <c r="CI594" s="49"/>
      <c r="CJ594" s="49"/>
      <c r="CK594" s="49"/>
      <c r="CL594" s="49"/>
      <c r="CM594" s="49"/>
      <c r="CN594" s="49"/>
      <c r="CO594" s="49"/>
      <c r="CP594" s="49"/>
      <c r="CQ594" s="49"/>
      <c r="CR594" s="49"/>
      <c r="CS594" s="49"/>
      <c r="CT594" s="155"/>
      <c r="CU594" s="155"/>
      <c r="CV594" s="155"/>
      <c r="CW594" s="155"/>
      <c r="CX594" s="155"/>
      <c r="CY594" s="155"/>
      <c r="CZ594" s="155"/>
      <c r="DA594" s="155"/>
      <c r="DB594" s="155"/>
      <c r="DC594" s="155"/>
      <c r="DD594" s="155"/>
      <c r="DE594" s="155"/>
      <c r="DF594" s="155"/>
      <c r="DG594" s="155"/>
      <c r="DH594" s="155"/>
      <c r="DI594" s="155"/>
      <c r="DJ594" s="155"/>
      <c r="DK594" s="155"/>
      <c r="DL594" s="155"/>
      <c r="DM594" s="155"/>
      <c r="DN594" s="155"/>
      <c r="DO594" s="155"/>
      <c r="DP594" s="155"/>
      <c r="DQ594" s="155"/>
      <c r="DR594" s="155"/>
      <c r="DS594" s="155"/>
      <c r="DT594" s="155"/>
      <c r="DU594" s="155"/>
      <c r="DV594" s="155"/>
      <c r="DW594" s="155"/>
      <c r="DX594" s="155"/>
    </row>
    <row r="595" spans="1:128" ht="18" customHeight="1">
      <c r="A595" s="155"/>
      <c r="B595" s="155"/>
      <c r="C595" s="155"/>
      <c r="D595" s="155"/>
      <c r="E595" s="155"/>
      <c r="F595" s="155"/>
      <c r="G595" s="155"/>
      <c r="H595" s="155"/>
      <c r="I595" s="270"/>
      <c r="J595" s="270"/>
      <c r="K595" s="270"/>
      <c r="L595" s="270"/>
      <c r="M595" s="270"/>
      <c r="N595" s="270"/>
      <c r="O595" s="155"/>
      <c r="P595" s="155"/>
      <c r="Q595" s="155"/>
      <c r="R595" s="155"/>
      <c r="S595" s="155"/>
      <c r="T595" s="155"/>
      <c r="U595" s="158"/>
      <c r="V595" s="155"/>
      <c r="W595" s="155"/>
      <c r="X595" s="263"/>
      <c r="Y595" s="155"/>
      <c r="Z595" s="155"/>
      <c r="AA595" s="263"/>
      <c r="AB595" s="263"/>
      <c r="AC595" s="155"/>
      <c r="AD595" s="155"/>
      <c r="AE595" s="155"/>
      <c r="AF595" s="155"/>
      <c r="AG595" s="155"/>
      <c r="AH595" s="155"/>
      <c r="AI595" s="155"/>
      <c r="AJ595" s="155"/>
      <c r="AK595" s="155"/>
      <c r="AL595" s="155"/>
      <c r="AM595" s="155"/>
      <c r="AN595" s="155"/>
      <c r="AO595" s="155"/>
      <c r="AP595" s="49"/>
      <c r="AQ595" s="49"/>
      <c r="AR595" s="155"/>
      <c r="AS595" s="155"/>
      <c r="AT595" s="155"/>
      <c r="AU595" s="155"/>
      <c r="AV595" s="155"/>
      <c r="AW595" s="155"/>
      <c r="AX595" s="155"/>
      <c r="AY595" s="155"/>
      <c r="AZ595" s="49"/>
      <c r="BA595" s="49"/>
      <c r="BB595" s="49"/>
      <c r="BC595" s="49"/>
      <c r="BD595" s="49"/>
      <c r="BE595" s="49"/>
      <c r="BF595" s="49"/>
      <c r="BG595" s="49"/>
      <c r="BH595" s="49"/>
      <c r="BI595" s="155"/>
      <c r="BJ595" s="155"/>
      <c r="BK595" s="155"/>
      <c r="BL595" s="49"/>
      <c r="BM595" s="49"/>
      <c r="BN595" s="49"/>
      <c r="BO595" s="49"/>
      <c r="BP595" s="49"/>
      <c r="BQ595" s="49"/>
      <c r="BR595" s="49"/>
      <c r="BS595" s="49"/>
      <c r="BT595" s="49"/>
      <c r="BU595" s="49"/>
      <c r="BV595" s="49"/>
      <c r="BW595" s="49"/>
      <c r="BX595" s="49"/>
      <c r="BY595" s="49"/>
      <c r="BZ595" s="49"/>
      <c r="CA595" s="49"/>
      <c r="CB595" s="49"/>
      <c r="CC595" s="49"/>
      <c r="CD595" s="49"/>
      <c r="CE595" s="49"/>
      <c r="CF595" s="49"/>
      <c r="CG595" s="49"/>
      <c r="CH595" s="49"/>
      <c r="CI595" s="49"/>
      <c r="CJ595" s="49"/>
      <c r="CK595" s="49"/>
      <c r="CL595" s="49"/>
      <c r="CM595" s="49"/>
      <c r="CN595" s="49"/>
      <c r="CO595" s="49"/>
      <c r="CP595" s="49"/>
      <c r="CQ595" s="49"/>
      <c r="CR595" s="49"/>
      <c r="CS595" s="49"/>
      <c r="CT595" s="155"/>
      <c r="CU595" s="155"/>
      <c r="CV595" s="155"/>
      <c r="CW595" s="155"/>
      <c r="CX595" s="155"/>
      <c r="CY595" s="155"/>
      <c r="CZ595" s="155"/>
      <c r="DA595" s="155"/>
      <c r="DB595" s="155"/>
      <c r="DC595" s="155"/>
      <c r="DD595" s="155"/>
      <c r="DE595" s="155"/>
      <c r="DF595" s="155"/>
      <c r="DG595" s="155"/>
      <c r="DH595" s="155"/>
      <c r="DI595" s="155"/>
      <c r="DJ595" s="155"/>
      <c r="DK595" s="155"/>
      <c r="DL595" s="155"/>
      <c r="DM595" s="155"/>
      <c r="DN595" s="155"/>
      <c r="DO595" s="155"/>
      <c r="DP595" s="155"/>
      <c r="DQ595" s="155"/>
      <c r="DR595" s="155"/>
      <c r="DS595" s="155"/>
      <c r="DT595" s="155"/>
      <c r="DU595" s="155"/>
      <c r="DV595" s="155"/>
      <c r="DW595" s="155"/>
      <c r="DX595" s="155"/>
    </row>
    <row r="596" spans="1:128" ht="18" customHeight="1">
      <c r="A596" s="155"/>
      <c r="B596" s="155"/>
      <c r="C596" s="155"/>
      <c r="D596" s="155"/>
      <c r="E596" s="155"/>
      <c r="F596" s="155"/>
      <c r="G596" s="155"/>
      <c r="H596" s="155"/>
      <c r="I596" s="270"/>
      <c r="J596" s="270"/>
      <c r="K596" s="270"/>
      <c r="L596" s="270"/>
      <c r="M596" s="270"/>
      <c r="N596" s="270"/>
      <c r="O596" s="155"/>
      <c r="P596" s="155"/>
      <c r="Q596" s="155"/>
      <c r="R596" s="155"/>
      <c r="S596" s="155"/>
      <c r="T596" s="155"/>
      <c r="U596" s="158"/>
      <c r="V596" s="155"/>
      <c r="W596" s="155"/>
      <c r="X596" s="263"/>
      <c r="Y596" s="155"/>
      <c r="Z596" s="155"/>
      <c r="AA596" s="263"/>
      <c r="AB596" s="263"/>
      <c r="AC596" s="155"/>
      <c r="AD596" s="155"/>
      <c r="AE596" s="155"/>
      <c r="AF596" s="155"/>
      <c r="AG596" s="155"/>
      <c r="AH596" s="155"/>
      <c r="AI596" s="155"/>
      <c r="AJ596" s="155"/>
      <c r="AK596" s="155"/>
      <c r="AL596" s="155"/>
      <c r="AM596" s="155"/>
      <c r="AN596" s="155"/>
      <c r="AO596" s="155"/>
      <c r="AP596" s="49"/>
      <c r="AQ596" s="49"/>
      <c r="AR596" s="155"/>
      <c r="AS596" s="155"/>
      <c r="AT596" s="155"/>
      <c r="AU596" s="155"/>
      <c r="AV596" s="155"/>
      <c r="AW596" s="155"/>
      <c r="AX596" s="155"/>
      <c r="AY596" s="155"/>
      <c r="AZ596" s="49"/>
      <c r="BA596" s="49"/>
      <c r="BB596" s="49"/>
      <c r="BC596" s="49"/>
      <c r="BD596" s="49"/>
      <c r="BE596" s="49"/>
      <c r="BF596" s="49"/>
      <c r="BG596" s="49"/>
      <c r="BH596" s="49"/>
      <c r="BI596" s="155"/>
      <c r="BJ596" s="155"/>
      <c r="BK596" s="155"/>
      <c r="BL596" s="49"/>
      <c r="BM596" s="49"/>
      <c r="BN596" s="49"/>
      <c r="BO596" s="49"/>
      <c r="BP596" s="49"/>
      <c r="BQ596" s="49"/>
      <c r="BR596" s="49"/>
      <c r="BS596" s="49"/>
      <c r="BT596" s="49"/>
      <c r="BU596" s="49"/>
      <c r="BV596" s="49"/>
      <c r="BW596" s="49"/>
      <c r="BX596" s="49"/>
      <c r="BY596" s="49"/>
      <c r="BZ596" s="49"/>
      <c r="CA596" s="49"/>
      <c r="CB596" s="49"/>
      <c r="CC596" s="49"/>
      <c r="CD596" s="49"/>
      <c r="CE596" s="49"/>
      <c r="CF596" s="49"/>
      <c r="CG596" s="49"/>
      <c r="CH596" s="49"/>
      <c r="CI596" s="49"/>
      <c r="CJ596" s="49"/>
      <c r="CK596" s="49"/>
      <c r="CL596" s="49"/>
      <c r="CM596" s="49"/>
      <c r="CN596" s="49"/>
      <c r="CO596" s="49"/>
      <c r="CP596" s="49"/>
      <c r="CQ596" s="49"/>
      <c r="CR596" s="49"/>
      <c r="CS596" s="49"/>
      <c r="CT596" s="155"/>
      <c r="CU596" s="155"/>
      <c r="CV596" s="155"/>
      <c r="CW596" s="155"/>
      <c r="CX596" s="155"/>
      <c r="CY596" s="155"/>
      <c r="CZ596" s="155"/>
      <c r="DA596" s="155"/>
      <c r="DB596" s="155"/>
      <c r="DC596" s="155"/>
      <c r="DD596" s="155"/>
      <c r="DE596" s="155"/>
      <c r="DF596" s="155"/>
      <c r="DG596" s="155"/>
      <c r="DH596" s="155"/>
      <c r="DI596" s="155"/>
      <c r="DJ596" s="155"/>
      <c r="DK596" s="155"/>
      <c r="DL596" s="155"/>
      <c r="DM596" s="155"/>
      <c r="DN596" s="155"/>
      <c r="DO596" s="155"/>
      <c r="DP596" s="155"/>
      <c r="DQ596" s="155"/>
      <c r="DR596" s="155"/>
      <c r="DS596" s="155"/>
      <c r="DT596" s="155"/>
      <c r="DU596" s="155"/>
      <c r="DV596" s="155"/>
      <c r="DW596" s="155"/>
      <c r="DX596" s="155"/>
    </row>
    <row r="597" spans="1:128" ht="18" customHeight="1">
      <c r="A597" s="155"/>
      <c r="B597" s="155"/>
      <c r="C597" s="155"/>
      <c r="D597" s="155"/>
      <c r="E597" s="155"/>
      <c r="F597" s="155"/>
      <c r="G597" s="155"/>
      <c r="H597" s="155"/>
      <c r="I597" s="270"/>
      <c r="J597" s="270"/>
      <c r="K597" s="270"/>
      <c r="L597" s="270"/>
      <c r="M597" s="270"/>
      <c r="N597" s="270"/>
      <c r="O597" s="155"/>
      <c r="P597" s="155"/>
      <c r="Q597" s="155"/>
      <c r="R597" s="155"/>
      <c r="S597" s="155"/>
      <c r="T597" s="155"/>
      <c r="U597" s="158"/>
      <c r="V597" s="155"/>
      <c r="W597" s="155"/>
      <c r="X597" s="263"/>
      <c r="Y597" s="155"/>
      <c r="Z597" s="155"/>
      <c r="AA597" s="263"/>
      <c r="AB597" s="263"/>
      <c r="AC597" s="155"/>
      <c r="AD597" s="155"/>
      <c r="AE597" s="155"/>
      <c r="AF597" s="155"/>
      <c r="AG597" s="155"/>
      <c r="AH597" s="155"/>
      <c r="AI597" s="155"/>
      <c r="AJ597" s="155"/>
      <c r="AK597" s="155"/>
      <c r="AL597" s="155"/>
      <c r="AM597" s="155"/>
      <c r="AN597" s="155"/>
      <c r="AO597" s="155"/>
      <c r="AP597" s="49"/>
      <c r="AQ597" s="49"/>
      <c r="AR597" s="155"/>
      <c r="AS597" s="155"/>
      <c r="AT597" s="155"/>
      <c r="AU597" s="155"/>
      <c r="AV597" s="155"/>
      <c r="AW597" s="155"/>
      <c r="AX597" s="155"/>
      <c r="AY597" s="155"/>
      <c r="AZ597" s="49"/>
      <c r="BA597" s="49"/>
      <c r="BB597" s="49"/>
      <c r="BC597" s="49"/>
      <c r="BD597" s="49"/>
      <c r="BE597" s="49"/>
      <c r="BF597" s="49"/>
      <c r="BG597" s="49"/>
      <c r="BH597" s="49"/>
      <c r="BI597" s="155"/>
      <c r="BJ597" s="155"/>
      <c r="BK597" s="155"/>
      <c r="BL597" s="49"/>
      <c r="BM597" s="49"/>
      <c r="BN597" s="49"/>
      <c r="BO597" s="49"/>
      <c r="BP597" s="49"/>
      <c r="BQ597" s="49"/>
      <c r="BR597" s="49"/>
      <c r="BS597" s="49"/>
      <c r="BT597" s="49"/>
      <c r="BU597" s="49"/>
      <c r="BV597" s="49"/>
      <c r="BW597" s="49"/>
      <c r="BX597" s="49"/>
      <c r="BY597" s="49"/>
      <c r="BZ597" s="49"/>
      <c r="CA597" s="49"/>
      <c r="CB597" s="49"/>
      <c r="CC597" s="49"/>
      <c r="CD597" s="49"/>
      <c r="CE597" s="49"/>
      <c r="CF597" s="49"/>
      <c r="CG597" s="49"/>
      <c r="CH597" s="49"/>
      <c r="CI597" s="49"/>
      <c r="CJ597" s="49"/>
      <c r="CK597" s="49"/>
      <c r="CL597" s="49"/>
      <c r="CM597" s="49"/>
      <c r="CN597" s="49"/>
      <c r="CO597" s="49"/>
      <c r="CP597" s="49"/>
      <c r="CQ597" s="49"/>
      <c r="CR597" s="49"/>
      <c r="CS597" s="49"/>
      <c r="CT597" s="155"/>
      <c r="CU597" s="155"/>
      <c r="CV597" s="155"/>
      <c r="CW597" s="155"/>
      <c r="CX597" s="155"/>
      <c r="CY597" s="155"/>
      <c r="CZ597" s="155"/>
      <c r="DA597" s="155"/>
      <c r="DB597" s="155"/>
      <c r="DC597" s="155"/>
      <c r="DD597" s="155"/>
      <c r="DE597" s="155"/>
      <c r="DF597" s="155"/>
      <c r="DG597" s="155"/>
      <c r="DH597" s="155"/>
      <c r="DI597" s="155"/>
      <c r="DJ597" s="155"/>
      <c r="DK597" s="155"/>
      <c r="DL597" s="155"/>
      <c r="DM597" s="155"/>
      <c r="DN597" s="155"/>
      <c r="DO597" s="155"/>
      <c r="DP597" s="155"/>
      <c r="DQ597" s="155"/>
      <c r="DR597" s="155"/>
      <c r="DS597" s="155"/>
      <c r="DT597" s="155"/>
      <c r="DU597" s="155"/>
      <c r="DV597" s="155"/>
      <c r="DW597" s="155"/>
      <c r="DX597" s="155"/>
    </row>
    <row r="598" spans="1:128" ht="18" customHeight="1">
      <c r="A598" s="155"/>
      <c r="B598" s="155"/>
      <c r="C598" s="155"/>
      <c r="D598" s="155"/>
      <c r="E598" s="155"/>
      <c r="F598" s="155"/>
      <c r="G598" s="155"/>
      <c r="H598" s="155"/>
      <c r="I598" s="270"/>
      <c r="J598" s="270"/>
      <c r="K598" s="270"/>
      <c r="L598" s="270"/>
      <c r="M598" s="270"/>
      <c r="N598" s="270"/>
      <c r="O598" s="155"/>
      <c r="P598" s="155"/>
      <c r="Q598" s="155"/>
      <c r="R598" s="155"/>
      <c r="S598" s="155"/>
      <c r="T598" s="155"/>
      <c r="U598" s="158"/>
      <c r="V598" s="155"/>
      <c r="W598" s="155"/>
      <c r="X598" s="263"/>
      <c r="Y598" s="155"/>
      <c r="Z598" s="155"/>
      <c r="AA598" s="263"/>
      <c r="AB598" s="263"/>
      <c r="AC598" s="155"/>
      <c r="AD598" s="155"/>
      <c r="AE598" s="155"/>
      <c r="AF598" s="155"/>
      <c r="AG598" s="155"/>
      <c r="AH598" s="155"/>
      <c r="AI598" s="155"/>
      <c r="AJ598" s="155"/>
      <c r="AK598" s="155"/>
      <c r="AL598" s="155"/>
      <c r="AM598" s="155"/>
      <c r="AN598" s="155"/>
      <c r="AO598" s="155"/>
      <c r="AP598" s="49"/>
      <c r="AQ598" s="49"/>
      <c r="AR598" s="155"/>
      <c r="AS598" s="155"/>
      <c r="AT598" s="155"/>
      <c r="AU598" s="155"/>
      <c r="AV598" s="155"/>
      <c r="AW598" s="155"/>
      <c r="AX598" s="155"/>
      <c r="AY598" s="155"/>
      <c r="AZ598" s="49"/>
      <c r="BA598" s="49"/>
      <c r="BB598" s="49"/>
      <c r="BC598" s="49"/>
      <c r="BD598" s="49"/>
      <c r="BE598" s="49"/>
      <c r="BF598" s="49"/>
      <c r="BG598" s="49"/>
      <c r="BH598" s="49"/>
      <c r="BI598" s="155"/>
      <c r="BJ598" s="155"/>
      <c r="BK598" s="155"/>
      <c r="BL598" s="49"/>
      <c r="BM598" s="49"/>
      <c r="BN598" s="49"/>
      <c r="BO598" s="49"/>
      <c r="BP598" s="49"/>
      <c r="BQ598" s="49"/>
      <c r="BR598" s="49"/>
      <c r="BS598" s="49"/>
      <c r="BT598" s="49"/>
      <c r="BU598" s="49"/>
      <c r="BV598" s="49"/>
      <c r="BW598" s="49"/>
      <c r="BX598" s="49"/>
      <c r="BY598" s="49"/>
      <c r="BZ598" s="49"/>
      <c r="CA598" s="49"/>
      <c r="CB598" s="49"/>
      <c r="CC598" s="49"/>
      <c r="CD598" s="49"/>
      <c r="CE598" s="49"/>
      <c r="CF598" s="49"/>
      <c r="CG598" s="49"/>
      <c r="CH598" s="49"/>
      <c r="CI598" s="49"/>
      <c r="CJ598" s="49"/>
      <c r="CK598" s="49"/>
      <c r="CL598" s="49"/>
      <c r="CM598" s="49"/>
      <c r="CN598" s="49"/>
      <c r="CO598" s="49"/>
      <c r="CP598" s="49"/>
      <c r="CQ598" s="49"/>
      <c r="CR598" s="49"/>
      <c r="CS598" s="49"/>
      <c r="CT598" s="155"/>
      <c r="CU598" s="155"/>
      <c r="CV598" s="155"/>
      <c r="CW598" s="155"/>
      <c r="CX598" s="155"/>
      <c r="CY598" s="155"/>
      <c r="CZ598" s="155"/>
      <c r="DA598" s="155"/>
      <c r="DB598" s="155"/>
      <c r="DC598" s="155"/>
      <c r="DD598" s="155"/>
      <c r="DE598" s="155"/>
      <c r="DF598" s="155"/>
      <c r="DG598" s="155"/>
      <c r="DH598" s="155"/>
      <c r="DI598" s="155"/>
      <c r="DJ598" s="155"/>
      <c r="DK598" s="155"/>
      <c r="DL598" s="155"/>
      <c r="DM598" s="155"/>
      <c r="DN598" s="155"/>
      <c r="DO598" s="155"/>
      <c r="DP598" s="155"/>
      <c r="DQ598" s="155"/>
      <c r="DR598" s="155"/>
      <c r="DS598" s="155"/>
      <c r="DT598" s="155"/>
      <c r="DU598" s="155"/>
      <c r="DV598" s="155"/>
      <c r="DW598" s="155"/>
      <c r="DX598" s="155"/>
    </row>
    <row r="599" spans="1:128" ht="18" customHeight="1">
      <c r="A599" s="155"/>
      <c r="B599" s="155"/>
      <c r="C599" s="155"/>
      <c r="D599" s="155"/>
      <c r="E599" s="155"/>
      <c r="F599" s="155"/>
      <c r="G599" s="155"/>
      <c r="H599" s="155"/>
      <c r="I599" s="270"/>
      <c r="J599" s="270"/>
      <c r="K599" s="270"/>
      <c r="L599" s="270"/>
      <c r="M599" s="270"/>
      <c r="N599" s="270"/>
      <c r="O599" s="155"/>
      <c r="P599" s="155"/>
      <c r="Q599" s="155"/>
      <c r="R599" s="155"/>
      <c r="S599" s="155"/>
      <c r="T599" s="155"/>
      <c r="U599" s="158"/>
      <c r="V599" s="155"/>
      <c r="W599" s="155"/>
      <c r="X599" s="263"/>
      <c r="Y599" s="155"/>
      <c r="Z599" s="155"/>
      <c r="AA599" s="263"/>
      <c r="AB599" s="263"/>
      <c r="AC599" s="155"/>
      <c r="AD599" s="155"/>
      <c r="AE599" s="155"/>
      <c r="AF599" s="155"/>
      <c r="AG599" s="155"/>
      <c r="AH599" s="155"/>
      <c r="AI599" s="155"/>
      <c r="AJ599" s="155"/>
      <c r="AK599" s="155"/>
      <c r="AL599" s="155"/>
      <c r="AM599" s="155"/>
      <c r="AN599" s="155"/>
      <c r="AO599" s="155"/>
      <c r="AP599" s="49"/>
      <c r="AQ599" s="49"/>
      <c r="AR599" s="155"/>
      <c r="AS599" s="155"/>
      <c r="AT599" s="155"/>
      <c r="AU599" s="155"/>
      <c r="AV599" s="155"/>
      <c r="AW599" s="155"/>
      <c r="AX599" s="155"/>
      <c r="AY599" s="155"/>
      <c r="AZ599" s="49"/>
      <c r="BA599" s="49"/>
      <c r="BB599" s="49"/>
      <c r="BC599" s="49"/>
      <c r="BD599" s="49"/>
      <c r="BE599" s="49"/>
      <c r="BF599" s="49"/>
      <c r="BG599" s="49"/>
      <c r="BH599" s="49"/>
      <c r="BI599" s="155"/>
      <c r="BJ599" s="155"/>
      <c r="BK599" s="155"/>
      <c r="BL599" s="49"/>
      <c r="BM599" s="49"/>
      <c r="BN599" s="49"/>
      <c r="BO599" s="49"/>
      <c r="BP599" s="49"/>
      <c r="BQ599" s="49"/>
      <c r="BR599" s="49"/>
      <c r="BS599" s="49"/>
      <c r="BT599" s="49"/>
      <c r="BU599" s="49"/>
      <c r="BV599" s="49"/>
      <c r="BW599" s="49"/>
      <c r="BX599" s="49"/>
      <c r="BY599" s="49"/>
      <c r="BZ599" s="49"/>
      <c r="CA599" s="49"/>
      <c r="CB599" s="49"/>
      <c r="CC599" s="49"/>
      <c r="CD599" s="49"/>
      <c r="CE599" s="49"/>
      <c r="CF599" s="49"/>
      <c r="CG599" s="49"/>
      <c r="CH599" s="49"/>
      <c r="CI599" s="49"/>
      <c r="CJ599" s="49"/>
      <c r="CK599" s="49"/>
      <c r="CL599" s="49"/>
      <c r="CM599" s="49"/>
      <c r="CN599" s="49"/>
      <c r="CO599" s="49"/>
      <c r="CP599" s="49"/>
      <c r="CQ599" s="49"/>
      <c r="CR599" s="49"/>
      <c r="CS599" s="49"/>
      <c r="CT599" s="155"/>
      <c r="CU599" s="155"/>
      <c r="CV599" s="155"/>
      <c r="CW599" s="155"/>
      <c r="CX599" s="155"/>
      <c r="CY599" s="155"/>
      <c r="CZ599" s="155"/>
      <c r="DA599" s="155"/>
      <c r="DB599" s="155"/>
      <c r="DC599" s="155"/>
      <c r="DD599" s="155"/>
      <c r="DE599" s="155"/>
      <c r="DF599" s="155"/>
      <c r="DG599" s="155"/>
      <c r="DH599" s="155"/>
      <c r="DI599" s="155"/>
      <c r="DJ599" s="155"/>
      <c r="DK599" s="155"/>
      <c r="DL599" s="155"/>
      <c r="DM599" s="155"/>
      <c r="DN599" s="155"/>
      <c r="DO599" s="155"/>
      <c r="DP599" s="155"/>
      <c r="DQ599" s="155"/>
      <c r="DR599" s="155"/>
      <c r="DS599" s="155"/>
      <c r="DT599" s="155"/>
      <c r="DU599" s="155"/>
      <c r="DV599" s="155"/>
      <c r="DW599" s="155"/>
      <c r="DX599" s="155"/>
    </row>
    <row r="600" spans="1:128" ht="18" customHeight="1">
      <c r="A600" s="155"/>
      <c r="B600" s="155"/>
      <c r="C600" s="155"/>
      <c r="D600" s="155"/>
      <c r="E600" s="155"/>
      <c r="F600" s="155"/>
      <c r="G600" s="155"/>
      <c r="H600" s="155"/>
      <c r="I600" s="270"/>
      <c r="J600" s="270"/>
      <c r="K600" s="270"/>
      <c r="L600" s="270"/>
      <c r="M600" s="270"/>
      <c r="N600" s="270"/>
      <c r="O600" s="155"/>
      <c r="P600" s="155"/>
      <c r="Q600" s="155"/>
      <c r="R600" s="155"/>
      <c r="S600" s="155"/>
      <c r="T600" s="155"/>
      <c r="U600" s="158"/>
      <c r="V600" s="155"/>
      <c r="W600" s="155"/>
      <c r="X600" s="263"/>
      <c r="Y600" s="155"/>
      <c r="Z600" s="155"/>
      <c r="AA600" s="263"/>
      <c r="AB600" s="263"/>
      <c r="AC600" s="155"/>
      <c r="AD600" s="155"/>
      <c r="AE600" s="155"/>
      <c r="AF600" s="155"/>
      <c r="AG600" s="155"/>
      <c r="AH600" s="155"/>
      <c r="AI600" s="155"/>
      <c r="AJ600" s="155"/>
      <c r="AK600" s="155"/>
      <c r="AL600" s="155"/>
      <c r="AM600" s="155"/>
      <c r="AN600" s="155"/>
      <c r="AO600" s="155"/>
      <c r="AP600" s="49"/>
      <c r="AQ600" s="49"/>
      <c r="AR600" s="155"/>
      <c r="AS600" s="155"/>
      <c r="AT600" s="155"/>
      <c r="AU600" s="155"/>
      <c r="AV600" s="155"/>
      <c r="AW600" s="155"/>
      <c r="AX600" s="155"/>
      <c r="AY600" s="155"/>
      <c r="AZ600" s="49"/>
      <c r="BA600" s="49"/>
      <c r="BB600" s="49"/>
      <c r="BC600" s="49"/>
      <c r="BD600" s="49"/>
      <c r="BE600" s="49"/>
      <c r="BF600" s="49"/>
      <c r="BG600" s="49"/>
      <c r="BH600" s="49"/>
      <c r="BI600" s="155"/>
      <c r="BJ600" s="155"/>
      <c r="BK600" s="155"/>
      <c r="BL600" s="49"/>
      <c r="BM600" s="49"/>
      <c r="BN600" s="49"/>
      <c r="BO600" s="49"/>
      <c r="BP600" s="49"/>
      <c r="BQ600" s="49"/>
      <c r="BR600" s="49"/>
      <c r="BS600" s="49"/>
      <c r="BT600" s="49"/>
      <c r="BU600" s="49"/>
      <c r="BV600" s="49"/>
      <c r="BW600" s="49"/>
      <c r="BX600" s="49"/>
      <c r="BY600" s="49"/>
      <c r="BZ600" s="49"/>
      <c r="CA600" s="49"/>
      <c r="CB600" s="49"/>
      <c r="CC600" s="49"/>
      <c r="CD600" s="49"/>
      <c r="CE600" s="49"/>
      <c r="CF600" s="49"/>
      <c r="CG600" s="49"/>
      <c r="CH600" s="49"/>
      <c r="CI600" s="49"/>
      <c r="CJ600" s="49"/>
      <c r="CK600" s="49"/>
      <c r="CL600" s="49"/>
      <c r="CM600" s="49"/>
      <c r="CN600" s="49"/>
      <c r="CO600" s="49"/>
      <c r="CP600" s="49"/>
      <c r="CQ600" s="49"/>
      <c r="CR600" s="49"/>
      <c r="CS600" s="49"/>
      <c r="CT600" s="155"/>
      <c r="CU600" s="155"/>
      <c r="CV600" s="155"/>
      <c r="CW600" s="155"/>
      <c r="CX600" s="155"/>
      <c r="CY600" s="155"/>
      <c r="CZ600" s="155"/>
      <c r="DA600" s="155"/>
      <c r="DB600" s="155"/>
      <c r="DC600" s="155"/>
      <c r="DD600" s="155"/>
      <c r="DE600" s="155"/>
      <c r="DF600" s="155"/>
      <c r="DG600" s="155"/>
      <c r="DH600" s="155"/>
      <c r="DI600" s="155"/>
      <c r="DJ600" s="155"/>
      <c r="DK600" s="155"/>
      <c r="DL600" s="155"/>
      <c r="DM600" s="155"/>
      <c r="DN600" s="155"/>
      <c r="DO600" s="155"/>
      <c r="DP600" s="155"/>
      <c r="DQ600" s="155"/>
      <c r="DR600" s="155"/>
      <c r="DS600" s="155"/>
      <c r="DT600" s="155"/>
      <c r="DU600" s="155"/>
      <c r="DV600" s="155"/>
      <c r="DW600" s="155"/>
      <c r="DX600" s="155"/>
    </row>
    <row r="601" spans="1:128" ht="18" customHeight="1">
      <c r="A601" s="155"/>
      <c r="B601" s="155"/>
      <c r="C601" s="155"/>
      <c r="D601" s="155"/>
      <c r="E601" s="155"/>
      <c r="F601" s="155"/>
      <c r="G601" s="155"/>
      <c r="H601" s="155"/>
      <c r="I601" s="270"/>
      <c r="J601" s="270"/>
      <c r="K601" s="270"/>
      <c r="L601" s="270"/>
      <c r="M601" s="270"/>
      <c r="N601" s="270"/>
      <c r="O601" s="155"/>
      <c r="P601" s="155"/>
      <c r="Q601" s="155"/>
      <c r="R601" s="155"/>
      <c r="S601" s="155"/>
      <c r="T601" s="155"/>
      <c r="U601" s="158"/>
      <c r="V601" s="155"/>
      <c r="W601" s="155"/>
      <c r="X601" s="263"/>
      <c r="Y601" s="155"/>
      <c r="Z601" s="155"/>
      <c r="AA601" s="263"/>
      <c r="AB601" s="263"/>
      <c r="AC601" s="155"/>
      <c r="AD601" s="155"/>
      <c r="AE601" s="155"/>
      <c r="AF601" s="155"/>
      <c r="AG601" s="155"/>
      <c r="AH601" s="155"/>
      <c r="AI601" s="155"/>
      <c r="AJ601" s="155"/>
      <c r="AK601" s="155"/>
      <c r="AL601" s="155"/>
      <c r="AM601" s="155"/>
      <c r="AN601" s="155"/>
      <c r="AO601" s="155"/>
      <c r="AP601" s="49"/>
      <c r="AQ601" s="49"/>
      <c r="AR601" s="155"/>
      <c r="AS601" s="155"/>
      <c r="AT601" s="155"/>
      <c r="AU601" s="155"/>
      <c r="AV601" s="155"/>
      <c r="AW601" s="155"/>
      <c r="AX601" s="155"/>
      <c r="AY601" s="155"/>
      <c r="AZ601" s="49"/>
      <c r="BA601" s="49"/>
      <c r="BB601" s="49"/>
      <c r="BC601" s="49"/>
      <c r="BD601" s="49"/>
      <c r="BE601" s="49"/>
      <c r="BF601" s="49"/>
      <c r="BG601" s="49"/>
      <c r="BH601" s="49"/>
      <c r="BI601" s="155"/>
      <c r="BJ601" s="155"/>
      <c r="BK601" s="155"/>
      <c r="BL601" s="49"/>
      <c r="BM601" s="49"/>
      <c r="BN601" s="49"/>
      <c r="BO601" s="49"/>
      <c r="BP601" s="49"/>
      <c r="BQ601" s="49"/>
      <c r="BR601" s="49"/>
      <c r="BS601" s="49"/>
      <c r="BT601" s="49"/>
      <c r="BU601" s="49"/>
      <c r="BV601" s="49"/>
      <c r="BW601" s="49"/>
      <c r="BX601" s="49"/>
      <c r="BY601" s="49"/>
      <c r="BZ601" s="49"/>
      <c r="CA601" s="49"/>
      <c r="CB601" s="49"/>
      <c r="CC601" s="49"/>
      <c r="CD601" s="49"/>
      <c r="CE601" s="49"/>
      <c r="CF601" s="49"/>
      <c r="CG601" s="49"/>
      <c r="CH601" s="49"/>
      <c r="CI601" s="49"/>
      <c r="CJ601" s="49"/>
      <c r="CK601" s="49"/>
      <c r="CL601" s="49"/>
      <c r="CM601" s="49"/>
      <c r="CN601" s="49"/>
      <c r="CO601" s="49"/>
      <c r="CP601" s="49"/>
      <c r="CQ601" s="49"/>
      <c r="CR601" s="49"/>
      <c r="CS601" s="49"/>
      <c r="CT601" s="155"/>
      <c r="CU601" s="155"/>
      <c r="CV601" s="155"/>
      <c r="CW601" s="155"/>
      <c r="CX601" s="155"/>
      <c r="CY601" s="155"/>
      <c r="CZ601" s="155"/>
      <c r="DA601" s="155"/>
      <c r="DB601" s="155"/>
      <c r="DC601" s="155"/>
      <c r="DD601" s="155"/>
      <c r="DE601" s="155"/>
      <c r="DF601" s="155"/>
      <c r="DG601" s="155"/>
      <c r="DH601" s="155"/>
      <c r="DI601" s="155"/>
      <c r="DJ601" s="155"/>
      <c r="DK601" s="155"/>
      <c r="DL601" s="155"/>
      <c r="DM601" s="155"/>
      <c r="DN601" s="155"/>
      <c r="DO601" s="155"/>
      <c r="DP601" s="155"/>
      <c r="DQ601" s="155"/>
      <c r="DR601" s="155"/>
      <c r="DS601" s="155"/>
      <c r="DT601" s="155"/>
      <c r="DU601" s="155"/>
      <c r="DV601" s="155"/>
      <c r="DW601" s="155"/>
      <c r="DX601" s="155"/>
    </row>
    <row r="602" spans="1:128" ht="18" customHeight="1">
      <c r="A602" s="155"/>
      <c r="B602" s="155"/>
      <c r="C602" s="155"/>
      <c r="D602" s="155"/>
      <c r="E602" s="155"/>
      <c r="F602" s="155"/>
      <c r="G602" s="155"/>
      <c r="H602" s="155"/>
      <c r="I602" s="270"/>
      <c r="J602" s="270"/>
      <c r="K602" s="270"/>
      <c r="L602" s="270"/>
      <c r="M602" s="270"/>
      <c r="N602" s="270"/>
      <c r="O602" s="155"/>
      <c r="P602" s="155"/>
      <c r="Q602" s="155"/>
      <c r="R602" s="155"/>
      <c r="S602" s="155"/>
      <c r="T602" s="155"/>
      <c r="U602" s="158"/>
      <c r="V602" s="155"/>
      <c r="W602" s="155"/>
      <c r="X602" s="263"/>
      <c r="Y602" s="155"/>
      <c r="Z602" s="155"/>
      <c r="AA602" s="263"/>
      <c r="AB602" s="263"/>
      <c r="AC602" s="155"/>
      <c r="AD602" s="155"/>
      <c r="AE602" s="155"/>
      <c r="AF602" s="155"/>
      <c r="AG602" s="155"/>
      <c r="AH602" s="155"/>
      <c r="AI602" s="155"/>
      <c r="AJ602" s="155"/>
      <c r="AK602" s="155"/>
      <c r="AL602" s="155"/>
      <c r="AM602" s="155"/>
      <c r="AN602" s="155"/>
      <c r="AO602" s="155"/>
      <c r="AP602" s="49"/>
      <c r="AQ602" s="49"/>
      <c r="AR602" s="155"/>
      <c r="AS602" s="155"/>
      <c r="AT602" s="155"/>
      <c r="AU602" s="155"/>
      <c r="AV602" s="155"/>
      <c r="AW602" s="155"/>
      <c r="AX602" s="155"/>
      <c r="AY602" s="155"/>
      <c r="AZ602" s="49"/>
      <c r="BA602" s="49"/>
      <c r="BB602" s="49"/>
      <c r="BC602" s="49"/>
      <c r="BD602" s="49"/>
      <c r="BE602" s="49"/>
      <c r="BF602" s="49"/>
      <c r="BG602" s="49"/>
      <c r="BH602" s="49"/>
      <c r="BI602" s="155"/>
      <c r="BJ602" s="155"/>
      <c r="BK602" s="155"/>
      <c r="BL602" s="49"/>
      <c r="BM602" s="49"/>
      <c r="BN602" s="49"/>
      <c r="BO602" s="49"/>
      <c r="BP602" s="49"/>
      <c r="BQ602" s="49"/>
      <c r="BR602" s="49"/>
      <c r="BS602" s="49"/>
      <c r="BT602" s="49"/>
      <c r="BU602" s="49"/>
      <c r="BV602" s="49"/>
      <c r="BW602" s="49"/>
      <c r="BX602" s="49"/>
      <c r="BY602" s="49"/>
      <c r="BZ602" s="49"/>
      <c r="CA602" s="49"/>
      <c r="CB602" s="49"/>
      <c r="CC602" s="49"/>
      <c r="CD602" s="49"/>
      <c r="CE602" s="49"/>
      <c r="CF602" s="49"/>
      <c r="CG602" s="49"/>
      <c r="CH602" s="49"/>
      <c r="CI602" s="49"/>
      <c r="CJ602" s="49"/>
      <c r="CK602" s="49"/>
      <c r="CL602" s="49"/>
      <c r="CM602" s="49"/>
      <c r="CN602" s="49"/>
      <c r="CO602" s="49"/>
      <c r="CP602" s="49"/>
      <c r="CQ602" s="49"/>
      <c r="CR602" s="49"/>
      <c r="CS602" s="49"/>
      <c r="CT602" s="155"/>
      <c r="CU602" s="155"/>
      <c r="CV602" s="155"/>
      <c r="CW602" s="155"/>
      <c r="CX602" s="155"/>
      <c r="CY602" s="155"/>
      <c r="CZ602" s="155"/>
      <c r="DA602" s="155"/>
      <c r="DB602" s="155"/>
      <c r="DC602" s="155"/>
      <c r="DD602" s="155"/>
      <c r="DE602" s="155"/>
      <c r="DF602" s="155"/>
      <c r="DG602" s="155"/>
      <c r="DH602" s="155"/>
      <c r="DI602" s="155"/>
      <c r="DJ602" s="155"/>
      <c r="DK602" s="155"/>
      <c r="DL602" s="155"/>
      <c r="DM602" s="155"/>
      <c r="DN602" s="155"/>
      <c r="DO602" s="155"/>
      <c r="DP602" s="155"/>
      <c r="DQ602" s="155"/>
      <c r="DR602" s="155"/>
      <c r="DS602" s="155"/>
      <c r="DT602" s="155"/>
      <c r="DU602" s="155"/>
      <c r="DV602" s="155"/>
      <c r="DW602" s="155"/>
      <c r="DX602" s="155"/>
    </row>
    <row r="603" spans="1:128" ht="18" customHeight="1">
      <c r="A603" s="155"/>
      <c r="B603" s="155"/>
      <c r="C603" s="155"/>
      <c r="D603" s="155"/>
      <c r="E603" s="155"/>
      <c r="F603" s="155"/>
      <c r="G603" s="155"/>
      <c r="H603" s="155"/>
      <c r="I603" s="270"/>
      <c r="J603" s="270"/>
      <c r="K603" s="270"/>
      <c r="L603" s="270"/>
      <c r="M603" s="270"/>
      <c r="N603" s="270"/>
      <c r="O603" s="155"/>
      <c r="P603" s="155"/>
      <c r="Q603" s="155"/>
      <c r="R603" s="155"/>
      <c r="S603" s="155"/>
      <c r="T603" s="155"/>
      <c r="U603" s="158"/>
      <c r="V603" s="155"/>
      <c r="W603" s="155"/>
      <c r="X603" s="263"/>
      <c r="Y603" s="155"/>
      <c r="Z603" s="155"/>
      <c r="AA603" s="263"/>
      <c r="AB603" s="263"/>
      <c r="AC603" s="155"/>
      <c r="AD603" s="155"/>
      <c r="AE603" s="155"/>
      <c r="AF603" s="155"/>
      <c r="AG603" s="155"/>
      <c r="AH603" s="155"/>
      <c r="AI603" s="155"/>
      <c r="AJ603" s="155"/>
      <c r="AK603" s="155"/>
      <c r="AL603" s="155"/>
      <c r="AM603" s="155"/>
      <c r="AN603" s="155"/>
      <c r="AO603" s="155"/>
      <c r="AP603" s="49"/>
      <c r="AQ603" s="49"/>
      <c r="AR603" s="155"/>
      <c r="AS603" s="155"/>
      <c r="AT603" s="155"/>
      <c r="AU603" s="155"/>
      <c r="AV603" s="155"/>
      <c r="AW603" s="155"/>
      <c r="AX603" s="155"/>
      <c r="AY603" s="155"/>
      <c r="AZ603" s="49"/>
      <c r="BA603" s="49"/>
      <c r="BB603" s="49"/>
      <c r="BC603" s="49"/>
      <c r="BD603" s="49"/>
      <c r="BE603" s="49"/>
      <c r="BF603" s="49"/>
      <c r="BG603" s="49"/>
      <c r="BH603" s="49"/>
      <c r="BI603" s="155"/>
      <c r="BJ603" s="155"/>
      <c r="BK603" s="155"/>
      <c r="BL603" s="49"/>
      <c r="BM603" s="49"/>
      <c r="BN603" s="49"/>
      <c r="BO603" s="49"/>
      <c r="BP603" s="49"/>
      <c r="BQ603" s="49"/>
      <c r="BR603" s="49"/>
      <c r="BS603" s="49"/>
      <c r="BT603" s="49"/>
      <c r="BU603" s="49"/>
      <c r="BV603" s="49"/>
      <c r="BW603" s="49"/>
      <c r="BX603" s="49"/>
      <c r="BY603" s="49"/>
      <c r="BZ603" s="49"/>
      <c r="CA603" s="49"/>
      <c r="CB603" s="49"/>
      <c r="CC603" s="49"/>
      <c r="CD603" s="49"/>
      <c r="CE603" s="49"/>
      <c r="CF603" s="49"/>
      <c r="CG603" s="49"/>
      <c r="CH603" s="49"/>
      <c r="CI603" s="49"/>
      <c r="CJ603" s="49"/>
      <c r="CK603" s="49"/>
      <c r="CL603" s="49"/>
      <c r="CM603" s="49"/>
      <c r="CN603" s="49"/>
      <c r="CO603" s="49"/>
      <c r="CP603" s="49"/>
      <c r="CQ603" s="49"/>
      <c r="CR603" s="49"/>
      <c r="CS603" s="49"/>
      <c r="CT603" s="155"/>
      <c r="CU603" s="155"/>
      <c r="CV603" s="155"/>
      <c r="CW603" s="155"/>
      <c r="CX603" s="155"/>
      <c r="CY603" s="155"/>
      <c r="CZ603" s="155"/>
      <c r="DA603" s="155"/>
      <c r="DB603" s="155"/>
      <c r="DC603" s="155"/>
      <c r="DD603" s="155"/>
      <c r="DE603" s="155"/>
      <c r="DF603" s="155"/>
      <c r="DG603" s="155"/>
      <c r="DH603" s="155"/>
      <c r="DI603" s="155"/>
      <c r="DJ603" s="155"/>
      <c r="DK603" s="155"/>
      <c r="DL603" s="155"/>
      <c r="DM603" s="155"/>
      <c r="DN603" s="155"/>
      <c r="DO603" s="155"/>
      <c r="DP603" s="155"/>
      <c r="DQ603" s="155"/>
      <c r="DR603" s="155"/>
      <c r="DS603" s="155"/>
      <c r="DT603" s="155"/>
      <c r="DU603" s="155"/>
      <c r="DV603" s="155"/>
      <c r="DW603" s="155"/>
      <c r="DX603" s="155"/>
    </row>
    <row r="604" spans="1:128" ht="18" customHeight="1">
      <c r="A604" s="155"/>
      <c r="B604" s="155"/>
      <c r="C604" s="155"/>
      <c r="D604" s="155"/>
      <c r="E604" s="155"/>
      <c r="F604" s="155"/>
      <c r="G604" s="155"/>
      <c r="H604" s="155"/>
      <c r="I604" s="270"/>
      <c r="J604" s="270"/>
      <c r="K604" s="270"/>
      <c r="L604" s="270"/>
      <c r="M604" s="270"/>
      <c r="N604" s="270"/>
      <c r="O604" s="155"/>
      <c r="P604" s="155"/>
      <c r="Q604" s="155"/>
      <c r="R604" s="155"/>
      <c r="S604" s="155"/>
      <c r="T604" s="155"/>
      <c r="U604" s="158"/>
      <c r="V604" s="155"/>
      <c r="W604" s="155"/>
      <c r="X604" s="263"/>
      <c r="Y604" s="155"/>
      <c r="Z604" s="155"/>
      <c r="AA604" s="263"/>
      <c r="AB604" s="263"/>
      <c r="AC604" s="155"/>
      <c r="AD604" s="155"/>
      <c r="AE604" s="155"/>
      <c r="AF604" s="155"/>
      <c r="AG604" s="155"/>
      <c r="AH604" s="155"/>
      <c r="AI604" s="155"/>
      <c r="AJ604" s="155"/>
      <c r="AK604" s="155"/>
      <c r="AL604" s="155"/>
      <c r="AM604" s="155"/>
      <c r="AN604" s="155"/>
      <c r="AO604" s="155"/>
      <c r="AP604" s="49"/>
      <c r="AQ604" s="49"/>
      <c r="AR604" s="155"/>
      <c r="AS604" s="155"/>
      <c r="AT604" s="155"/>
      <c r="AU604" s="155"/>
      <c r="AV604" s="155"/>
      <c r="AW604" s="155"/>
      <c r="AX604" s="155"/>
      <c r="AY604" s="155"/>
      <c r="AZ604" s="49"/>
      <c r="BA604" s="49"/>
      <c r="BB604" s="49"/>
      <c r="BC604" s="49"/>
      <c r="BD604" s="49"/>
      <c r="BE604" s="49"/>
      <c r="BF604" s="49"/>
      <c r="BG604" s="49"/>
      <c r="BH604" s="49"/>
      <c r="BI604" s="155"/>
      <c r="BJ604" s="155"/>
      <c r="BK604" s="155"/>
      <c r="BL604" s="49"/>
      <c r="BM604" s="49"/>
      <c r="BN604" s="49"/>
      <c r="BO604" s="49"/>
      <c r="BP604" s="49"/>
      <c r="BQ604" s="49"/>
      <c r="BR604" s="49"/>
      <c r="BS604" s="49"/>
      <c r="BT604" s="49"/>
      <c r="BU604" s="49"/>
      <c r="BV604" s="49"/>
      <c r="BW604" s="49"/>
      <c r="BX604" s="49"/>
      <c r="BY604" s="49"/>
      <c r="BZ604" s="49"/>
      <c r="CA604" s="49"/>
      <c r="CB604" s="49"/>
      <c r="CC604" s="49"/>
      <c r="CD604" s="49"/>
      <c r="CE604" s="49"/>
      <c r="CF604" s="49"/>
      <c r="CG604" s="49"/>
      <c r="CH604" s="49"/>
      <c r="CI604" s="49"/>
      <c r="CJ604" s="49"/>
      <c r="CK604" s="49"/>
      <c r="CL604" s="49"/>
      <c r="CM604" s="49"/>
      <c r="CN604" s="49"/>
      <c r="CO604" s="49"/>
      <c r="CP604" s="49"/>
      <c r="CQ604" s="49"/>
      <c r="CR604" s="49"/>
      <c r="CS604" s="49"/>
      <c r="CT604" s="155"/>
      <c r="CU604" s="155"/>
      <c r="CV604" s="155"/>
      <c r="CW604" s="155"/>
      <c r="CX604" s="155"/>
      <c r="CY604" s="155"/>
      <c r="CZ604" s="155"/>
      <c r="DA604" s="155"/>
      <c r="DB604" s="155"/>
      <c r="DC604" s="155"/>
      <c r="DD604" s="155"/>
      <c r="DE604" s="155"/>
      <c r="DF604" s="155"/>
      <c r="DG604" s="155"/>
      <c r="DH604" s="155"/>
      <c r="DI604" s="155"/>
      <c r="DJ604" s="155"/>
      <c r="DK604" s="155"/>
      <c r="DL604" s="155"/>
      <c r="DM604" s="155"/>
      <c r="DN604" s="155"/>
      <c r="DO604" s="155"/>
      <c r="DP604" s="155"/>
      <c r="DQ604" s="155"/>
      <c r="DR604" s="155"/>
      <c r="DS604" s="155"/>
      <c r="DT604" s="155"/>
      <c r="DU604" s="155"/>
      <c r="DV604" s="155"/>
      <c r="DW604" s="155"/>
      <c r="DX604" s="155"/>
    </row>
    <row r="605" spans="1:128" ht="18" customHeight="1">
      <c r="A605" s="155"/>
      <c r="B605" s="155"/>
      <c r="C605" s="155"/>
      <c r="D605" s="155"/>
      <c r="E605" s="155"/>
      <c r="F605" s="155"/>
      <c r="G605" s="155"/>
      <c r="H605" s="155"/>
      <c r="I605" s="270"/>
      <c r="J605" s="270"/>
      <c r="K605" s="270"/>
      <c r="L605" s="270"/>
      <c r="M605" s="270"/>
      <c r="N605" s="270"/>
      <c r="O605" s="155"/>
      <c r="P605" s="155"/>
      <c r="Q605" s="155"/>
      <c r="R605" s="155"/>
      <c r="S605" s="155"/>
      <c r="T605" s="155"/>
      <c r="U605" s="158"/>
      <c r="V605" s="155"/>
      <c r="W605" s="155"/>
      <c r="X605" s="263"/>
      <c r="Y605" s="155"/>
      <c r="Z605" s="155"/>
      <c r="AA605" s="263"/>
      <c r="AB605" s="263"/>
      <c r="AC605" s="155"/>
      <c r="AD605" s="155"/>
      <c r="AE605" s="155"/>
      <c r="AF605" s="155"/>
      <c r="AG605" s="155"/>
      <c r="AH605" s="155"/>
      <c r="AI605" s="155"/>
      <c r="AJ605" s="155"/>
      <c r="AK605" s="155"/>
      <c r="AL605" s="155"/>
      <c r="AM605" s="155"/>
      <c r="AN605" s="155"/>
      <c r="AO605" s="155"/>
      <c r="AP605" s="49"/>
      <c r="AQ605" s="49"/>
      <c r="AR605" s="155"/>
      <c r="AS605" s="155"/>
      <c r="AT605" s="155"/>
      <c r="AU605" s="155"/>
      <c r="AV605" s="155"/>
      <c r="AW605" s="155"/>
      <c r="AX605" s="155"/>
      <c r="AY605" s="155"/>
      <c r="AZ605" s="49"/>
      <c r="BA605" s="49"/>
      <c r="BB605" s="49"/>
      <c r="BC605" s="49"/>
      <c r="BD605" s="49"/>
      <c r="BE605" s="49"/>
      <c r="BF605" s="49"/>
      <c r="BG605" s="49"/>
      <c r="BH605" s="49"/>
      <c r="BI605" s="155"/>
      <c r="BJ605" s="155"/>
      <c r="BK605" s="155"/>
      <c r="BL605" s="49"/>
      <c r="BM605" s="49"/>
      <c r="BN605" s="49"/>
      <c r="BO605" s="49"/>
      <c r="BP605" s="49"/>
      <c r="BQ605" s="49"/>
      <c r="BR605" s="49"/>
      <c r="BS605" s="49"/>
      <c r="BT605" s="49"/>
      <c r="BU605" s="49"/>
      <c r="BV605" s="49"/>
      <c r="BW605" s="49"/>
      <c r="BX605" s="49"/>
      <c r="BY605" s="49"/>
      <c r="BZ605" s="49"/>
      <c r="CA605" s="49"/>
      <c r="CB605" s="49"/>
      <c r="CC605" s="49"/>
      <c r="CD605" s="49"/>
      <c r="CE605" s="49"/>
      <c r="CF605" s="49"/>
      <c r="CG605" s="49"/>
      <c r="CH605" s="49"/>
      <c r="CI605" s="49"/>
      <c r="CJ605" s="49"/>
      <c r="CK605" s="49"/>
      <c r="CL605" s="49"/>
      <c r="CM605" s="49"/>
      <c r="CN605" s="49"/>
      <c r="CO605" s="49"/>
      <c r="CP605" s="49"/>
      <c r="CQ605" s="49"/>
      <c r="CR605" s="49"/>
      <c r="CS605" s="49"/>
      <c r="CT605" s="155"/>
      <c r="CU605" s="155"/>
      <c r="CV605" s="155"/>
      <c r="CW605" s="155"/>
      <c r="CX605" s="155"/>
      <c r="CY605" s="155"/>
      <c r="CZ605" s="155"/>
      <c r="DA605" s="155"/>
      <c r="DB605" s="155"/>
      <c r="DC605" s="155"/>
      <c r="DD605" s="155"/>
      <c r="DE605" s="155"/>
      <c r="DF605" s="155"/>
      <c r="DG605" s="155"/>
      <c r="DH605" s="155"/>
      <c r="DI605" s="155"/>
      <c r="DJ605" s="155"/>
      <c r="DK605" s="155"/>
      <c r="DL605" s="155"/>
      <c r="DM605" s="155"/>
      <c r="DN605" s="155"/>
      <c r="DO605" s="155"/>
      <c r="DP605" s="155"/>
      <c r="DQ605" s="155"/>
      <c r="DR605" s="155"/>
      <c r="DS605" s="155"/>
      <c r="DT605" s="155"/>
      <c r="DU605" s="155"/>
      <c r="DV605" s="155"/>
      <c r="DW605" s="155"/>
      <c r="DX605" s="155"/>
    </row>
    <row r="606" spans="1:128" ht="18" customHeight="1">
      <c r="A606" s="155"/>
      <c r="B606" s="155"/>
      <c r="C606" s="155"/>
      <c r="D606" s="155"/>
      <c r="E606" s="155"/>
      <c r="F606" s="155"/>
      <c r="G606" s="155"/>
      <c r="H606" s="155"/>
      <c r="I606" s="270"/>
      <c r="J606" s="270"/>
      <c r="K606" s="270"/>
      <c r="L606" s="270"/>
      <c r="M606" s="270"/>
      <c r="N606" s="270"/>
      <c r="O606" s="155"/>
      <c r="P606" s="155"/>
      <c r="Q606" s="155"/>
      <c r="R606" s="155"/>
      <c r="S606" s="155"/>
      <c r="T606" s="155"/>
      <c r="U606" s="158"/>
      <c r="V606" s="155"/>
      <c r="W606" s="155"/>
      <c r="X606" s="263"/>
      <c r="Y606" s="155"/>
      <c r="Z606" s="155"/>
      <c r="AA606" s="263"/>
      <c r="AB606" s="263"/>
      <c r="AC606" s="155"/>
      <c r="AD606" s="155"/>
      <c r="AE606" s="155"/>
      <c r="AF606" s="155"/>
      <c r="AG606" s="155"/>
      <c r="AH606" s="155"/>
      <c r="AI606" s="155"/>
      <c r="AJ606" s="155"/>
      <c r="AK606" s="155"/>
      <c r="AL606" s="155"/>
      <c r="AM606" s="155"/>
      <c r="AN606" s="155"/>
      <c r="AO606" s="155"/>
      <c r="AP606" s="49"/>
      <c r="AQ606" s="49"/>
      <c r="AR606" s="155"/>
      <c r="AS606" s="155"/>
      <c r="AT606" s="155"/>
      <c r="AU606" s="155"/>
      <c r="AV606" s="155"/>
      <c r="AW606" s="155"/>
      <c r="AX606" s="155"/>
      <c r="AY606" s="155"/>
      <c r="AZ606" s="49"/>
      <c r="BA606" s="49"/>
      <c r="BB606" s="49"/>
      <c r="BC606" s="49"/>
      <c r="BD606" s="49"/>
      <c r="BE606" s="49"/>
      <c r="BF606" s="49"/>
      <c r="BG606" s="49"/>
      <c r="BH606" s="49"/>
      <c r="BI606" s="155"/>
      <c r="BJ606" s="155"/>
      <c r="BK606" s="155"/>
      <c r="BL606" s="49"/>
      <c r="BM606" s="49"/>
      <c r="BN606" s="49"/>
      <c r="BO606" s="49"/>
      <c r="BP606" s="49"/>
      <c r="BQ606" s="49"/>
      <c r="BR606" s="49"/>
      <c r="BS606" s="49"/>
      <c r="BT606" s="49"/>
      <c r="BU606" s="49"/>
      <c r="BV606" s="49"/>
      <c r="BW606" s="49"/>
      <c r="BX606" s="49"/>
      <c r="BY606" s="49"/>
      <c r="BZ606" s="49"/>
      <c r="CA606" s="49"/>
      <c r="CB606" s="49"/>
      <c r="CC606" s="49"/>
      <c r="CD606" s="49"/>
      <c r="CE606" s="49"/>
      <c r="CF606" s="49"/>
      <c r="CG606" s="49"/>
      <c r="CH606" s="49"/>
      <c r="CI606" s="49"/>
      <c r="CJ606" s="49"/>
      <c r="CK606" s="49"/>
      <c r="CL606" s="49"/>
      <c r="CM606" s="49"/>
      <c r="CN606" s="49"/>
      <c r="CO606" s="49"/>
      <c r="CP606" s="49"/>
      <c r="CQ606" s="49"/>
      <c r="CR606" s="49"/>
      <c r="CS606" s="49"/>
      <c r="CT606" s="155"/>
      <c r="CU606" s="155"/>
      <c r="CV606" s="155"/>
      <c r="CW606" s="155"/>
      <c r="CX606" s="155"/>
      <c r="CY606" s="155"/>
      <c r="CZ606" s="155"/>
      <c r="DA606" s="155"/>
      <c r="DB606" s="155"/>
      <c r="DC606" s="155"/>
      <c r="DD606" s="155"/>
      <c r="DE606" s="155"/>
      <c r="DF606" s="155"/>
      <c r="DG606" s="155"/>
      <c r="DH606" s="155"/>
      <c r="DI606" s="155"/>
      <c r="DJ606" s="155"/>
      <c r="DK606" s="155"/>
      <c r="DL606" s="155"/>
      <c r="DM606" s="155"/>
      <c r="DN606" s="155"/>
      <c r="DO606" s="155"/>
      <c r="DP606" s="155"/>
      <c r="DQ606" s="155"/>
      <c r="DR606" s="155"/>
      <c r="DS606" s="155"/>
      <c r="DT606" s="155"/>
      <c r="DU606" s="155"/>
      <c r="DV606" s="155"/>
      <c r="DW606" s="155"/>
      <c r="DX606" s="155"/>
    </row>
    <row r="607" spans="1:128" ht="18" customHeight="1">
      <c r="A607" s="155"/>
      <c r="B607" s="155"/>
      <c r="C607" s="155"/>
      <c r="D607" s="155"/>
      <c r="E607" s="155"/>
      <c r="F607" s="155"/>
      <c r="G607" s="155"/>
      <c r="H607" s="155"/>
      <c r="I607" s="270"/>
      <c r="J607" s="270"/>
      <c r="K607" s="270"/>
      <c r="L607" s="270"/>
      <c r="M607" s="270"/>
      <c r="N607" s="270"/>
      <c r="O607" s="155"/>
      <c r="P607" s="155"/>
      <c r="Q607" s="155"/>
      <c r="R607" s="155"/>
      <c r="S607" s="155"/>
      <c r="T607" s="155"/>
      <c r="U607" s="158"/>
      <c r="V607" s="155"/>
      <c r="W607" s="155"/>
      <c r="X607" s="263"/>
      <c r="Y607" s="155"/>
      <c r="Z607" s="155"/>
      <c r="AA607" s="263"/>
      <c r="AB607" s="263"/>
      <c r="AC607" s="155"/>
      <c r="AD607" s="155"/>
      <c r="AE607" s="155"/>
      <c r="AF607" s="155"/>
      <c r="AG607" s="155"/>
      <c r="AH607" s="155"/>
      <c r="AI607" s="155"/>
      <c r="AJ607" s="155"/>
      <c r="AK607" s="155"/>
      <c r="AL607" s="155"/>
      <c r="AM607" s="155"/>
      <c r="AN607" s="155"/>
      <c r="AO607" s="155"/>
      <c r="AP607" s="49"/>
      <c r="AQ607" s="49"/>
      <c r="AR607" s="155"/>
      <c r="AS607" s="155"/>
      <c r="AT607" s="155"/>
      <c r="AU607" s="155"/>
      <c r="AV607" s="155"/>
      <c r="AW607" s="155"/>
      <c r="AX607" s="155"/>
      <c r="AY607" s="155"/>
      <c r="AZ607" s="49"/>
      <c r="BA607" s="49"/>
      <c r="BB607" s="49"/>
      <c r="BC607" s="49"/>
      <c r="BD607" s="49"/>
      <c r="BE607" s="49"/>
      <c r="BF607" s="49"/>
      <c r="BG607" s="49"/>
      <c r="BH607" s="49"/>
      <c r="BI607" s="155"/>
      <c r="BJ607" s="155"/>
      <c r="BK607" s="155"/>
      <c r="BL607" s="49"/>
      <c r="BM607" s="49"/>
      <c r="BN607" s="49"/>
      <c r="BO607" s="49"/>
      <c r="BP607" s="49"/>
      <c r="BQ607" s="49"/>
      <c r="BR607" s="49"/>
      <c r="BS607" s="49"/>
      <c r="BT607" s="49"/>
      <c r="BU607" s="49"/>
      <c r="BV607" s="49"/>
      <c r="BW607" s="49"/>
      <c r="BX607" s="49"/>
      <c r="BY607" s="49"/>
      <c r="BZ607" s="49"/>
      <c r="CA607" s="49"/>
      <c r="CB607" s="49"/>
      <c r="CC607" s="49"/>
      <c r="CD607" s="49"/>
      <c r="CE607" s="49"/>
      <c r="CF607" s="49"/>
      <c r="CG607" s="49"/>
      <c r="CH607" s="49"/>
      <c r="CI607" s="49"/>
      <c r="CJ607" s="49"/>
      <c r="CK607" s="49"/>
      <c r="CL607" s="49"/>
      <c r="CM607" s="49"/>
      <c r="CN607" s="49"/>
      <c r="CO607" s="49"/>
      <c r="CP607" s="49"/>
      <c r="CQ607" s="49"/>
      <c r="CR607" s="49"/>
      <c r="CS607" s="49"/>
      <c r="CT607" s="155"/>
      <c r="CU607" s="155"/>
      <c r="CV607" s="155"/>
      <c r="CW607" s="155"/>
      <c r="CX607" s="155"/>
      <c r="CY607" s="155"/>
      <c r="CZ607" s="155"/>
      <c r="DA607" s="155"/>
      <c r="DB607" s="155"/>
      <c r="DC607" s="155"/>
      <c r="DD607" s="155"/>
      <c r="DE607" s="155"/>
      <c r="DF607" s="155"/>
      <c r="DG607" s="155"/>
      <c r="DH607" s="155"/>
      <c r="DI607" s="155"/>
      <c r="DJ607" s="155"/>
      <c r="DK607" s="155"/>
      <c r="DL607" s="155"/>
      <c r="DM607" s="155"/>
      <c r="DN607" s="155"/>
      <c r="DO607" s="155"/>
      <c r="DP607" s="155"/>
      <c r="DQ607" s="155"/>
      <c r="DR607" s="155"/>
      <c r="DS607" s="155"/>
      <c r="DT607" s="155"/>
      <c r="DU607" s="155"/>
      <c r="DV607" s="155"/>
      <c r="DW607" s="155"/>
      <c r="DX607" s="155"/>
    </row>
    <row r="608" spans="1:128" ht="18" customHeight="1">
      <c r="A608" s="155"/>
      <c r="B608" s="155"/>
      <c r="C608" s="155"/>
      <c r="D608" s="155"/>
      <c r="E608" s="155"/>
      <c r="F608" s="155"/>
      <c r="G608" s="155"/>
      <c r="H608" s="155"/>
      <c r="I608" s="270"/>
      <c r="J608" s="270"/>
      <c r="K608" s="270"/>
      <c r="L608" s="270"/>
      <c r="M608" s="270"/>
      <c r="N608" s="270"/>
      <c r="O608" s="155"/>
      <c r="P608" s="155"/>
      <c r="Q608" s="155"/>
      <c r="R608" s="155"/>
      <c r="S608" s="155"/>
      <c r="T608" s="155"/>
      <c r="U608" s="158"/>
      <c r="V608" s="155"/>
      <c r="W608" s="155"/>
      <c r="X608" s="263"/>
      <c r="Y608" s="155"/>
      <c r="Z608" s="155"/>
      <c r="AA608" s="263"/>
      <c r="AB608" s="263"/>
      <c r="AC608" s="155"/>
      <c r="AD608" s="155"/>
      <c r="AE608" s="155"/>
      <c r="AF608" s="155"/>
      <c r="AG608" s="155"/>
      <c r="AH608" s="155"/>
      <c r="AI608" s="155"/>
      <c r="AJ608" s="155"/>
      <c r="AK608" s="155"/>
      <c r="AL608" s="155"/>
      <c r="AM608" s="155"/>
      <c r="AN608" s="155"/>
      <c r="AO608" s="155"/>
      <c r="AP608" s="49"/>
      <c r="AQ608" s="49"/>
      <c r="AR608" s="155"/>
      <c r="AS608" s="155"/>
      <c r="AT608" s="155"/>
      <c r="AU608" s="155"/>
      <c r="AV608" s="155"/>
      <c r="AW608" s="155"/>
      <c r="AX608" s="155"/>
      <c r="AY608" s="155"/>
      <c r="AZ608" s="49"/>
      <c r="BA608" s="49"/>
      <c r="BB608" s="49"/>
      <c r="BC608" s="49"/>
      <c r="BD608" s="49"/>
      <c r="BE608" s="49"/>
      <c r="BF608" s="49"/>
      <c r="BG608" s="49"/>
      <c r="BH608" s="49"/>
      <c r="BI608" s="155"/>
      <c r="BJ608" s="155"/>
      <c r="BK608" s="155"/>
      <c r="BL608" s="49"/>
      <c r="BM608" s="49"/>
      <c r="BN608" s="49"/>
      <c r="BO608" s="49"/>
      <c r="BP608" s="49"/>
      <c r="BQ608" s="49"/>
      <c r="BR608" s="49"/>
      <c r="BS608" s="49"/>
      <c r="BT608" s="49"/>
      <c r="BU608" s="49"/>
      <c r="BV608" s="49"/>
      <c r="BW608" s="49"/>
      <c r="BX608" s="49"/>
      <c r="BY608" s="49"/>
      <c r="BZ608" s="49"/>
      <c r="CA608" s="49"/>
      <c r="CB608" s="49"/>
      <c r="CC608" s="49"/>
      <c r="CD608" s="49"/>
      <c r="CE608" s="49"/>
      <c r="CF608" s="49"/>
      <c r="CG608" s="49"/>
      <c r="CH608" s="49"/>
      <c r="CI608" s="49"/>
      <c r="CJ608" s="49"/>
      <c r="CK608" s="49"/>
      <c r="CL608" s="49"/>
      <c r="CM608" s="49"/>
      <c r="CN608" s="49"/>
      <c r="CO608" s="49"/>
      <c r="CP608" s="49"/>
      <c r="CQ608" s="49"/>
      <c r="CR608" s="49"/>
      <c r="CS608" s="49"/>
      <c r="CT608" s="155"/>
      <c r="CU608" s="155"/>
      <c r="CV608" s="155"/>
      <c r="CW608" s="155"/>
      <c r="CX608" s="155"/>
      <c r="CY608" s="155"/>
      <c r="CZ608" s="155"/>
      <c r="DA608" s="155"/>
      <c r="DB608" s="155"/>
      <c r="DC608" s="155"/>
      <c r="DD608" s="155"/>
      <c r="DE608" s="155"/>
      <c r="DF608" s="155"/>
      <c r="DG608" s="155"/>
      <c r="DH608" s="155"/>
      <c r="DI608" s="155"/>
      <c r="DJ608" s="155"/>
      <c r="DK608" s="155"/>
      <c r="DL608" s="155"/>
      <c r="DM608" s="155"/>
      <c r="DN608" s="155"/>
      <c r="DO608" s="155"/>
      <c r="DP608" s="155"/>
      <c r="DQ608" s="155"/>
      <c r="DR608" s="155"/>
      <c r="DS608" s="155"/>
      <c r="DT608" s="155"/>
      <c r="DU608" s="155"/>
      <c r="DV608" s="155"/>
      <c r="DW608" s="155"/>
      <c r="DX608" s="155"/>
    </row>
    <row r="609" spans="1:128" ht="18" customHeight="1">
      <c r="A609" s="155"/>
      <c r="B609" s="155"/>
      <c r="C609" s="155"/>
      <c r="D609" s="155"/>
      <c r="E609" s="155"/>
      <c r="F609" s="155"/>
      <c r="G609" s="155"/>
      <c r="H609" s="155"/>
      <c r="I609" s="270"/>
      <c r="J609" s="270"/>
      <c r="K609" s="270"/>
      <c r="L609" s="270"/>
      <c r="M609" s="270"/>
      <c r="N609" s="270"/>
      <c r="O609" s="155"/>
      <c r="P609" s="155"/>
      <c r="Q609" s="155"/>
      <c r="R609" s="155"/>
      <c r="S609" s="155"/>
      <c r="T609" s="155"/>
      <c r="U609" s="158"/>
      <c r="V609" s="155"/>
      <c r="W609" s="155"/>
      <c r="X609" s="263"/>
      <c r="Y609" s="155"/>
      <c r="Z609" s="155"/>
      <c r="AA609" s="263"/>
      <c r="AB609" s="263"/>
      <c r="AC609" s="155"/>
      <c r="AD609" s="155"/>
      <c r="AE609" s="155"/>
      <c r="AF609" s="155"/>
      <c r="AG609" s="155"/>
      <c r="AH609" s="155"/>
      <c r="AI609" s="155"/>
      <c r="AJ609" s="155"/>
      <c r="AK609" s="155"/>
      <c r="AL609" s="155"/>
      <c r="AM609" s="155"/>
      <c r="AN609" s="155"/>
      <c r="AO609" s="155"/>
      <c r="AP609" s="49"/>
      <c r="AQ609" s="49"/>
      <c r="AR609" s="155"/>
      <c r="AS609" s="155"/>
      <c r="AT609" s="155"/>
      <c r="AU609" s="155"/>
      <c r="AV609" s="155"/>
      <c r="AW609" s="155"/>
      <c r="AX609" s="155"/>
      <c r="AY609" s="155"/>
      <c r="AZ609" s="49"/>
      <c r="BA609" s="49"/>
      <c r="BB609" s="49"/>
      <c r="BC609" s="49"/>
      <c r="BD609" s="49"/>
      <c r="BE609" s="49"/>
      <c r="BF609" s="49"/>
      <c r="BG609" s="49"/>
      <c r="BH609" s="49"/>
      <c r="BI609" s="155"/>
      <c r="BJ609" s="155"/>
      <c r="BK609" s="155"/>
      <c r="BL609" s="49"/>
      <c r="BM609" s="49"/>
      <c r="BN609" s="49"/>
      <c r="BO609" s="49"/>
      <c r="BP609" s="49"/>
      <c r="BQ609" s="49"/>
      <c r="BR609" s="49"/>
      <c r="BS609" s="49"/>
      <c r="BT609" s="49"/>
      <c r="BU609" s="49"/>
      <c r="BV609" s="49"/>
      <c r="BW609" s="49"/>
      <c r="BX609" s="49"/>
      <c r="BY609" s="49"/>
      <c r="BZ609" s="49"/>
      <c r="CA609" s="49"/>
      <c r="CB609" s="49"/>
      <c r="CC609" s="49"/>
      <c r="CD609" s="49"/>
      <c r="CE609" s="49"/>
      <c r="CF609" s="49"/>
      <c r="CG609" s="49"/>
      <c r="CH609" s="49"/>
      <c r="CI609" s="49"/>
      <c r="CJ609" s="49"/>
      <c r="CK609" s="49"/>
      <c r="CL609" s="49"/>
      <c r="CM609" s="49"/>
      <c r="CN609" s="49"/>
      <c r="CO609" s="49"/>
      <c r="CP609" s="49"/>
      <c r="CQ609" s="49"/>
      <c r="CR609" s="49"/>
      <c r="CS609" s="49"/>
      <c r="CT609" s="155"/>
      <c r="CU609" s="155"/>
      <c r="CV609" s="155"/>
      <c r="CW609" s="155"/>
      <c r="CX609" s="155"/>
      <c r="CY609" s="155"/>
      <c r="CZ609" s="155"/>
      <c r="DA609" s="155"/>
      <c r="DB609" s="155"/>
      <c r="DC609" s="155"/>
      <c r="DD609" s="155"/>
      <c r="DE609" s="155"/>
      <c r="DF609" s="155"/>
      <c r="DG609" s="155"/>
      <c r="DH609" s="155"/>
      <c r="DI609" s="155"/>
      <c r="DJ609" s="155"/>
      <c r="DK609" s="155"/>
      <c r="DL609" s="155"/>
      <c r="DM609" s="155"/>
      <c r="DN609" s="155"/>
      <c r="DO609" s="155"/>
      <c r="DP609" s="155"/>
      <c r="DQ609" s="155"/>
      <c r="DR609" s="155"/>
      <c r="DS609" s="155"/>
      <c r="DT609" s="155"/>
      <c r="DU609" s="155"/>
      <c r="DV609" s="155"/>
      <c r="DW609" s="155"/>
      <c r="DX609" s="155"/>
    </row>
    <row r="610" spans="1:128" ht="18" customHeight="1">
      <c r="A610" s="155"/>
      <c r="B610" s="155"/>
      <c r="C610" s="155"/>
      <c r="D610" s="155"/>
      <c r="E610" s="155"/>
      <c r="F610" s="155"/>
      <c r="G610" s="155"/>
      <c r="H610" s="155"/>
      <c r="I610" s="270"/>
      <c r="J610" s="270"/>
      <c r="K610" s="270"/>
      <c r="L610" s="270"/>
      <c r="M610" s="270"/>
      <c r="N610" s="270"/>
      <c r="O610" s="155"/>
      <c r="P610" s="155"/>
      <c r="Q610" s="155"/>
      <c r="R610" s="155"/>
      <c r="S610" s="155"/>
      <c r="T610" s="155"/>
      <c r="U610" s="158"/>
      <c r="V610" s="155"/>
      <c r="W610" s="155"/>
      <c r="X610" s="263"/>
      <c r="Y610" s="155"/>
      <c r="Z610" s="155"/>
      <c r="AA610" s="263"/>
      <c r="AB610" s="263"/>
      <c r="AC610" s="155"/>
      <c r="AD610" s="155"/>
      <c r="AE610" s="155"/>
      <c r="AF610" s="155"/>
      <c r="AG610" s="155"/>
      <c r="AH610" s="155"/>
      <c r="AI610" s="155"/>
      <c r="AJ610" s="155"/>
      <c r="AK610" s="155"/>
      <c r="AL610" s="155"/>
      <c r="AM610" s="155"/>
      <c r="AN610" s="155"/>
      <c r="AO610" s="155"/>
      <c r="AP610" s="49"/>
      <c r="AQ610" s="49"/>
      <c r="AR610" s="155"/>
      <c r="AS610" s="155"/>
      <c r="AT610" s="155"/>
      <c r="AU610" s="155"/>
      <c r="AV610" s="155"/>
      <c r="AW610" s="155"/>
      <c r="AX610" s="155"/>
      <c r="AY610" s="155"/>
      <c r="AZ610" s="49"/>
      <c r="BA610" s="49"/>
      <c r="BB610" s="49"/>
      <c r="BC610" s="49"/>
      <c r="BD610" s="49"/>
      <c r="BE610" s="49"/>
      <c r="BF610" s="49"/>
      <c r="BG610" s="49"/>
      <c r="BH610" s="49"/>
      <c r="BI610" s="155"/>
      <c r="BJ610" s="155"/>
      <c r="BK610" s="155"/>
      <c r="BL610" s="49"/>
      <c r="BM610" s="49"/>
      <c r="BN610" s="49"/>
      <c r="BO610" s="49"/>
      <c r="BP610" s="49"/>
      <c r="BQ610" s="49"/>
      <c r="BR610" s="49"/>
      <c r="BS610" s="49"/>
      <c r="BT610" s="49"/>
      <c r="BU610" s="49"/>
      <c r="BV610" s="49"/>
      <c r="BW610" s="49"/>
      <c r="BX610" s="49"/>
      <c r="BY610" s="49"/>
      <c r="BZ610" s="49"/>
      <c r="CA610" s="49"/>
      <c r="CB610" s="49"/>
      <c r="CC610" s="49"/>
      <c r="CD610" s="49"/>
      <c r="CE610" s="49"/>
      <c r="CF610" s="49"/>
      <c r="CG610" s="49"/>
      <c r="CH610" s="49"/>
      <c r="CI610" s="49"/>
      <c r="CJ610" s="49"/>
      <c r="CK610" s="49"/>
      <c r="CL610" s="49"/>
      <c r="CM610" s="49"/>
      <c r="CN610" s="49"/>
      <c r="CO610" s="49"/>
      <c r="CP610" s="49"/>
      <c r="CQ610" s="49"/>
      <c r="CR610" s="49"/>
      <c r="CS610" s="49"/>
      <c r="CT610" s="155"/>
      <c r="CU610" s="155"/>
      <c r="CV610" s="155"/>
      <c r="CW610" s="155"/>
      <c r="CX610" s="155"/>
      <c r="CY610" s="155"/>
      <c r="CZ610" s="155"/>
      <c r="DA610" s="155"/>
      <c r="DB610" s="155"/>
      <c r="DC610" s="155"/>
      <c r="DD610" s="155"/>
      <c r="DE610" s="155"/>
      <c r="DF610" s="155"/>
      <c r="DG610" s="155"/>
      <c r="DH610" s="155"/>
      <c r="DI610" s="155"/>
      <c r="DJ610" s="155"/>
      <c r="DK610" s="155"/>
      <c r="DL610" s="155"/>
      <c r="DM610" s="155"/>
      <c r="DN610" s="155"/>
      <c r="DO610" s="155"/>
      <c r="DP610" s="155"/>
      <c r="DQ610" s="155"/>
      <c r="DR610" s="155"/>
      <c r="DS610" s="155"/>
      <c r="DT610" s="155"/>
      <c r="DU610" s="155"/>
      <c r="DV610" s="155"/>
      <c r="DW610" s="155"/>
      <c r="DX610" s="155"/>
    </row>
    <row r="611" spans="1:128" ht="18" customHeight="1">
      <c r="A611" s="155"/>
      <c r="B611" s="155"/>
      <c r="C611" s="155"/>
      <c r="D611" s="155"/>
      <c r="E611" s="155"/>
      <c r="F611" s="155"/>
      <c r="G611" s="155"/>
      <c r="H611" s="155"/>
      <c r="I611" s="270"/>
      <c r="J611" s="270"/>
      <c r="K611" s="270"/>
      <c r="L611" s="270"/>
      <c r="M611" s="270"/>
      <c r="N611" s="270"/>
      <c r="O611" s="155"/>
      <c r="P611" s="155"/>
      <c r="Q611" s="155"/>
      <c r="R611" s="155"/>
      <c r="S611" s="155"/>
      <c r="T611" s="155"/>
      <c r="U611" s="158"/>
      <c r="V611" s="155"/>
      <c r="W611" s="155"/>
      <c r="X611" s="263"/>
      <c r="Y611" s="155"/>
      <c r="Z611" s="155"/>
      <c r="AA611" s="263"/>
      <c r="AB611" s="263"/>
      <c r="AC611" s="155"/>
      <c r="AD611" s="155"/>
      <c r="AE611" s="155"/>
      <c r="AF611" s="155"/>
      <c r="AG611" s="155"/>
      <c r="AH611" s="155"/>
      <c r="AI611" s="155"/>
      <c r="AJ611" s="155"/>
      <c r="AK611" s="155"/>
      <c r="AL611" s="155"/>
      <c r="AM611" s="155"/>
      <c r="AN611" s="155"/>
      <c r="AO611" s="155"/>
      <c r="AP611" s="49"/>
      <c r="AQ611" s="49"/>
      <c r="AR611" s="155"/>
      <c r="AS611" s="155"/>
      <c r="AT611" s="155"/>
      <c r="AU611" s="155"/>
      <c r="AV611" s="155"/>
      <c r="AW611" s="155"/>
      <c r="AX611" s="155"/>
      <c r="AY611" s="155"/>
      <c r="AZ611" s="49"/>
      <c r="BA611" s="49"/>
      <c r="BB611" s="49"/>
      <c r="BC611" s="49"/>
      <c r="BD611" s="49"/>
      <c r="BE611" s="49"/>
      <c r="BF611" s="49"/>
      <c r="BG611" s="49"/>
      <c r="BH611" s="49"/>
      <c r="BI611" s="155"/>
      <c r="BJ611" s="155"/>
      <c r="BK611" s="155"/>
      <c r="BL611" s="49"/>
      <c r="BM611" s="49"/>
      <c r="BN611" s="49"/>
      <c r="BO611" s="49"/>
      <c r="BP611" s="49"/>
      <c r="BQ611" s="49"/>
      <c r="BR611" s="49"/>
      <c r="BS611" s="49"/>
      <c r="BT611" s="49"/>
      <c r="BU611" s="49"/>
      <c r="BV611" s="49"/>
      <c r="BW611" s="49"/>
      <c r="BX611" s="49"/>
      <c r="BY611" s="49"/>
      <c r="BZ611" s="49"/>
      <c r="CA611" s="49"/>
      <c r="CB611" s="49"/>
      <c r="CC611" s="49"/>
      <c r="CD611" s="49"/>
      <c r="CE611" s="49"/>
      <c r="CF611" s="49"/>
      <c r="CG611" s="49"/>
      <c r="CH611" s="49"/>
      <c r="CI611" s="49"/>
      <c r="CJ611" s="49"/>
      <c r="CK611" s="49"/>
      <c r="CL611" s="49"/>
      <c r="CM611" s="49"/>
      <c r="CN611" s="49"/>
      <c r="CO611" s="49"/>
      <c r="CP611" s="49"/>
      <c r="CQ611" s="49"/>
      <c r="CR611" s="49"/>
      <c r="CS611" s="49"/>
      <c r="CT611" s="155"/>
      <c r="CU611" s="155"/>
      <c r="CV611" s="155"/>
      <c r="CW611" s="155"/>
      <c r="CX611" s="155"/>
      <c r="CY611" s="155"/>
      <c r="CZ611" s="155"/>
      <c r="DA611" s="155"/>
      <c r="DB611" s="155"/>
      <c r="DC611" s="155"/>
      <c r="DD611" s="155"/>
      <c r="DE611" s="155"/>
      <c r="DF611" s="155"/>
      <c r="DG611" s="155"/>
      <c r="DH611" s="155"/>
      <c r="DI611" s="155"/>
      <c r="DJ611" s="155"/>
      <c r="DK611" s="155"/>
      <c r="DL611" s="155"/>
      <c r="DM611" s="155"/>
      <c r="DN611" s="155"/>
      <c r="DO611" s="155"/>
      <c r="DP611" s="155"/>
      <c r="DQ611" s="155"/>
      <c r="DR611" s="155"/>
      <c r="DS611" s="155"/>
      <c r="DT611" s="155"/>
      <c r="DU611" s="155"/>
      <c r="DV611" s="155"/>
      <c r="DW611" s="155"/>
      <c r="DX611" s="155"/>
    </row>
    <row r="612" spans="1:128" ht="18" customHeight="1">
      <c r="A612" s="155"/>
      <c r="B612" s="155"/>
      <c r="C612" s="155"/>
      <c r="D612" s="155"/>
      <c r="E612" s="155"/>
      <c r="F612" s="155"/>
      <c r="G612" s="155"/>
      <c r="H612" s="155"/>
      <c r="I612" s="270"/>
      <c r="J612" s="270"/>
      <c r="K612" s="270"/>
      <c r="L612" s="270"/>
      <c r="M612" s="270"/>
      <c r="N612" s="270"/>
      <c r="O612" s="155"/>
      <c r="P612" s="155"/>
      <c r="Q612" s="155"/>
      <c r="R612" s="155"/>
      <c r="S612" s="155"/>
      <c r="T612" s="155"/>
      <c r="U612" s="158"/>
      <c r="V612" s="155"/>
      <c r="W612" s="155"/>
      <c r="X612" s="263"/>
      <c r="Y612" s="155"/>
      <c r="Z612" s="155"/>
      <c r="AA612" s="263"/>
      <c r="AB612" s="263"/>
      <c r="AC612" s="155"/>
      <c r="AD612" s="155"/>
      <c r="AE612" s="155"/>
      <c r="AF612" s="155"/>
      <c r="AG612" s="155"/>
      <c r="AH612" s="155"/>
      <c r="AI612" s="155"/>
      <c r="AJ612" s="155"/>
      <c r="AK612" s="155"/>
      <c r="AL612" s="155"/>
      <c r="AM612" s="155"/>
      <c r="AN612" s="155"/>
      <c r="AO612" s="155"/>
      <c r="AP612" s="49"/>
      <c r="AQ612" s="49"/>
      <c r="AR612" s="155"/>
      <c r="AS612" s="155"/>
      <c r="AT612" s="155"/>
      <c r="AU612" s="155"/>
      <c r="AV612" s="155"/>
      <c r="AW612" s="155"/>
      <c r="AX612" s="155"/>
      <c r="AY612" s="155"/>
      <c r="AZ612" s="49"/>
      <c r="BA612" s="49"/>
      <c r="BB612" s="49"/>
      <c r="BC612" s="49"/>
      <c r="BD612" s="49"/>
      <c r="BE612" s="49"/>
      <c r="BF612" s="49"/>
      <c r="BG612" s="49"/>
      <c r="BH612" s="49"/>
      <c r="BI612" s="155"/>
      <c r="BJ612" s="155"/>
      <c r="BK612" s="155"/>
      <c r="BL612" s="49"/>
      <c r="BM612" s="49"/>
      <c r="BN612" s="49"/>
      <c r="BO612" s="49"/>
      <c r="BP612" s="49"/>
      <c r="BQ612" s="49"/>
      <c r="BR612" s="49"/>
      <c r="BS612" s="49"/>
      <c r="BT612" s="49"/>
      <c r="BU612" s="49"/>
      <c r="BV612" s="49"/>
      <c r="BW612" s="49"/>
      <c r="BX612" s="49"/>
      <c r="BY612" s="49"/>
      <c r="BZ612" s="49"/>
      <c r="CA612" s="49"/>
      <c r="CB612" s="49"/>
      <c r="CC612" s="49"/>
      <c r="CD612" s="49"/>
      <c r="CE612" s="49"/>
      <c r="CF612" s="49"/>
      <c r="CG612" s="49"/>
      <c r="CH612" s="49"/>
      <c r="CI612" s="49"/>
      <c r="CJ612" s="49"/>
      <c r="CK612" s="49"/>
      <c r="CL612" s="49"/>
      <c r="CM612" s="49"/>
      <c r="CN612" s="49"/>
      <c r="CO612" s="49"/>
      <c r="CP612" s="49"/>
      <c r="CQ612" s="49"/>
      <c r="CR612" s="49"/>
      <c r="CS612" s="49"/>
      <c r="CT612" s="155"/>
      <c r="CU612" s="155"/>
      <c r="CV612" s="155"/>
      <c r="CW612" s="155"/>
      <c r="CX612" s="155"/>
      <c r="CY612" s="155"/>
      <c r="CZ612" s="155"/>
      <c r="DA612" s="155"/>
      <c r="DB612" s="155"/>
      <c r="DC612" s="155"/>
      <c r="DD612" s="155"/>
      <c r="DE612" s="155"/>
      <c r="DF612" s="155"/>
      <c r="DG612" s="155"/>
      <c r="DH612" s="155"/>
      <c r="DI612" s="155"/>
      <c r="DJ612" s="155"/>
      <c r="DK612" s="155"/>
      <c r="DL612" s="155"/>
      <c r="DM612" s="155"/>
      <c r="DN612" s="155"/>
      <c r="DO612" s="155"/>
      <c r="DP612" s="155"/>
      <c r="DQ612" s="155"/>
      <c r="DR612" s="155"/>
      <c r="DS612" s="155"/>
      <c r="DT612" s="155"/>
      <c r="DU612" s="155"/>
      <c r="DV612" s="155"/>
      <c r="DW612" s="155"/>
      <c r="DX612" s="155"/>
    </row>
    <row r="613" spans="1:128" ht="18" customHeight="1">
      <c r="A613" s="155"/>
      <c r="B613" s="155"/>
      <c r="C613" s="155"/>
      <c r="D613" s="155"/>
      <c r="E613" s="155"/>
      <c r="F613" s="155"/>
      <c r="G613" s="155"/>
      <c r="H613" s="155"/>
      <c r="I613" s="270"/>
      <c r="J613" s="270"/>
      <c r="K613" s="270"/>
      <c r="L613" s="270"/>
      <c r="M613" s="270"/>
      <c r="N613" s="270"/>
      <c r="O613" s="155"/>
      <c r="P613" s="155"/>
      <c r="Q613" s="155"/>
      <c r="R613" s="155"/>
      <c r="S613" s="155"/>
      <c r="T613" s="155"/>
      <c r="U613" s="158"/>
      <c r="V613" s="155"/>
      <c r="W613" s="155"/>
      <c r="X613" s="263"/>
      <c r="Y613" s="155"/>
      <c r="Z613" s="155"/>
      <c r="AA613" s="263"/>
      <c r="AB613" s="263"/>
      <c r="AC613" s="155"/>
      <c r="AD613" s="155"/>
      <c r="AE613" s="155"/>
      <c r="AF613" s="155"/>
      <c r="AG613" s="155"/>
      <c r="AH613" s="155"/>
      <c r="AI613" s="155"/>
      <c r="AJ613" s="155"/>
      <c r="AK613" s="155"/>
      <c r="AL613" s="155"/>
      <c r="AM613" s="155"/>
      <c r="AN613" s="155"/>
      <c r="AO613" s="155"/>
      <c r="AP613" s="49"/>
      <c r="AQ613" s="49"/>
      <c r="AR613" s="155"/>
      <c r="AS613" s="155"/>
      <c r="AT613" s="155"/>
      <c r="AU613" s="155"/>
      <c r="AV613" s="155"/>
      <c r="AW613" s="155"/>
      <c r="AX613" s="155"/>
      <c r="AY613" s="155"/>
      <c r="AZ613" s="49"/>
      <c r="BA613" s="49"/>
      <c r="BB613" s="49"/>
      <c r="BC613" s="49"/>
      <c r="BD613" s="49"/>
      <c r="BE613" s="49"/>
      <c r="BF613" s="49"/>
      <c r="BG613" s="49"/>
      <c r="BH613" s="49"/>
      <c r="BI613" s="155"/>
      <c r="BJ613" s="155"/>
      <c r="BK613" s="155"/>
      <c r="BL613" s="49"/>
      <c r="BM613" s="49"/>
      <c r="BN613" s="49"/>
      <c r="BO613" s="49"/>
      <c r="BP613" s="49"/>
      <c r="BQ613" s="49"/>
      <c r="BR613" s="49"/>
      <c r="BS613" s="49"/>
      <c r="BT613" s="49"/>
      <c r="BU613" s="49"/>
      <c r="BV613" s="49"/>
      <c r="BW613" s="49"/>
      <c r="BX613" s="49"/>
      <c r="BY613" s="49"/>
      <c r="BZ613" s="49"/>
      <c r="CA613" s="49"/>
      <c r="CB613" s="49"/>
      <c r="CC613" s="49"/>
      <c r="CD613" s="49"/>
      <c r="CE613" s="49"/>
      <c r="CF613" s="49"/>
      <c r="CG613" s="49"/>
      <c r="CH613" s="49"/>
      <c r="CI613" s="49"/>
      <c r="CJ613" s="49"/>
      <c r="CK613" s="49"/>
      <c r="CL613" s="49"/>
      <c r="CM613" s="49"/>
      <c r="CN613" s="49"/>
      <c r="CO613" s="49"/>
      <c r="CP613" s="49"/>
      <c r="CQ613" s="49"/>
      <c r="CR613" s="49"/>
      <c r="CS613" s="49"/>
      <c r="CT613" s="155"/>
      <c r="CU613" s="155"/>
      <c r="CV613" s="155"/>
      <c r="CW613" s="155"/>
      <c r="CX613" s="155"/>
      <c r="CY613" s="155"/>
      <c r="CZ613" s="155"/>
      <c r="DA613" s="155"/>
      <c r="DB613" s="155"/>
      <c r="DC613" s="155"/>
      <c r="DD613" s="155"/>
      <c r="DE613" s="155"/>
      <c r="DF613" s="155"/>
      <c r="DG613" s="155"/>
      <c r="DH613" s="155"/>
      <c r="DI613" s="155"/>
      <c r="DJ613" s="155"/>
      <c r="DK613" s="155"/>
      <c r="DL613" s="155"/>
      <c r="DM613" s="155"/>
      <c r="DN613" s="155"/>
      <c r="DO613" s="155"/>
      <c r="DP613" s="155"/>
      <c r="DQ613" s="155"/>
      <c r="DR613" s="155"/>
      <c r="DS613" s="155"/>
      <c r="DT613" s="155"/>
      <c r="DU613" s="155"/>
      <c r="DV613" s="155"/>
      <c r="DW613" s="155"/>
      <c r="DX613" s="155"/>
    </row>
    <row r="614" spans="1:128" ht="18" customHeight="1">
      <c r="A614" s="155"/>
      <c r="B614" s="155"/>
      <c r="C614" s="155"/>
      <c r="D614" s="155"/>
      <c r="E614" s="155"/>
      <c r="F614" s="155"/>
      <c r="G614" s="155"/>
      <c r="H614" s="155"/>
      <c r="I614" s="270"/>
      <c r="J614" s="270"/>
      <c r="K614" s="270"/>
      <c r="L614" s="270"/>
      <c r="M614" s="270"/>
      <c r="N614" s="270"/>
      <c r="O614" s="155"/>
      <c r="P614" s="155"/>
      <c r="Q614" s="155"/>
      <c r="R614" s="155"/>
      <c r="S614" s="155"/>
      <c r="T614" s="155"/>
      <c r="U614" s="158"/>
      <c r="V614" s="155"/>
      <c r="W614" s="155"/>
      <c r="X614" s="263"/>
      <c r="Y614" s="155"/>
      <c r="Z614" s="155"/>
      <c r="AA614" s="263"/>
      <c r="AB614" s="263"/>
      <c r="AC614" s="155"/>
      <c r="AD614" s="155"/>
      <c r="AE614" s="155"/>
      <c r="AF614" s="155"/>
      <c r="AG614" s="155"/>
      <c r="AH614" s="155"/>
      <c r="AI614" s="155"/>
      <c r="AJ614" s="155"/>
      <c r="AK614" s="155"/>
      <c r="AL614" s="155"/>
      <c r="AM614" s="155"/>
      <c r="AN614" s="155"/>
      <c r="AO614" s="155"/>
      <c r="AP614" s="49"/>
      <c r="AQ614" s="49"/>
      <c r="AR614" s="155"/>
      <c r="AS614" s="155"/>
      <c r="AT614" s="155"/>
      <c r="AU614" s="155"/>
      <c r="AV614" s="155"/>
      <c r="AW614" s="155"/>
      <c r="AX614" s="155"/>
      <c r="AY614" s="155"/>
      <c r="AZ614" s="49"/>
      <c r="BA614" s="49"/>
      <c r="BB614" s="49"/>
      <c r="BC614" s="49"/>
      <c r="BD614" s="49"/>
      <c r="BE614" s="49"/>
      <c r="BF614" s="49"/>
      <c r="BG614" s="49"/>
      <c r="BH614" s="49"/>
      <c r="BI614" s="155"/>
      <c r="BJ614" s="155"/>
      <c r="BK614" s="155"/>
      <c r="BL614" s="49"/>
      <c r="BM614" s="49"/>
      <c r="BN614" s="49"/>
      <c r="BO614" s="49"/>
      <c r="BP614" s="49"/>
      <c r="BQ614" s="49"/>
      <c r="BR614" s="49"/>
      <c r="BS614" s="49"/>
      <c r="BT614" s="49"/>
      <c r="BU614" s="49"/>
      <c r="BV614" s="49"/>
      <c r="BW614" s="49"/>
      <c r="BX614" s="49"/>
      <c r="BY614" s="49"/>
      <c r="BZ614" s="49"/>
      <c r="CA614" s="49"/>
      <c r="CB614" s="49"/>
      <c r="CC614" s="49"/>
      <c r="CD614" s="49"/>
      <c r="CE614" s="49"/>
      <c r="CF614" s="49"/>
      <c r="CG614" s="49"/>
      <c r="CH614" s="49"/>
      <c r="CI614" s="49"/>
      <c r="CJ614" s="49"/>
      <c r="CK614" s="49"/>
      <c r="CL614" s="49"/>
      <c r="CM614" s="49"/>
      <c r="CN614" s="49"/>
      <c r="CO614" s="49"/>
      <c r="CP614" s="49"/>
      <c r="CQ614" s="49"/>
      <c r="CR614" s="49"/>
      <c r="CS614" s="49"/>
      <c r="CT614" s="155"/>
      <c r="CU614" s="155"/>
      <c r="CV614" s="155"/>
      <c r="CW614" s="155"/>
      <c r="CX614" s="155"/>
      <c r="CY614" s="155"/>
      <c r="CZ614" s="155"/>
      <c r="DA614" s="155"/>
      <c r="DB614" s="155"/>
      <c r="DC614" s="155"/>
      <c r="DD614" s="155"/>
      <c r="DE614" s="155"/>
      <c r="DF614" s="155"/>
      <c r="DG614" s="155"/>
      <c r="DH614" s="155"/>
      <c r="DI614" s="155"/>
      <c r="DJ614" s="155"/>
      <c r="DK614" s="155"/>
      <c r="DL614" s="155"/>
      <c r="DM614" s="155"/>
      <c r="DN614" s="155"/>
      <c r="DO614" s="155"/>
      <c r="DP614" s="155"/>
      <c r="DQ614" s="155"/>
      <c r="DR614" s="155"/>
      <c r="DS614" s="155"/>
      <c r="DT614" s="155"/>
      <c r="DU614" s="155"/>
      <c r="DV614" s="155"/>
      <c r="DW614" s="155"/>
      <c r="DX614" s="155"/>
    </row>
    <row r="615" spans="1:128" ht="18" customHeight="1">
      <c r="A615" s="155"/>
      <c r="B615" s="155"/>
      <c r="C615" s="155"/>
      <c r="D615" s="155"/>
      <c r="E615" s="155"/>
      <c r="F615" s="155"/>
      <c r="G615" s="155"/>
      <c r="H615" s="155"/>
      <c r="I615" s="270"/>
      <c r="J615" s="270"/>
      <c r="K615" s="270"/>
      <c r="L615" s="270"/>
      <c r="M615" s="270"/>
      <c r="N615" s="270"/>
      <c r="O615" s="155"/>
      <c r="P615" s="155"/>
      <c r="Q615" s="155"/>
      <c r="R615" s="155"/>
      <c r="S615" s="155"/>
      <c r="T615" s="155"/>
      <c r="U615" s="158"/>
      <c r="V615" s="155"/>
      <c r="W615" s="155"/>
      <c r="X615" s="263"/>
      <c r="Y615" s="155"/>
      <c r="Z615" s="155"/>
      <c r="AA615" s="263"/>
      <c r="AB615" s="263"/>
      <c r="AC615" s="155"/>
      <c r="AD615" s="155"/>
      <c r="AE615" s="155"/>
      <c r="AF615" s="155"/>
      <c r="AG615" s="155"/>
      <c r="AH615" s="155"/>
      <c r="AI615" s="155"/>
      <c r="AJ615" s="155"/>
      <c r="AK615" s="155"/>
      <c r="AL615" s="155"/>
      <c r="AM615" s="155"/>
      <c r="AN615" s="155"/>
      <c r="AO615" s="155"/>
      <c r="AP615" s="49"/>
      <c r="AQ615" s="49"/>
      <c r="AR615" s="155"/>
      <c r="AS615" s="155"/>
      <c r="AT615" s="155"/>
      <c r="AU615" s="155"/>
      <c r="AV615" s="155"/>
      <c r="AW615" s="155"/>
      <c r="AX615" s="155"/>
      <c r="AY615" s="155"/>
      <c r="AZ615" s="49"/>
      <c r="BA615" s="49"/>
      <c r="BB615" s="49"/>
      <c r="BC615" s="49"/>
      <c r="BD615" s="49"/>
      <c r="BE615" s="49"/>
      <c r="BF615" s="49"/>
      <c r="BG615" s="49"/>
      <c r="BH615" s="49"/>
      <c r="BI615" s="155"/>
      <c r="BJ615" s="155"/>
      <c r="BK615" s="155"/>
      <c r="BL615" s="49"/>
      <c r="BM615" s="49"/>
      <c r="BN615" s="49"/>
      <c r="BO615" s="49"/>
      <c r="BP615" s="49"/>
      <c r="BQ615" s="49"/>
      <c r="BR615" s="49"/>
      <c r="BS615" s="49"/>
      <c r="BT615" s="49"/>
      <c r="BU615" s="49"/>
      <c r="BV615" s="49"/>
      <c r="BW615" s="49"/>
      <c r="BX615" s="49"/>
      <c r="BY615" s="49"/>
      <c r="BZ615" s="49"/>
      <c r="CA615" s="49"/>
      <c r="CB615" s="49"/>
      <c r="CC615" s="49"/>
      <c r="CD615" s="49"/>
      <c r="CE615" s="49"/>
      <c r="CF615" s="49"/>
      <c r="CG615" s="49"/>
      <c r="CH615" s="49"/>
      <c r="CI615" s="49"/>
      <c r="CJ615" s="49"/>
      <c r="CK615" s="49"/>
      <c r="CL615" s="49"/>
      <c r="CM615" s="49"/>
      <c r="CN615" s="49"/>
      <c r="CO615" s="49"/>
      <c r="CP615" s="49"/>
      <c r="CQ615" s="49"/>
      <c r="CR615" s="49"/>
      <c r="CS615" s="49"/>
      <c r="CT615" s="155"/>
      <c r="CU615" s="155"/>
      <c r="CV615" s="155"/>
      <c r="CW615" s="155"/>
      <c r="CX615" s="155"/>
      <c r="CY615" s="155"/>
      <c r="CZ615" s="155"/>
      <c r="DA615" s="155"/>
      <c r="DB615" s="155"/>
      <c r="DC615" s="155"/>
      <c r="DD615" s="155"/>
      <c r="DE615" s="155"/>
      <c r="DF615" s="155"/>
      <c r="DG615" s="155"/>
      <c r="DH615" s="155"/>
      <c r="DI615" s="155"/>
      <c r="DJ615" s="155"/>
      <c r="DK615" s="155"/>
      <c r="DL615" s="155"/>
      <c r="DM615" s="155"/>
      <c r="DN615" s="155"/>
      <c r="DO615" s="155"/>
      <c r="DP615" s="155"/>
      <c r="DQ615" s="155"/>
      <c r="DR615" s="155"/>
      <c r="DS615" s="155"/>
      <c r="DT615" s="155"/>
      <c r="DU615" s="155"/>
      <c r="DV615" s="155"/>
      <c r="DW615" s="155"/>
      <c r="DX615" s="155"/>
    </row>
    <row r="616" spans="1:128" ht="18" customHeight="1">
      <c r="A616" s="155"/>
      <c r="B616" s="155"/>
      <c r="C616" s="155"/>
      <c r="D616" s="155"/>
      <c r="E616" s="155"/>
      <c r="F616" s="155"/>
      <c r="G616" s="155"/>
      <c r="H616" s="155"/>
      <c r="I616" s="270"/>
      <c r="J616" s="270"/>
      <c r="K616" s="270"/>
      <c r="L616" s="270"/>
      <c r="M616" s="270"/>
      <c r="N616" s="270"/>
      <c r="O616" s="155"/>
      <c r="P616" s="155"/>
      <c r="Q616" s="155"/>
      <c r="R616" s="155"/>
      <c r="S616" s="155"/>
      <c r="T616" s="155"/>
      <c r="U616" s="158"/>
      <c r="V616" s="155"/>
      <c r="W616" s="155"/>
      <c r="X616" s="263"/>
      <c r="Y616" s="155"/>
      <c r="Z616" s="155"/>
      <c r="AA616" s="263"/>
      <c r="AB616" s="263"/>
      <c r="AC616" s="155"/>
      <c r="AD616" s="155"/>
      <c r="AE616" s="155"/>
      <c r="AF616" s="155"/>
      <c r="AG616" s="155"/>
      <c r="AH616" s="155"/>
      <c r="AI616" s="155"/>
      <c r="AJ616" s="155"/>
      <c r="AK616" s="155"/>
      <c r="AL616" s="155"/>
      <c r="AM616" s="155"/>
      <c r="AN616" s="155"/>
      <c r="AO616" s="155"/>
      <c r="AP616" s="49"/>
      <c r="AQ616" s="49"/>
      <c r="AR616" s="155"/>
      <c r="AS616" s="155"/>
      <c r="AT616" s="155"/>
      <c r="AU616" s="155"/>
      <c r="AV616" s="155"/>
      <c r="AW616" s="155"/>
      <c r="AX616" s="155"/>
      <c r="AY616" s="155"/>
      <c r="AZ616" s="49"/>
      <c r="BA616" s="49"/>
      <c r="BB616" s="49"/>
      <c r="BC616" s="49"/>
      <c r="BD616" s="49"/>
      <c r="BE616" s="49"/>
      <c r="BF616" s="49"/>
      <c r="BG616" s="49"/>
      <c r="BH616" s="49"/>
      <c r="BI616" s="155"/>
      <c r="BJ616" s="155"/>
      <c r="BK616" s="155"/>
      <c r="BL616" s="49"/>
      <c r="BM616" s="49"/>
      <c r="BN616" s="49"/>
      <c r="BO616" s="49"/>
      <c r="BP616" s="49"/>
      <c r="BQ616" s="49"/>
      <c r="BR616" s="49"/>
      <c r="BS616" s="49"/>
      <c r="BT616" s="49"/>
      <c r="BU616" s="49"/>
      <c r="BV616" s="49"/>
      <c r="BW616" s="49"/>
      <c r="BX616" s="49"/>
      <c r="BY616" s="49"/>
      <c r="BZ616" s="49"/>
      <c r="CA616" s="49"/>
      <c r="CB616" s="49"/>
      <c r="CC616" s="49"/>
      <c r="CD616" s="49"/>
      <c r="CE616" s="49"/>
      <c r="CF616" s="49"/>
      <c r="CG616" s="49"/>
      <c r="CH616" s="49"/>
      <c r="CI616" s="49"/>
      <c r="CJ616" s="49"/>
      <c r="CK616" s="49"/>
      <c r="CL616" s="49"/>
      <c r="CM616" s="49"/>
      <c r="CN616" s="49"/>
      <c r="CO616" s="49"/>
      <c r="CP616" s="49"/>
      <c r="CQ616" s="49"/>
      <c r="CR616" s="49"/>
      <c r="CS616" s="49"/>
      <c r="CT616" s="155"/>
      <c r="CU616" s="155"/>
      <c r="CV616" s="155"/>
      <c r="CW616" s="155"/>
      <c r="CX616" s="155"/>
      <c r="CY616" s="155"/>
      <c r="CZ616" s="155"/>
      <c r="DA616" s="155"/>
      <c r="DB616" s="155"/>
      <c r="DC616" s="155"/>
      <c r="DD616" s="155"/>
      <c r="DE616" s="155"/>
      <c r="DF616" s="155"/>
      <c r="DG616" s="155"/>
      <c r="DH616" s="155"/>
      <c r="DI616" s="155"/>
      <c r="DJ616" s="155"/>
      <c r="DK616" s="155"/>
      <c r="DL616" s="155"/>
      <c r="DM616" s="155"/>
      <c r="DN616" s="155"/>
      <c r="DO616" s="155"/>
      <c r="DP616" s="155"/>
      <c r="DQ616" s="155"/>
      <c r="DR616" s="155"/>
      <c r="DS616" s="155"/>
      <c r="DT616" s="155"/>
      <c r="DU616" s="155"/>
      <c r="DV616" s="155"/>
      <c r="DW616" s="155"/>
      <c r="DX616" s="155"/>
    </row>
    <row r="617" spans="1:128" ht="18" customHeight="1">
      <c r="A617" s="155"/>
      <c r="B617" s="155"/>
      <c r="C617" s="155"/>
      <c r="D617" s="155"/>
      <c r="E617" s="155"/>
      <c r="F617" s="155"/>
      <c r="G617" s="155"/>
      <c r="H617" s="155"/>
      <c r="I617" s="270"/>
      <c r="J617" s="270"/>
      <c r="K617" s="270"/>
      <c r="L617" s="270"/>
      <c r="M617" s="270"/>
      <c r="N617" s="270"/>
      <c r="O617" s="155"/>
      <c r="P617" s="155"/>
      <c r="Q617" s="155"/>
      <c r="R617" s="155"/>
      <c r="S617" s="155"/>
      <c r="T617" s="155"/>
      <c r="U617" s="158"/>
      <c r="V617" s="155"/>
      <c r="W617" s="155"/>
      <c r="X617" s="263"/>
      <c r="Y617" s="155"/>
      <c r="Z617" s="155"/>
      <c r="AA617" s="263"/>
      <c r="AB617" s="263"/>
      <c r="AC617" s="155"/>
      <c r="AD617" s="155"/>
      <c r="AE617" s="155"/>
      <c r="AF617" s="155"/>
      <c r="AG617" s="155"/>
      <c r="AH617" s="155"/>
      <c r="AI617" s="155"/>
      <c r="AJ617" s="155"/>
      <c r="AK617" s="155"/>
      <c r="AL617" s="155"/>
      <c r="AM617" s="155"/>
      <c r="AN617" s="155"/>
      <c r="AO617" s="155"/>
      <c r="AP617" s="49"/>
      <c r="AQ617" s="49"/>
      <c r="AR617" s="155"/>
      <c r="AS617" s="155"/>
      <c r="AT617" s="155"/>
      <c r="AU617" s="155"/>
      <c r="AV617" s="155"/>
      <c r="AW617" s="155"/>
      <c r="AX617" s="155"/>
      <c r="AY617" s="155"/>
      <c r="AZ617" s="49"/>
      <c r="BA617" s="49"/>
      <c r="BB617" s="49"/>
      <c r="BC617" s="49"/>
      <c r="BD617" s="49"/>
      <c r="BE617" s="49"/>
      <c r="BF617" s="49"/>
      <c r="BG617" s="49"/>
      <c r="BH617" s="49"/>
      <c r="BI617" s="155"/>
      <c r="BJ617" s="155"/>
      <c r="BK617" s="155"/>
      <c r="BL617" s="49"/>
      <c r="BM617" s="49"/>
      <c r="BN617" s="49"/>
      <c r="BO617" s="49"/>
      <c r="BP617" s="49"/>
      <c r="BQ617" s="49"/>
      <c r="BR617" s="49"/>
      <c r="BS617" s="49"/>
      <c r="BT617" s="49"/>
      <c r="BU617" s="49"/>
      <c r="BV617" s="49"/>
      <c r="BW617" s="49"/>
      <c r="BX617" s="49"/>
      <c r="BY617" s="49"/>
      <c r="BZ617" s="49"/>
      <c r="CA617" s="49"/>
      <c r="CB617" s="49"/>
      <c r="CC617" s="49"/>
      <c r="CD617" s="49"/>
      <c r="CE617" s="49"/>
      <c r="CF617" s="49"/>
      <c r="CG617" s="49"/>
      <c r="CH617" s="49"/>
      <c r="CI617" s="49"/>
      <c r="CJ617" s="49"/>
      <c r="CK617" s="49"/>
      <c r="CL617" s="49"/>
      <c r="CM617" s="49"/>
      <c r="CN617" s="49"/>
      <c r="CO617" s="49"/>
      <c r="CP617" s="49"/>
      <c r="CQ617" s="49"/>
      <c r="CR617" s="49"/>
      <c r="CS617" s="49"/>
      <c r="CT617" s="155"/>
      <c r="CU617" s="155"/>
      <c r="CV617" s="155"/>
      <c r="CW617" s="155"/>
      <c r="CX617" s="155"/>
      <c r="CY617" s="155"/>
      <c r="CZ617" s="155"/>
      <c r="DA617" s="155"/>
      <c r="DB617" s="155"/>
      <c r="DC617" s="155"/>
      <c r="DD617" s="155"/>
      <c r="DE617" s="155"/>
      <c r="DF617" s="155"/>
      <c r="DG617" s="155"/>
      <c r="DH617" s="155"/>
      <c r="DI617" s="155"/>
      <c r="DJ617" s="155"/>
      <c r="DK617" s="155"/>
      <c r="DL617" s="155"/>
      <c r="DM617" s="155"/>
      <c r="DN617" s="155"/>
      <c r="DO617" s="155"/>
      <c r="DP617" s="155"/>
      <c r="DQ617" s="155"/>
      <c r="DR617" s="155"/>
      <c r="DS617" s="155"/>
      <c r="DT617" s="155"/>
      <c r="DU617" s="155"/>
      <c r="DV617" s="155"/>
      <c r="DW617" s="155"/>
      <c r="DX617" s="155"/>
    </row>
    <row r="618" spans="1:128" ht="18" customHeight="1">
      <c r="A618" s="155"/>
      <c r="B618" s="155"/>
      <c r="C618" s="155"/>
      <c r="D618" s="155"/>
      <c r="E618" s="155"/>
      <c r="F618" s="155"/>
      <c r="G618" s="155"/>
      <c r="H618" s="155"/>
      <c r="I618" s="270"/>
      <c r="J618" s="270"/>
      <c r="K618" s="270"/>
      <c r="L618" s="270"/>
      <c r="M618" s="270"/>
      <c r="N618" s="270"/>
      <c r="O618" s="155"/>
      <c r="P618" s="155"/>
      <c r="Q618" s="155"/>
      <c r="R618" s="155"/>
      <c r="S618" s="155"/>
      <c r="T618" s="155"/>
      <c r="U618" s="158"/>
      <c r="V618" s="155"/>
      <c r="W618" s="155"/>
      <c r="X618" s="263"/>
      <c r="Y618" s="155"/>
      <c r="Z618" s="155"/>
      <c r="AA618" s="263"/>
      <c r="AB618" s="263"/>
      <c r="AC618" s="155"/>
      <c r="AD618" s="155"/>
      <c r="AE618" s="155"/>
      <c r="AF618" s="155"/>
      <c r="AG618" s="155"/>
      <c r="AH618" s="155"/>
      <c r="AI618" s="155"/>
      <c r="AJ618" s="155"/>
      <c r="AK618" s="155"/>
      <c r="AL618" s="155"/>
      <c r="AM618" s="155"/>
      <c r="AN618" s="155"/>
      <c r="AO618" s="155"/>
      <c r="AP618" s="49"/>
      <c r="AQ618" s="49"/>
      <c r="AR618" s="155"/>
      <c r="AS618" s="155"/>
      <c r="AT618" s="155"/>
      <c r="AU618" s="155"/>
      <c r="AV618" s="155"/>
      <c r="AW618" s="155"/>
      <c r="AX618" s="155"/>
      <c r="AY618" s="155"/>
      <c r="AZ618" s="49"/>
      <c r="BA618" s="49"/>
      <c r="BB618" s="49"/>
      <c r="BC618" s="49"/>
      <c r="BD618" s="49"/>
      <c r="BE618" s="49"/>
      <c r="BF618" s="49"/>
      <c r="BG618" s="49"/>
      <c r="BH618" s="49"/>
      <c r="BI618" s="155"/>
      <c r="BJ618" s="155"/>
      <c r="BK618" s="155"/>
      <c r="BL618" s="49"/>
      <c r="BM618" s="49"/>
      <c r="BN618" s="49"/>
      <c r="BO618" s="49"/>
      <c r="BP618" s="49"/>
      <c r="BQ618" s="49"/>
      <c r="BR618" s="49"/>
      <c r="BS618" s="49"/>
      <c r="BT618" s="49"/>
      <c r="BU618" s="49"/>
      <c r="BV618" s="49"/>
      <c r="BW618" s="49"/>
      <c r="BX618" s="49"/>
      <c r="BY618" s="49"/>
      <c r="BZ618" s="49"/>
      <c r="CA618" s="49"/>
      <c r="CB618" s="49"/>
      <c r="CC618" s="49"/>
      <c r="CD618" s="49"/>
      <c r="CE618" s="49"/>
      <c r="CF618" s="49"/>
      <c r="CG618" s="49"/>
      <c r="CH618" s="49"/>
      <c r="CI618" s="49"/>
      <c r="CJ618" s="49"/>
      <c r="CK618" s="49"/>
      <c r="CL618" s="49"/>
      <c r="CM618" s="49"/>
      <c r="CN618" s="49"/>
      <c r="CO618" s="49"/>
      <c r="CP618" s="49"/>
      <c r="CQ618" s="49"/>
      <c r="CR618" s="49"/>
      <c r="CS618" s="49"/>
      <c r="CT618" s="155"/>
      <c r="CU618" s="155"/>
      <c r="CV618" s="155"/>
      <c r="CW618" s="155"/>
      <c r="CX618" s="155"/>
      <c r="CY618" s="155"/>
      <c r="CZ618" s="155"/>
      <c r="DA618" s="155"/>
      <c r="DB618" s="155"/>
      <c r="DC618" s="155"/>
      <c r="DD618" s="155"/>
      <c r="DE618" s="155"/>
      <c r="DF618" s="155"/>
      <c r="DG618" s="155"/>
      <c r="DH618" s="155"/>
      <c r="DI618" s="155"/>
      <c r="DJ618" s="155"/>
      <c r="DK618" s="155"/>
      <c r="DL618" s="155"/>
      <c r="DM618" s="155"/>
      <c r="DN618" s="155"/>
      <c r="DO618" s="155"/>
      <c r="DP618" s="155"/>
      <c r="DQ618" s="155"/>
      <c r="DR618" s="155"/>
      <c r="DS618" s="155"/>
      <c r="DT618" s="155"/>
      <c r="DU618" s="155"/>
      <c r="DV618" s="155"/>
      <c r="DW618" s="155"/>
      <c r="DX618" s="155"/>
    </row>
    <row r="619" spans="1:128" ht="18" customHeight="1">
      <c r="A619" s="155"/>
      <c r="B619" s="155"/>
      <c r="C619" s="155"/>
      <c r="D619" s="155"/>
      <c r="E619" s="155"/>
      <c r="F619" s="155"/>
      <c r="G619" s="155"/>
      <c r="H619" s="155"/>
      <c r="I619" s="270"/>
      <c r="J619" s="270"/>
      <c r="K619" s="270"/>
      <c r="L619" s="270"/>
      <c r="M619" s="270"/>
      <c r="N619" s="270"/>
      <c r="O619" s="155"/>
      <c r="P619" s="155"/>
      <c r="Q619" s="155"/>
      <c r="R619" s="155"/>
      <c r="S619" s="155"/>
      <c r="T619" s="155"/>
      <c r="U619" s="158"/>
      <c r="V619" s="155"/>
      <c r="W619" s="155"/>
      <c r="X619" s="263"/>
      <c r="Y619" s="155"/>
      <c r="Z619" s="155"/>
      <c r="AA619" s="263"/>
      <c r="AB619" s="263"/>
      <c r="AC619" s="155"/>
      <c r="AD619" s="155"/>
      <c r="AE619" s="155"/>
      <c r="AF619" s="155"/>
      <c r="AG619" s="155"/>
      <c r="AH619" s="155"/>
      <c r="AI619" s="155"/>
      <c r="AJ619" s="155"/>
      <c r="AK619" s="155"/>
      <c r="AL619" s="155"/>
      <c r="AM619" s="155"/>
      <c r="AN619" s="155"/>
      <c r="AO619" s="155"/>
      <c r="AP619" s="49"/>
      <c r="AQ619" s="49"/>
      <c r="AR619" s="155"/>
      <c r="AS619" s="155"/>
      <c r="AT619" s="155"/>
      <c r="AU619" s="155"/>
      <c r="AV619" s="155"/>
      <c r="AW619" s="155"/>
      <c r="AX619" s="155"/>
      <c r="AY619" s="155"/>
      <c r="AZ619" s="49"/>
      <c r="BA619" s="49"/>
      <c r="BB619" s="49"/>
      <c r="BC619" s="49"/>
      <c r="BD619" s="49"/>
      <c r="BE619" s="49"/>
      <c r="BF619" s="49"/>
      <c r="BG619" s="49"/>
      <c r="BH619" s="49"/>
      <c r="BI619" s="155"/>
      <c r="BJ619" s="155"/>
      <c r="BK619" s="155"/>
      <c r="BL619" s="49"/>
      <c r="BM619" s="49"/>
      <c r="BN619" s="49"/>
      <c r="BO619" s="49"/>
      <c r="BP619" s="49"/>
      <c r="BQ619" s="49"/>
      <c r="BR619" s="49"/>
      <c r="BS619" s="49"/>
      <c r="BT619" s="49"/>
      <c r="BU619" s="49"/>
      <c r="BV619" s="49"/>
      <c r="BW619" s="49"/>
      <c r="BX619" s="49"/>
      <c r="BY619" s="49"/>
      <c r="BZ619" s="49"/>
      <c r="CA619" s="49"/>
      <c r="CB619" s="49"/>
      <c r="CC619" s="49"/>
      <c r="CD619" s="49"/>
      <c r="CE619" s="49"/>
      <c r="CF619" s="49"/>
      <c r="CG619" s="49"/>
      <c r="CH619" s="49"/>
      <c r="CI619" s="49"/>
      <c r="CJ619" s="49"/>
      <c r="CK619" s="49"/>
      <c r="CL619" s="49"/>
      <c r="CM619" s="49"/>
      <c r="CN619" s="49"/>
      <c r="CO619" s="49"/>
      <c r="CP619" s="49"/>
      <c r="CQ619" s="49"/>
      <c r="CR619" s="49"/>
      <c r="CS619" s="49"/>
      <c r="CT619" s="155"/>
      <c r="CU619" s="155"/>
      <c r="CV619" s="155"/>
      <c r="CW619" s="155"/>
      <c r="CX619" s="155"/>
      <c r="CY619" s="155"/>
      <c r="CZ619" s="155"/>
      <c r="DA619" s="155"/>
      <c r="DB619" s="155"/>
      <c r="DC619" s="155"/>
      <c r="DD619" s="155"/>
      <c r="DE619" s="155"/>
      <c r="DF619" s="155"/>
      <c r="DG619" s="155"/>
      <c r="DH619" s="155"/>
      <c r="DI619" s="155"/>
      <c r="DJ619" s="155"/>
      <c r="DK619" s="155"/>
      <c r="DL619" s="155"/>
      <c r="DM619" s="155"/>
      <c r="DN619" s="155"/>
      <c r="DO619" s="155"/>
      <c r="DP619" s="155"/>
      <c r="DQ619" s="155"/>
      <c r="DR619" s="155"/>
      <c r="DS619" s="155"/>
      <c r="DT619" s="155"/>
      <c r="DU619" s="155"/>
      <c r="DV619" s="155"/>
      <c r="DW619" s="155"/>
      <c r="DX619" s="155"/>
    </row>
    <row r="620" spans="1:128" ht="18" customHeight="1">
      <c r="A620" s="155"/>
      <c r="B620" s="155"/>
      <c r="C620" s="155"/>
      <c r="D620" s="155"/>
      <c r="E620" s="155"/>
      <c r="F620" s="155"/>
      <c r="G620" s="155"/>
      <c r="H620" s="155"/>
      <c r="I620" s="270"/>
      <c r="J620" s="270"/>
      <c r="K620" s="270"/>
      <c r="L620" s="270"/>
      <c r="M620" s="270"/>
      <c r="N620" s="270"/>
      <c r="O620" s="155"/>
      <c r="P620" s="155"/>
      <c r="Q620" s="155"/>
      <c r="R620" s="155"/>
      <c r="S620" s="155"/>
      <c r="T620" s="155"/>
      <c r="U620" s="158"/>
      <c r="V620" s="155"/>
      <c r="W620" s="155"/>
      <c r="X620" s="263"/>
      <c r="Y620" s="155"/>
      <c r="Z620" s="155"/>
      <c r="AA620" s="263"/>
      <c r="AB620" s="263"/>
      <c r="AC620" s="155"/>
      <c r="AD620" s="155"/>
      <c r="AE620" s="155"/>
      <c r="AF620" s="155"/>
      <c r="AG620" s="155"/>
      <c r="AH620" s="155"/>
      <c r="AI620" s="155"/>
      <c r="AJ620" s="155"/>
      <c r="AK620" s="155"/>
      <c r="AL620" s="155"/>
      <c r="AM620" s="155"/>
      <c r="AN620" s="155"/>
      <c r="AO620" s="155"/>
      <c r="AP620" s="49"/>
      <c r="AQ620" s="49"/>
      <c r="AR620" s="155"/>
      <c r="AS620" s="155"/>
      <c r="AT620" s="155"/>
      <c r="AU620" s="155"/>
      <c r="AV620" s="155"/>
      <c r="AW620" s="155"/>
      <c r="AX620" s="155"/>
      <c r="AY620" s="155"/>
      <c r="AZ620" s="49"/>
      <c r="BA620" s="49"/>
      <c r="BB620" s="49"/>
      <c r="BC620" s="49"/>
      <c r="BD620" s="49"/>
      <c r="BE620" s="49"/>
      <c r="BF620" s="49"/>
      <c r="BG620" s="49"/>
      <c r="BH620" s="49"/>
      <c r="BI620" s="155"/>
      <c r="BJ620" s="155"/>
      <c r="BK620" s="155"/>
      <c r="BL620" s="49"/>
      <c r="BM620" s="49"/>
      <c r="BN620" s="49"/>
      <c r="BO620" s="49"/>
      <c r="BP620" s="49"/>
      <c r="BQ620" s="49"/>
      <c r="BR620" s="49"/>
      <c r="BS620" s="49"/>
      <c r="BT620" s="49"/>
      <c r="BU620" s="49"/>
      <c r="BV620" s="49"/>
      <c r="BW620" s="49"/>
      <c r="BX620" s="49"/>
      <c r="BY620" s="49"/>
      <c r="BZ620" s="49"/>
      <c r="CA620" s="49"/>
      <c r="CB620" s="49"/>
      <c r="CC620" s="49"/>
      <c r="CD620" s="49"/>
      <c r="CE620" s="49"/>
      <c r="CF620" s="49"/>
      <c r="CG620" s="49"/>
      <c r="CH620" s="49"/>
      <c r="CI620" s="49"/>
      <c r="CJ620" s="49"/>
      <c r="CK620" s="49"/>
      <c r="CL620" s="49"/>
      <c r="CM620" s="49"/>
      <c r="CN620" s="49"/>
      <c r="CO620" s="49"/>
      <c r="CP620" s="49"/>
      <c r="CQ620" s="49"/>
      <c r="CR620" s="49"/>
      <c r="CS620" s="49"/>
      <c r="CT620" s="155"/>
      <c r="CU620" s="155"/>
      <c r="CV620" s="155"/>
      <c r="CW620" s="155"/>
      <c r="CX620" s="155"/>
      <c r="CY620" s="155"/>
      <c r="CZ620" s="155"/>
      <c r="DA620" s="155"/>
      <c r="DB620" s="155"/>
      <c r="DC620" s="155"/>
      <c r="DD620" s="155"/>
      <c r="DE620" s="155"/>
      <c r="DF620" s="155"/>
      <c r="DG620" s="155"/>
      <c r="DH620" s="155"/>
      <c r="DI620" s="155"/>
      <c r="DJ620" s="155"/>
      <c r="DK620" s="155"/>
      <c r="DL620" s="155"/>
      <c r="DM620" s="155"/>
      <c r="DN620" s="155"/>
      <c r="DO620" s="155"/>
      <c r="DP620" s="155"/>
      <c r="DQ620" s="155"/>
      <c r="DR620" s="155"/>
      <c r="DS620" s="155"/>
      <c r="DT620" s="155"/>
      <c r="DU620" s="155"/>
      <c r="DV620" s="155"/>
      <c r="DW620" s="155"/>
      <c r="DX620" s="155"/>
    </row>
    <row r="621" spans="1:128" ht="18" customHeight="1">
      <c r="A621" s="155"/>
      <c r="B621" s="155"/>
      <c r="C621" s="155"/>
      <c r="D621" s="155"/>
      <c r="E621" s="155"/>
      <c r="F621" s="155"/>
      <c r="G621" s="155"/>
      <c r="H621" s="155"/>
      <c r="I621" s="270"/>
      <c r="J621" s="270"/>
      <c r="K621" s="270"/>
      <c r="L621" s="270"/>
      <c r="M621" s="270"/>
      <c r="N621" s="270"/>
      <c r="O621" s="155"/>
      <c r="P621" s="155"/>
      <c r="Q621" s="155"/>
      <c r="R621" s="155"/>
      <c r="S621" s="155"/>
      <c r="T621" s="155"/>
      <c r="U621" s="158"/>
      <c r="V621" s="155"/>
      <c r="W621" s="155"/>
      <c r="X621" s="263"/>
      <c r="Y621" s="155"/>
      <c r="Z621" s="155"/>
      <c r="AA621" s="263"/>
      <c r="AB621" s="263"/>
      <c r="AC621" s="155"/>
      <c r="AD621" s="155"/>
      <c r="AE621" s="155"/>
      <c r="AF621" s="155"/>
      <c r="AG621" s="155"/>
      <c r="AH621" s="155"/>
      <c r="AI621" s="155"/>
      <c r="AJ621" s="155"/>
      <c r="AK621" s="155"/>
      <c r="AL621" s="155"/>
      <c r="AM621" s="155"/>
      <c r="AN621" s="155"/>
      <c r="AO621" s="155"/>
      <c r="AP621" s="49"/>
      <c r="AQ621" s="49"/>
      <c r="AR621" s="155"/>
      <c r="AS621" s="155"/>
      <c r="AT621" s="155"/>
      <c r="AU621" s="155"/>
      <c r="AV621" s="155"/>
      <c r="AW621" s="155"/>
      <c r="AX621" s="155"/>
      <c r="AY621" s="155"/>
      <c r="AZ621" s="49"/>
      <c r="BA621" s="49"/>
      <c r="BB621" s="49"/>
      <c r="BC621" s="49"/>
      <c r="BD621" s="49"/>
      <c r="BE621" s="49"/>
      <c r="BF621" s="49"/>
      <c r="BG621" s="49"/>
      <c r="BH621" s="49"/>
      <c r="BI621" s="155"/>
      <c r="BJ621" s="155"/>
      <c r="BK621" s="155"/>
      <c r="BL621" s="49"/>
      <c r="BM621" s="49"/>
      <c r="BN621" s="49"/>
      <c r="BO621" s="49"/>
      <c r="BP621" s="49"/>
      <c r="BQ621" s="49"/>
      <c r="BR621" s="49"/>
      <c r="BS621" s="49"/>
      <c r="BT621" s="49"/>
      <c r="BU621" s="49"/>
      <c r="BV621" s="49"/>
      <c r="BW621" s="49"/>
      <c r="BX621" s="49"/>
      <c r="BY621" s="49"/>
      <c r="BZ621" s="49"/>
      <c r="CA621" s="49"/>
      <c r="CB621" s="49"/>
      <c r="CC621" s="49"/>
      <c r="CD621" s="49"/>
      <c r="CE621" s="49"/>
      <c r="CF621" s="49"/>
      <c r="CG621" s="49"/>
      <c r="CH621" s="49"/>
      <c r="CI621" s="49"/>
      <c r="CJ621" s="49"/>
      <c r="CK621" s="49"/>
      <c r="CL621" s="49"/>
      <c r="CM621" s="49"/>
      <c r="CN621" s="49"/>
      <c r="CO621" s="49"/>
      <c r="CP621" s="49"/>
      <c r="CQ621" s="49"/>
      <c r="CR621" s="49"/>
      <c r="CS621" s="49"/>
      <c r="CT621" s="155"/>
      <c r="CU621" s="155"/>
      <c r="CV621" s="155"/>
      <c r="CW621" s="155"/>
      <c r="CX621" s="155"/>
      <c r="CY621" s="155"/>
      <c r="CZ621" s="155"/>
      <c r="DA621" s="155"/>
      <c r="DB621" s="155"/>
      <c r="DC621" s="155"/>
      <c r="DD621" s="155"/>
      <c r="DE621" s="155"/>
      <c r="DF621" s="155"/>
      <c r="DG621" s="155"/>
      <c r="DH621" s="155"/>
      <c r="DI621" s="155"/>
      <c r="DJ621" s="155"/>
      <c r="DK621" s="155"/>
      <c r="DL621" s="155"/>
      <c r="DM621" s="155"/>
      <c r="DN621" s="155"/>
      <c r="DO621" s="155"/>
      <c r="DP621" s="155"/>
      <c r="DQ621" s="155"/>
      <c r="DR621" s="155"/>
      <c r="DS621" s="155"/>
      <c r="DT621" s="155"/>
      <c r="DU621" s="155"/>
      <c r="DV621" s="155"/>
      <c r="DW621" s="155"/>
      <c r="DX621" s="155"/>
    </row>
    <row r="622" spans="1:128" ht="18" customHeight="1">
      <c r="A622" s="155"/>
      <c r="B622" s="155"/>
      <c r="C622" s="155"/>
      <c r="D622" s="155"/>
      <c r="E622" s="155"/>
      <c r="F622" s="155"/>
      <c r="G622" s="155"/>
      <c r="H622" s="155"/>
      <c r="I622" s="270"/>
      <c r="J622" s="270"/>
      <c r="K622" s="270"/>
      <c r="L622" s="270"/>
      <c r="M622" s="270"/>
      <c r="N622" s="270"/>
      <c r="O622" s="155"/>
      <c r="P622" s="155"/>
      <c r="Q622" s="155"/>
      <c r="R622" s="155"/>
      <c r="S622" s="155"/>
      <c r="T622" s="155"/>
      <c r="U622" s="158"/>
      <c r="V622" s="155"/>
      <c r="W622" s="155"/>
      <c r="X622" s="263"/>
      <c r="Y622" s="155"/>
      <c r="Z622" s="155"/>
      <c r="AA622" s="263"/>
      <c r="AB622" s="263"/>
      <c r="AC622" s="155"/>
      <c r="AD622" s="155"/>
      <c r="AE622" s="155"/>
      <c r="AF622" s="155"/>
      <c r="AG622" s="155"/>
      <c r="AH622" s="155"/>
      <c r="AI622" s="155"/>
      <c r="AJ622" s="155"/>
      <c r="AK622" s="155"/>
      <c r="AL622" s="155"/>
      <c r="AM622" s="155"/>
      <c r="AN622" s="155"/>
      <c r="AO622" s="155"/>
      <c r="AP622" s="49"/>
      <c r="AQ622" s="49"/>
      <c r="AR622" s="155"/>
      <c r="AS622" s="155"/>
      <c r="AT622" s="155"/>
      <c r="AU622" s="155"/>
      <c r="AV622" s="155"/>
      <c r="AW622" s="155"/>
      <c r="AX622" s="155"/>
      <c r="AY622" s="155"/>
      <c r="AZ622" s="49"/>
      <c r="BA622" s="49"/>
      <c r="BB622" s="49"/>
      <c r="BC622" s="49"/>
      <c r="BD622" s="49"/>
      <c r="BE622" s="49"/>
      <c r="BF622" s="49"/>
      <c r="BG622" s="49"/>
      <c r="BH622" s="49"/>
      <c r="BI622" s="155"/>
      <c r="BJ622" s="155"/>
      <c r="BK622" s="155"/>
      <c r="BL622" s="49"/>
      <c r="BM622" s="49"/>
      <c r="BN622" s="49"/>
      <c r="BO622" s="49"/>
      <c r="BP622" s="49"/>
      <c r="BQ622" s="49"/>
      <c r="BR622" s="49"/>
      <c r="BS622" s="49"/>
      <c r="BT622" s="49"/>
      <c r="BU622" s="49"/>
      <c r="BV622" s="49"/>
      <c r="BW622" s="49"/>
      <c r="BX622" s="49"/>
      <c r="BY622" s="49"/>
      <c r="BZ622" s="49"/>
      <c r="CA622" s="49"/>
      <c r="CB622" s="49"/>
      <c r="CC622" s="49"/>
      <c r="CD622" s="49"/>
      <c r="CE622" s="49"/>
      <c r="CF622" s="49"/>
      <c r="CG622" s="49"/>
      <c r="CH622" s="49"/>
      <c r="CI622" s="49"/>
      <c r="CJ622" s="49"/>
      <c r="CK622" s="49"/>
      <c r="CL622" s="49"/>
      <c r="CM622" s="49"/>
      <c r="CN622" s="49"/>
      <c r="CO622" s="49"/>
      <c r="CP622" s="49"/>
      <c r="CQ622" s="49"/>
      <c r="CR622" s="49"/>
      <c r="CS622" s="49"/>
      <c r="CT622" s="155"/>
      <c r="CU622" s="155"/>
      <c r="CV622" s="155"/>
      <c r="CW622" s="155"/>
      <c r="CX622" s="155"/>
      <c r="CY622" s="155"/>
      <c r="CZ622" s="155"/>
      <c r="DA622" s="155"/>
      <c r="DB622" s="155"/>
      <c r="DC622" s="155"/>
      <c r="DD622" s="155"/>
      <c r="DE622" s="155"/>
      <c r="DF622" s="155"/>
      <c r="DG622" s="155"/>
      <c r="DH622" s="155"/>
      <c r="DI622" s="155"/>
      <c r="DJ622" s="155"/>
      <c r="DK622" s="155"/>
      <c r="DL622" s="155"/>
      <c r="DM622" s="155"/>
      <c r="DN622" s="155"/>
      <c r="DO622" s="155"/>
      <c r="DP622" s="155"/>
      <c r="DQ622" s="155"/>
      <c r="DR622" s="155"/>
      <c r="DS622" s="155"/>
      <c r="DT622" s="155"/>
      <c r="DU622" s="155"/>
      <c r="DV622" s="155"/>
      <c r="DW622" s="155"/>
      <c r="DX622" s="155"/>
    </row>
    <row r="623" spans="1:128" ht="18" customHeight="1">
      <c r="A623" s="155"/>
      <c r="B623" s="155"/>
      <c r="C623" s="155"/>
      <c r="D623" s="155"/>
      <c r="E623" s="155"/>
      <c r="F623" s="155"/>
      <c r="G623" s="155"/>
      <c r="H623" s="155"/>
      <c r="I623" s="270"/>
      <c r="J623" s="270"/>
      <c r="K623" s="270"/>
      <c r="L623" s="270"/>
      <c r="M623" s="270"/>
      <c r="N623" s="270"/>
      <c r="O623" s="155"/>
      <c r="P623" s="155"/>
      <c r="Q623" s="155"/>
      <c r="R623" s="155"/>
      <c r="S623" s="155"/>
      <c r="T623" s="155"/>
      <c r="U623" s="158"/>
      <c r="V623" s="155"/>
      <c r="W623" s="155"/>
      <c r="X623" s="263"/>
      <c r="Y623" s="155"/>
      <c r="Z623" s="155"/>
      <c r="AA623" s="263"/>
      <c r="AB623" s="263"/>
      <c r="AC623" s="155"/>
      <c r="AD623" s="155"/>
      <c r="AE623" s="155"/>
      <c r="AF623" s="155"/>
      <c r="AG623" s="155"/>
      <c r="AH623" s="155"/>
      <c r="AI623" s="155"/>
      <c r="AJ623" s="155"/>
      <c r="AK623" s="155"/>
      <c r="AL623" s="155"/>
      <c r="AM623" s="155"/>
      <c r="AN623" s="155"/>
      <c r="AO623" s="155"/>
      <c r="AP623" s="49"/>
      <c r="AQ623" s="49"/>
      <c r="AR623" s="155"/>
      <c r="AS623" s="155"/>
      <c r="AT623" s="155"/>
      <c r="AU623" s="155"/>
      <c r="AV623" s="155"/>
      <c r="AW623" s="155"/>
      <c r="AX623" s="155"/>
      <c r="AY623" s="155"/>
      <c r="AZ623" s="49"/>
      <c r="BA623" s="49"/>
      <c r="BB623" s="49"/>
      <c r="BC623" s="49"/>
      <c r="BD623" s="49"/>
      <c r="BE623" s="49"/>
      <c r="BF623" s="49"/>
      <c r="BG623" s="49"/>
      <c r="BH623" s="49"/>
      <c r="BI623" s="155"/>
      <c r="BJ623" s="155"/>
      <c r="BK623" s="155"/>
      <c r="BL623" s="49"/>
      <c r="BM623" s="49"/>
      <c r="BN623" s="49"/>
      <c r="BO623" s="49"/>
      <c r="BP623" s="49"/>
      <c r="BQ623" s="49"/>
      <c r="BR623" s="49"/>
      <c r="BS623" s="49"/>
      <c r="BT623" s="49"/>
      <c r="BU623" s="49"/>
      <c r="BV623" s="49"/>
      <c r="BW623" s="49"/>
      <c r="BX623" s="49"/>
      <c r="BY623" s="49"/>
      <c r="BZ623" s="49"/>
      <c r="CA623" s="49"/>
      <c r="CB623" s="49"/>
      <c r="CC623" s="49"/>
      <c r="CD623" s="49"/>
      <c r="CE623" s="49"/>
      <c r="CF623" s="49"/>
      <c r="CG623" s="49"/>
      <c r="CH623" s="49"/>
      <c r="CI623" s="49"/>
      <c r="CJ623" s="49"/>
      <c r="CK623" s="49"/>
      <c r="CL623" s="49"/>
      <c r="CM623" s="49"/>
      <c r="CN623" s="49"/>
      <c r="CO623" s="49"/>
      <c r="CP623" s="49"/>
      <c r="CQ623" s="49"/>
      <c r="CR623" s="49"/>
      <c r="CS623" s="49"/>
      <c r="CT623" s="155"/>
      <c r="CU623" s="155"/>
      <c r="CV623" s="155"/>
      <c r="CW623" s="155"/>
      <c r="CX623" s="155"/>
      <c r="CY623" s="155"/>
      <c r="CZ623" s="155"/>
      <c r="DA623" s="155"/>
      <c r="DB623" s="155"/>
      <c r="DC623" s="155"/>
      <c r="DD623" s="155"/>
      <c r="DE623" s="155"/>
      <c r="DF623" s="155"/>
      <c r="DG623" s="155"/>
      <c r="DH623" s="155"/>
      <c r="DI623" s="155"/>
      <c r="DJ623" s="155"/>
      <c r="DK623" s="155"/>
      <c r="DL623" s="155"/>
      <c r="DM623" s="155"/>
      <c r="DN623" s="155"/>
      <c r="DO623" s="155"/>
      <c r="DP623" s="155"/>
      <c r="DQ623" s="155"/>
      <c r="DR623" s="155"/>
      <c r="DS623" s="155"/>
      <c r="DT623" s="155"/>
      <c r="DU623" s="155"/>
      <c r="DV623" s="155"/>
      <c r="DW623" s="155"/>
      <c r="DX623" s="155"/>
    </row>
    <row r="624" spans="1:128" ht="18" customHeight="1">
      <c r="A624" s="155"/>
      <c r="B624" s="155"/>
      <c r="C624" s="155"/>
      <c r="D624" s="155"/>
      <c r="E624" s="155"/>
      <c r="F624" s="155"/>
      <c r="G624" s="155"/>
      <c r="H624" s="155"/>
      <c r="I624" s="270"/>
      <c r="J624" s="270"/>
      <c r="K624" s="270"/>
      <c r="L624" s="270"/>
      <c r="M624" s="270"/>
      <c r="N624" s="270"/>
      <c r="O624" s="155"/>
      <c r="P624" s="155"/>
      <c r="Q624" s="155"/>
      <c r="R624" s="155"/>
      <c r="S624" s="155"/>
      <c r="T624" s="155"/>
      <c r="U624" s="158"/>
      <c r="V624" s="155"/>
      <c r="W624" s="155"/>
      <c r="X624" s="263"/>
      <c r="Y624" s="155"/>
      <c r="Z624" s="155"/>
      <c r="AA624" s="263"/>
      <c r="AB624" s="263"/>
      <c r="AC624" s="155"/>
      <c r="AD624" s="155"/>
      <c r="AE624" s="155"/>
      <c r="AF624" s="155"/>
      <c r="AG624" s="155"/>
      <c r="AH624" s="155"/>
      <c r="AI624" s="155"/>
      <c r="AJ624" s="155"/>
      <c r="AK624" s="155"/>
      <c r="AL624" s="155"/>
      <c r="AM624" s="155"/>
      <c r="AN624" s="155"/>
      <c r="AO624" s="155"/>
      <c r="AP624" s="49"/>
      <c r="AQ624" s="49"/>
      <c r="AR624" s="155"/>
      <c r="AS624" s="155"/>
      <c r="AT624" s="155"/>
      <c r="AU624" s="155"/>
      <c r="AV624" s="155"/>
      <c r="AW624" s="155"/>
      <c r="AX624" s="155"/>
      <c r="AY624" s="155"/>
      <c r="AZ624" s="49"/>
      <c r="BA624" s="49"/>
      <c r="BB624" s="49"/>
      <c r="BC624" s="49"/>
      <c r="BD624" s="49"/>
      <c r="BE624" s="49"/>
      <c r="BF624" s="49"/>
      <c r="BG624" s="49"/>
      <c r="BH624" s="49"/>
      <c r="BI624" s="155"/>
      <c r="BJ624" s="155"/>
      <c r="BK624" s="155"/>
      <c r="BL624" s="49"/>
      <c r="BM624" s="49"/>
      <c r="BN624" s="49"/>
      <c r="BO624" s="49"/>
      <c r="BP624" s="49"/>
      <c r="BQ624" s="49"/>
      <c r="BR624" s="49"/>
      <c r="BS624" s="49"/>
      <c r="BT624" s="49"/>
      <c r="BU624" s="49"/>
      <c r="BV624" s="49"/>
      <c r="BW624" s="49"/>
      <c r="BX624" s="49"/>
      <c r="BY624" s="49"/>
      <c r="BZ624" s="49"/>
      <c r="CA624" s="49"/>
      <c r="CB624" s="49"/>
      <c r="CC624" s="49"/>
      <c r="CD624" s="49"/>
      <c r="CE624" s="49"/>
      <c r="CF624" s="49"/>
      <c r="CG624" s="49"/>
      <c r="CH624" s="49"/>
      <c r="CI624" s="49"/>
      <c r="CJ624" s="49"/>
      <c r="CK624" s="49"/>
      <c r="CL624" s="49"/>
      <c r="CM624" s="49"/>
      <c r="CN624" s="49"/>
      <c r="CO624" s="49"/>
      <c r="CP624" s="49"/>
      <c r="CQ624" s="49"/>
      <c r="CR624" s="49"/>
      <c r="CS624" s="49"/>
      <c r="CT624" s="155"/>
      <c r="CU624" s="155"/>
      <c r="CV624" s="155"/>
      <c r="CW624" s="155"/>
      <c r="CX624" s="155"/>
      <c r="CY624" s="155"/>
      <c r="CZ624" s="155"/>
      <c r="DA624" s="155"/>
      <c r="DB624" s="155"/>
      <c r="DC624" s="155"/>
      <c r="DD624" s="155"/>
      <c r="DE624" s="155"/>
      <c r="DF624" s="155"/>
      <c r="DG624" s="155"/>
      <c r="DH624" s="155"/>
      <c r="DI624" s="155"/>
      <c r="DJ624" s="155"/>
      <c r="DK624" s="155"/>
      <c r="DL624" s="155"/>
      <c r="DM624" s="155"/>
      <c r="DN624" s="155"/>
      <c r="DO624" s="155"/>
      <c r="DP624" s="155"/>
      <c r="DQ624" s="155"/>
      <c r="DR624" s="155"/>
      <c r="DS624" s="155"/>
      <c r="DT624" s="155"/>
      <c r="DU624" s="155"/>
      <c r="DV624" s="155"/>
      <c r="DW624" s="155"/>
      <c r="DX624" s="155"/>
    </row>
    <row r="625" spans="1:128" ht="18" customHeight="1">
      <c r="A625" s="155"/>
      <c r="B625" s="155"/>
      <c r="C625" s="155"/>
      <c r="D625" s="155"/>
      <c r="E625" s="155"/>
      <c r="F625" s="155"/>
      <c r="G625" s="155"/>
      <c r="H625" s="155"/>
      <c r="I625" s="270"/>
      <c r="J625" s="270"/>
      <c r="K625" s="270"/>
      <c r="L625" s="270"/>
      <c r="M625" s="270"/>
      <c r="N625" s="270"/>
      <c r="O625" s="155"/>
      <c r="P625" s="155"/>
      <c r="Q625" s="155"/>
      <c r="R625" s="155"/>
      <c r="S625" s="155"/>
      <c r="T625" s="155"/>
      <c r="U625" s="158"/>
      <c r="V625" s="155"/>
      <c r="W625" s="155"/>
      <c r="X625" s="263"/>
      <c r="Y625" s="155"/>
      <c r="Z625" s="155"/>
      <c r="AA625" s="263"/>
      <c r="AB625" s="263"/>
      <c r="AC625" s="155"/>
      <c r="AD625" s="155"/>
      <c r="AE625" s="155"/>
      <c r="AF625" s="155"/>
      <c r="AG625" s="155"/>
      <c r="AH625" s="155"/>
      <c r="AI625" s="155"/>
      <c r="AJ625" s="155"/>
      <c r="AK625" s="155"/>
      <c r="AL625" s="155"/>
      <c r="AM625" s="155"/>
      <c r="AN625" s="155"/>
      <c r="AO625" s="155"/>
      <c r="AP625" s="49"/>
      <c r="AQ625" s="49"/>
      <c r="AR625" s="155"/>
      <c r="AS625" s="155"/>
      <c r="AT625" s="155"/>
      <c r="AU625" s="155"/>
      <c r="AV625" s="155"/>
      <c r="AW625" s="155"/>
      <c r="AX625" s="155"/>
      <c r="AY625" s="155"/>
      <c r="AZ625" s="49"/>
      <c r="BA625" s="49"/>
      <c r="BB625" s="49"/>
      <c r="BC625" s="49"/>
      <c r="BD625" s="49"/>
      <c r="BE625" s="49"/>
      <c r="BF625" s="49"/>
      <c r="BG625" s="49"/>
      <c r="BH625" s="49"/>
      <c r="BI625" s="155"/>
      <c r="BJ625" s="155"/>
      <c r="BK625" s="155"/>
      <c r="BL625" s="49"/>
      <c r="BM625" s="49"/>
      <c r="BN625" s="49"/>
      <c r="BO625" s="49"/>
      <c r="BP625" s="49"/>
      <c r="BQ625" s="49"/>
      <c r="BR625" s="49"/>
      <c r="BS625" s="49"/>
      <c r="BT625" s="49"/>
      <c r="BU625" s="49"/>
      <c r="BV625" s="49"/>
      <c r="BW625" s="49"/>
      <c r="BX625" s="49"/>
      <c r="BY625" s="49"/>
      <c r="BZ625" s="49"/>
      <c r="CA625" s="49"/>
      <c r="CB625" s="49"/>
      <c r="CC625" s="49"/>
      <c r="CD625" s="49"/>
      <c r="CE625" s="49"/>
      <c r="CF625" s="49"/>
      <c r="CG625" s="49"/>
      <c r="CH625" s="49"/>
      <c r="CI625" s="49"/>
      <c r="CJ625" s="49"/>
      <c r="CK625" s="49"/>
      <c r="CL625" s="49"/>
      <c r="CM625" s="49"/>
      <c r="CN625" s="49"/>
      <c r="CO625" s="49"/>
      <c r="CP625" s="49"/>
      <c r="CQ625" s="49"/>
      <c r="CR625" s="49"/>
      <c r="CS625" s="49"/>
      <c r="CT625" s="155"/>
      <c r="CU625" s="155"/>
      <c r="CV625" s="155"/>
      <c r="CW625" s="155"/>
      <c r="CX625" s="155"/>
      <c r="CY625" s="155"/>
      <c r="CZ625" s="155"/>
      <c r="DA625" s="155"/>
      <c r="DB625" s="155"/>
      <c r="DC625" s="155"/>
      <c r="DD625" s="155"/>
      <c r="DE625" s="155"/>
      <c r="DF625" s="155"/>
      <c r="DG625" s="155"/>
      <c r="DH625" s="155"/>
      <c r="DI625" s="155"/>
      <c r="DJ625" s="155"/>
      <c r="DK625" s="155"/>
      <c r="DL625" s="155"/>
      <c r="DM625" s="155"/>
      <c r="DN625" s="155"/>
      <c r="DO625" s="155"/>
      <c r="DP625" s="155"/>
      <c r="DQ625" s="155"/>
      <c r="DR625" s="155"/>
      <c r="DS625" s="155"/>
      <c r="DT625" s="155"/>
      <c r="DU625" s="155"/>
      <c r="DV625" s="155"/>
      <c r="DW625" s="155"/>
      <c r="DX625" s="155"/>
    </row>
    <row r="626" spans="1:128" ht="18" customHeight="1">
      <c r="A626" s="155"/>
      <c r="B626" s="155"/>
      <c r="C626" s="155"/>
      <c r="D626" s="155"/>
      <c r="E626" s="155"/>
      <c r="F626" s="155"/>
      <c r="G626" s="155"/>
      <c r="H626" s="155"/>
      <c r="I626" s="270"/>
      <c r="J626" s="270"/>
      <c r="K626" s="270"/>
      <c r="L626" s="270"/>
      <c r="M626" s="270"/>
      <c r="N626" s="270"/>
      <c r="O626" s="155"/>
      <c r="P626" s="155"/>
      <c r="Q626" s="155"/>
      <c r="R626" s="155"/>
      <c r="S626" s="155"/>
      <c r="T626" s="155"/>
      <c r="U626" s="158"/>
      <c r="V626" s="155"/>
      <c r="W626" s="155"/>
      <c r="X626" s="263"/>
      <c r="Y626" s="155"/>
      <c r="Z626" s="155"/>
      <c r="AA626" s="263"/>
      <c r="AB626" s="263"/>
      <c r="AC626" s="155"/>
      <c r="AD626" s="155"/>
      <c r="AE626" s="155"/>
      <c r="AF626" s="155"/>
      <c r="AG626" s="155"/>
      <c r="AH626" s="155"/>
      <c r="AI626" s="155"/>
      <c r="AJ626" s="155"/>
      <c r="AK626" s="155"/>
      <c r="AL626" s="155"/>
      <c r="AM626" s="155"/>
      <c r="AN626" s="155"/>
      <c r="AO626" s="155"/>
      <c r="AP626" s="49"/>
      <c r="AQ626" s="49"/>
      <c r="AR626" s="155"/>
      <c r="AS626" s="155"/>
      <c r="AT626" s="155"/>
      <c r="AU626" s="155"/>
      <c r="AV626" s="155"/>
      <c r="AW626" s="155"/>
      <c r="AX626" s="155"/>
      <c r="AY626" s="155"/>
      <c r="AZ626" s="49"/>
      <c r="BA626" s="49"/>
      <c r="BB626" s="49"/>
      <c r="BC626" s="49"/>
      <c r="BD626" s="49"/>
      <c r="BE626" s="49"/>
      <c r="BF626" s="49"/>
      <c r="BG626" s="49"/>
      <c r="BH626" s="49"/>
      <c r="BI626" s="155"/>
      <c r="BJ626" s="155"/>
      <c r="BK626" s="155"/>
      <c r="BL626" s="49"/>
      <c r="BM626" s="49"/>
      <c r="BN626" s="49"/>
      <c r="BO626" s="49"/>
      <c r="BP626" s="49"/>
      <c r="BQ626" s="49"/>
      <c r="BR626" s="49"/>
      <c r="BS626" s="49"/>
      <c r="BT626" s="49"/>
      <c r="BU626" s="49"/>
      <c r="BV626" s="49"/>
      <c r="BW626" s="49"/>
      <c r="BX626" s="49"/>
      <c r="BY626" s="49"/>
      <c r="BZ626" s="49"/>
      <c r="CA626" s="49"/>
      <c r="CB626" s="49"/>
      <c r="CC626" s="49"/>
      <c r="CD626" s="49"/>
      <c r="CE626" s="49"/>
      <c r="CF626" s="49"/>
      <c r="CG626" s="49"/>
      <c r="CH626" s="49"/>
      <c r="CI626" s="49"/>
      <c r="CJ626" s="49"/>
      <c r="CK626" s="49"/>
      <c r="CL626" s="49"/>
      <c r="CM626" s="49"/>
      <c r="CN626" s="49"/>
      <c r="CO626" s="49"/>
      <c r="CP626" s="49"/>
      <c r="CQ626" s="49"/>
      <c r="CR626" s="49"/>
      <c r="CS626" s="49"/>
      <c r="CT626" s="155"/>
      <c r="CU626" s="155"/>
      <c r="CV626" s="155"/>
      <c r="CW626" s="155"/>
      <c r="CX626" s="155"/>
      <c r="CY626" s="155"/>
      <c r="CZ626" s="155"/>
      <c r="DA626" s="155"/>
      <c r="DB626" s="155"/>
      <c r="DC626" s="155"/>
      <c r="DD626" s="155"/>
      <c r="DE626" s="155"/>
      <c r="DF626" s="155"/>
      <c r="DG626" s="155"/>
      <c r="DH626" s="155"/>
      <c r="DI626" s="155"/>
      <c r="DJ626" s="155"/>
      <c r="DK626" s="155"/>
      <c r="DL626" s="155"/>
      <c r="DM626" s="155"/>
      <c r="DN626" s="155"/>
      <c r="DO626" s="155"/>
      <c r="DP626" s="155"/>
      <c r="DQ626" s="155"/>
      <c r="DR626" s="155"/>
      <c r="DS626" s="155"/>
      <c r="DT626" s="155"/>
      <c r="DU626" s="155"/>
      <c r="DV626" s="155"/>
      <c r="DW626" s="155"/>
      <c r="DX626" s="155"/>
    </row>
    <row r="627" spans="1:128" ht="18" customHeight="1">
      <c r="A627" s="155"/>
      <c r="B627" s="155"/>
      <c r="C627" s="155"/>
      <c r="D627" s="155"/>
      <c r="E627" s="155"/>
      <c r="F627" s="155"/>
      <c r="G627" s="155"/>
      <c r="H627" s="155"/>
      <c r="I627" s="270"/>
      <c r="J627" s="270"/>
      <c r="K627" s="270"/>
      <c r="L627" s="270"/>
      <c r="M627" s="270"/>
      <c r="N627" s="270"/>
      <c r="O627" s="155"/>
      <c r="P627" s="155"/>
      <c r="Q627" s="155"/>
      <c r="R627" s="155"/>
      <c r="S627" s="155"/>
      <c r="T627" s="155"/>
      <c r="U627" s="158"/>
      <c r="V627" s="155"/>
      <c r="W627" s="155"/>
      <c r="X627" s="263"/>
      <c r="Y627" s="155"/>
      <c r="Z627" s="155"/>
      <c r="AA627" s="263"/>
      <c r="AB627" s="263"/>
      <c r="AC627" s="155"/>
      <c r="AD627" s="155"/>
      <c r="AE627" s="155"/>
      <c r="AF627" s="155"/>
      <c r="AG627" s="155"/>
      <c r="AH627" s="155"/>
      <c r="AI627" s="155"/>
      <c r="AJ627" s="155"/>
      <c r="AK627" s="155"/>
      <c r="AL627" s="155"/>
      <c r="AM627" s="155"/>
      <c r="AN627" s="155"/>
      <c r="AO627" s="155"/>
      <c r="AP627" s="49"/>
      <c r="AQ627" s="49"/>
      <c r="AR627" s="155"/>
      <c r="AS627" s="155"/>
      <c r="AT627" s="155"/>
      <c r="AU627" s="155"/>
      <c r="AV627" s="155"/>
      <c r="AW627" s="155"/>
      <c r="AX627" s="155"/>
      <c r="AY627" s="155"/>
      <c r="AZ627" s="49"/>
      <c r="BA627" s="49"/>
      <c r="BB627" s="49"/>
      <c r="BC627" s="49"/>
      <c r="BD627" s="49"/>
      <c r="BE627" s="49"/>
      <c r="BF627" s="49"/>
      <c r="BG627" s="49"/>
      <c r="BH627" s="49"/>
      <c r="BI627" s="155"/>
      <c r="BJ627" s="155"/>
      <c r="BK627" s="155"/>
      <c r="BL627" s="49"/>
      <c r="BM627" s="49"/>
      <c r="BN627" s="49"/>
      <c r="BO627" s="49"/>
      <c r="BP627" s="49"/>
      <c r="BQ627" s="49"/>
      <c r="BR627" s="49"/>
      <c r="BS627" s="49"/>
      <c r="BT627" s="49"/>
      <c r="BU627" s="49"/>
      <c r="BV627" s="49"/>
      <c r="BW627" s="49"/>
      <c r="BX627" s="49"/>
      <c r="BY627" s="49"/>
      <c r="BZ627" s="49"/>
      <c r="CA627" s="49"/>
      <c r="CB627" s="49"/>
      <c r="CC627" s="49"/>
      <c r="CD627" s="49"/>
      <c r="CE627" s="49"/>
      <c r="CF627" s="49"/>
      <c r="CG627" s="49"/>
      <c r="CH627" s="49"/>
      <c r="CI627" s="49"/>
      <c r="CJ627" s="49"/>
      <c r="CK627" s="49"/>
      <c r="CL627" s="49"/>
      <c r="CM627" s="49"/>
      <c r="CN627" s="49"/>
      <c r="CO627" s="49"/>
      <c r="CP627" s="49"/>
      <c r="CQ627" s="49"/>
      <c r="CR627" s="49"/>
      <c r="CS627" s="49"/>
      <c r="CT627" s="155"/>
      <c r="CU627" s="155"/>
      <c r="CV627" s="155"/>
      <c r="CW627" s="155"/>
      <c r="CX627" s="155"/>
      <c r="CY627" s="155"/>
      <c r="CZ627" s="155"/>
      <c r="DA627" s="155"/>
      <c r="DB627" s="155"/>
      <c r="DC627" s="155"/>
      <c r="DD627" s="155"/>
      <c r="DE627" s="155"/>
      <c r="DF627" s="155"/>
      <c r="DG627" s="155"/>
      <c r="DH627" s="155"/>
      <c r="DI627" s="155"/>
      <c r="DJ627" s="155"/>
      <c r="DK627" s="155"/>
      <c r="DL627" s="155"/>
      <c r="DM627" s="155"/>
      <c r="DN627" s="155"/>
      <c r="DO627" s="155"/>
      <c r="DP627" s="155"/>
      <c r="DQ627" s="155"/>
      <c r="DR627" s="155"/>
      <c r="DS627" s="155"/>
      <c r="DT627" s="155"/>
      <c r="DU627" s="155"/>
      <c r="DV627" s="155"/>
      <c r="DW627" s="155"/>
      <c r="DX627" s="155"/>
    </row>
    <row r="628" spans="1:128" ht="18" customHeight="1">
      <c r="A628" s="155"/>
      <c r="B628" s="155"/>
      <c r="C628" s="155"/>
      <c r="D628" s="155"/>
      <c r="E628" s="155"/>
      <c r="F628" s="155"/>
      <c r="G628" s="155"/>
      <c r="H628" s="155"/>
      <c r="I628" s="270"/>
      <c r="J628" s="270"/>
      <c r="K628" s="270"/>
      <c r="L628" s="270"/>
      <c r="M628" s="270"/>
      <c r="N628" s="270"/>
      <c r="O628" s="155"/>
      <c r="P628" s="155"/>
      <c r="Q628" s="155"/>
      <c r="R628" s="155"/>
      <c r="S628" s="155"/>
      <c r="T628" s="155"/>
      <c r="U628" s="158"/>
      <c r="V628" s="155"/>
      <c r="W628" s="155"/>
      <c r="X628" s="263"/>
      <c r="Y628" s="155"/>
      <c r="Z628" s="155"/>
      <c r="AA628" s="263"/>
      <c r="AB628" s="263"/>
      <c r="AC628" s="155"/>
      <c r="AD628" s="155"/>
      <c r="AE628" s="155"/>
      <c r="AF628" s="155"/>
      <c r="AG628" s="155"/>
      <c r="AH628" s="155"/>
      <c r="AI628" s="155"/>
      <c r="AJ628" s="155"/>
      <c r="AK628" s="155"/>
      <c r="AL628" s="155"/>
      <c r="AM628" s="155"/>
      <c r="AN628" s="155"/>
      <c r="AO628" s="155"/>
      <c r="AP628" s="49"/>
      <c r="AQ628" s="49"/>
      <c r="AR628" s="155"/>
      <c r="AS628" s="155"/>
      <c r="AT628" s="155"/>
      <c r="AU628" s="155"/>
      <c r="AV628" s="155"/>
      <c r="AW628" s="155"/>
      <c r="AX628" s="155"/>
      <c r="AY628" s="155"/>
      <c r="AZ628" s="49"/>
      <c r="BA628" s="49"/>
      <c r="BB628" s="49"/>
      <c r="BC628" s="49"/>
      <c r="BD628" s="49"/>
      <c r="BE628" s="49"/>
      <c r="BF628" s="49"/>
      <c r="BG628" s="49"/>
      <c r="BH628" s="49"/>
      <c r="BI628" s="155"/>
      <c r="BJ628" s="155"/>
      <c r="BK628" s="155"/>
      <c r="BL628" s="49"/>
      <c r="BM628" s="49"/>
      <c r="BN628" s="49"/>
      <c r="BO628" s="49"/>
      <c r="BP628" s="49"/>
      <c r="BQ628" s="49"/>
      <c r="BR628" s="49"/>
      <c r="BS628" s="49"/>
      <c r="BT628" s="49"/>
      <c r="BU628" s="49"/>
      <c r="BV628" s="49"/>
      <c r="BW628" s="49"/>
      <c r="BX628" s="49"/>
      <c r="BY628" s="49"/>
      <c r="BZ628" s="49"/>
      <c r="CA628" s="49"/>
      <c r="CB628" s="49"/>
      <c r="CC628" s="49"/>
      <c r="CD628" s="49"/>
      <c r="CE628" s="49"/>
      <c r="CF628" s="49"/>
      <c r="CG628" s="49"/>
      <c r="CH628" s="49"/>
      <c r="CI628" s="49"/>
      <c r="CJ628" s="49"/>
      <c r="CK628" s="49"/>
      <c r="CL628" s="49"/>
      <c r="CM628" s="49"/>
      <c r="CN628" s="49"/>
      <c r="CO628" s="49"/>
      <c r="CP628" s="49"/>
      <c r="CQ628" s="49"/>
      <c r="CR628" s="49"/>
      <c r="CS628" s="49"/>
      <c r="CT628" s="155"/>
      <c r="CU628" s="155"/>
      <c r="CV628" s="155"/>
      <c r="CW628" s="155"/>
      <c r="CX628" s="155"/>
      <c r="CY628" s="155"/>
      <c r="CZ628" s="155"/>
      <c r="DA628" s="155"/>
      <c r="DB628" s="155"/>
      <c r="DC628" s="155"/>
      <c r="DD628" s="155"/>
      <c r="DE628" s="155"/>
      <c r="DF628" s="155"/>
      <c r="DG628" s="155"/>
      <c r="DH628" s="155"/>
      <c r="DI628" s="155"/>
      <c r="DJ628" s="155"/>
      <c r="DK628" s="155"/>
      <c r="DL628" s="155"/>
      <c r="DM628" s="155"/>
      <c r="DN628" s="155"/>
      <c r="DO628" s="155"/>
      <c r="DP628" s="155"/>
      <c r="DQ628" s="155"/>
      <c r="DR628" s="155"/>
      <c r="DS628" s="155"/>
      <c r="DT628" s="155"/>
      <c r="DU628" s="155"/>
      <c r="DV628" s="155"/>
      <c r="DW628" s="155"/>
      <c r="DX628" s="155"/>
    </row>
    <row r="629" spans="1:128" ht="18" customHeight="1">
      <c r="A629" s="155"/>
      <c r="B629" s="155"/>
      <c r="C629" s="155"/>
      <c r="D629" s="155"/>
      <c r="E629" s="155"/>
      <c r="F629" s="155"/>
      <c r="G629" s="155"/>
      <c r="H629" s="155"/>
      <c r="I629" s="270"/>
      <c r="J629" s="270"/>
      <c r="K629" s="270"/>
      <c r="L629" s="270"/>
      <c r="M629" s="270"/>
      <c r="N629" s="270"/>
      <c r="O629" s="155"/>
      <c r="P629" s="155"/>
      <c r="Q629" s="155"/>
      <c r="R629" s="155"/>
      <c r="S629" s="155"/>
      <c r="T629" s="155"/>
      <c r="U629" s="158"/>
      <c r="V629" s="155"/>
      <c r="W629" s="155"/>
      <c r="X629" s="263"/>
      <c r="Y629" s="155"/>
      <c r="Z629" s="155"/>
      <c r="AA629" s="263"/>
      <c r="AB629" s="263"/>
      <c r="AC629" s="155"/>
      <c r="AD629" s="155"/>
      <c r="AE629" s="155"/>
      <c r="AF629" s="155"/>
      <c r="AG629" s="155"/>
      <c r="AH629" s="155"/>
      <c r="AI629" s="155"/>
      <c r="AJ629" s="155"/>
      <c r="AK629" s="155"/>
      <c r="AL629" s="155"/>
      <c r="AM629" s="155"/>
      <c r="AN629" s="155"/>
      <c r="AO629" s="155"/>
      <c r="AP629" s="49"/>
      <c r="AQ629" s="49"/>
      <c r="AR629" s="155"/>
      <c r="AS629" s="155"/>
      <c r="AT629" s="155"/>
      <c r="AU629" s="155"/>
      <c r="AV629" s="155"/>
      <c r="AW629" s="155"/>
      <c r="AX629" s="155"/>
      <c r="AY629" s="155"/>
      <c r="AZ629" s="49"/>
      <c r="BA629" s="49"/>
      <c r="BB629" s="49"/>
      <c r="BC629" s="49"/>
      <c r="BD629" s="49"/>
      <c r="BE629" s="49"/>
      <c r="BF629" s="49"/>
      <c r="BG629" s="49"/>
      <c r="BH629" s="49"/>
      <c r="BI629" s="155"/>
      <c r="BJ629" s="155"/>
      <c r="BK629" s="155"/>
      <c r="BL629" s="49"/>
      <c r="BM629" s="49"/>
      <c r="BN629" s="49"/>
      <c r="BO629" s="49"/>
      <c r="BP629" s="49"/>
      <c r="BQ629" s="49"/>
      <c r="BR629" s="49"/>
      <c r="BS629" s="49"/>
      <c r="BT629" s="49"/>
      <c r="BU629" s="49"/>
      <c r="BV629" s="49"/>
      <c r="BW629" s="49"/>
      <c r="BX629" s="49"/>
      <c r="BY629" s="49"/>
      <c r="BZ629" s="49"/>
      <c r="CA629" s="49"/>
      <c r="CB629" s="49"/>
      <c r="CC629" s="49"/>
      <c r="CD629" s="49"/>
      <c r="CE629" s="49"/>
      <c r="CF629" s="49"/>
      <c r="CG629" s="49"/>
      <c r="CH629" s="49"/>
      <c r="CI629" s="49"/>
      <c r="CJ629" s="49"/>
      <c r="CK629" s="49"/>
      <c r="CL629" s="49"/>
      <c r="CM629" s="49"/>
      <c r="CN629" s="49"/>
      <c r="CO629" s="49"/>
      <c r="CP629" s="49"/>
      <c r="CQ629" s="49"/>
      <c r="CR629" s="49"/>
      <c r="CS629" s="49"/>
      <c r="CT629" s="155"/>
      <c r="CU629" s="155"/>
      <c r="CV629" s="155"/>
      <c r="CW629" s="155"/>
      <c r="CX629" s="155"/>
      <c r="CY629" s="155"/>
      <c r="CZ629" s="155"/>
      <c r="DA629" s="155"/>
      <c r="DB629" s="155"/>
      <c r="DC629" s="155"/>
      <c r="DD629" s="155"/>
      <c r="DE629" s="155"/>
      <c r="DF629" s="155"/>
      <c r="DG629" s="155"/>
      <c r="DH629" s="155"/>
      <c r="DI629" s="155"/>
      <c r="DJ629" s="155"/>
      <c r="DK629" s="155"/>
      <c r="DL629" s="155"/>
      <c r="DM629" s="155"/>
      <c r="DN629" s="155"/>
      <c r="DO629" s="155"/>
      <c r="DP629" s="155"/>
      <c r="DQ629" s="155"/>
      <c r="DR629" s="155"/>
      <c r="DS629" s="155"/>
      <c r="DT629" s="155"/>
      <c r="DU629" s="155"/>
      <c r="DV629" s="155"/>
      <c r="DW629" s="155"/>
      <c r="DX629" s="155"/>
    </row>
    <row r="630" spans="1:128" ht="18" customHeight="1">
      <c r="A630" s="155"/>
      <c r="B630" s="155"/>
      <c r="C630" s="155"/>
      <c r="D630" s="155"/>
      <c r="E630" s="155"/>
      <c r="F630" s="155"/>
      <c r="G630" s="155"/>
      <c r="H630" s="155"/>
      <c r="I630" s="270"/>
      <c r="J630" s="270"/>
      <c r="K630" s="270"/>
      <c r="L630" s="270"/>
      <c r="M630" s="270"/>
      <c r="N630" s="270"/>
      <c r="O630" s="155"/>
      <c r="P630" s="155"/>
      <c r="Q630" s="155"/>
      <c r="R630" s="155"/>
      <c r="S630" s="155"/>
      <c r="T630" s="155"/>
      <c r="U630" s="158"/>
      <c r="V630" s="155"/>
      <c r="W630" s="155"/>
      <c r="X630" s="263"/>
      <c r="Y630" s="155"/>
      <c r="Z630" s="155"/>
      <c r="AA630" s="263"/>
      <c r="AB630" s="263"/>
      <c r="AC630" s="155"/>
      <c r="AD630" s="155"/>
      <c r="AE630" s="155"/>
      <c r="AF630" s="155"/>
      <c r="AG630" s="155"/>
      <c r="AH630" s="155"/>
      <c r="AI630" s="155"/>
      <c r="AJ630" s="155"/>
      <c r="AK630" s="155"/>
      <c r="AL630" s="155"/>
      <c r="AM630" s="155"/>
      <c r="AN630" s="155"/>
      <c r="AO630" s="155"/>
      <c r="AP630" s="49"/>
      <c r="AQ630" s="49"/>
      <c r="AR630" s="155"/>
      <c r="AS630" s="155"/>
      <c r="AT630" s="155"/>
      <c r="AU630" s="155"/>
      <c r="AV630" s="155"/>
      <c r="AW630" s="155"/>
      <c r="AX630" s="155"/>
      <c r="AY630" s="155"/>
      <c r="AZ630" s="49"/>
      <c r="BA630" s="49"/>
      <c r="BB630" s="49"/>
      <c r="BC630" s="49"/>
      <c r="BD630" s="49"/>
      <c r="BE630" s="49"/>
      <c r="BF630" s="49"/>
      <c r="BG630" s="49"/>
      <c r="BH630" s="49"/>
      <c r="BI630" s="155"/>
      <c r="BJ630" s="155"/>
      <c r="BK630" s="155"/>
      <c r="BL630" s="49"/>
      <c r="BM630" s="49"/>
      <c r="BN630" s="49"/>
      <c r="BO630" s="49"/>
      <c r="BP630" s="49"/>
      <c r="BQ630" s="49"/>
      <c r="BR630" s="49"/>
      <c r="BS630" s="49"/>
      <c r="BT630" s="49"/>
      <c r="BU630" s="49"/>
      <c r="BV630" s="49"/>
      <c r="BW630" s="49"/>
      <c r="BX630" s="49"/>
      <c r="BY630" s="49"/>
      <c r="BZ630" s="49"/>
      <c r="CA630" s="49"/>
      <c r="CB630" s="49"/>
      <c r="CC630" s="49"/>
      <c r="CD630" s="49"/>
      <c r="CE630" s="49"/>
      <c r="CF630" s="49"/>
      <c r="CG630" s="49"/>
      <c r="CH630" s="49"/>
      <c r="CI630" s="49"/>
      <c r="CJ630" s="49"/>
      <c r="CK630" s="49"/>
      <c r="CL630" s="49"/>
      <c r="CM630" s="49"/>
      <c r="CN630" s="49"/>
      <c r="CO630" s="49"/>
      <c r="CP630" s="49"/>
      <c r="CQ630" s="49"/>
      <c r="CR630" s="49"/>
      <c r="CS630" s="49"/>
      <c r="CT630" s="155"/>
      <c r="CU630" s="155"/>
      <c r="CV630" s="155"/>
      <c r="CW630" s="155"/>
      <c r="CX630" s="155"/>
      <c r="CY630" s="155"/>
      <c r="CZ630" s="155"/>
      <c r="DA630" s="155"/>
      <c r="DB630" s="155"/>
      <c r="DC630" s="155"/>
      <c r="DD630" s="155"/>
      <c r="DE630" s="155"/>
      <c r="DF630" s="155"/>
      <c r="DG630" s="155"/>
      <c r="DH630" s="155"/>
      <c r="DI630" s="155"/>
      <c r="DJ630" s="155"/>
      <c r="DK630" s="155"/>
      <c r="DL630" s="155"/>
      <c r="DM630" s="155"/>
      <c r="DN630" s="155"/>
      <c r="DO630" s="155"/>
      <c r="DP630" s="155"/>
      <c r="DQ630" s="155"/>
      <c r="DR630" s="155"/>
      <c r="DS630" s="155"/>
      <c r="DT630" s="155"/>
      <c r="DU630" s="155"/>
      <c r="DV630" s="155"/>
      <c r="DW630" s="155"/>
      <c r="DX630" s="155"/>
    </row>
    <row r="631" spans="1:128" ht="18" customHeight="1">
      <c r="A631" s="155"/>
      <c r="B631" s="155"/>
      <c r="C631" s="155"/>
      <c r="D631" s="155"/>
      <c r="E631" s="155"/>
      <c r="F631" s="155"/>
      <c r="G631" s="155"/>
      <c r="H631" s="155"/>
      <c r="I631" s="270"/>
      <c r="J631" s="270"/>
      <c r="K631" s="270"/>
      <c r="L631" s="270"/>
      <c r="M631" s="270"/>
      <c r="N631" s="270"/>
      <c r="O631" s="155"/>
      <c r="P631" s="155"/>
      <c r="Q631" s="155"/>
      <c r="R631" s="155"/>
      <c r="S631" s="155"/>
      <c r="T631" s="155"/>
      <c r="U631" s="158"/>
      <c r="V631" s="155"/>
      <c r="W631" s="155"/>
      <c r="X631" s="263"/>
      <c r="Y631" s="155"/>
      <c r="Z631" s="155"/>
      <c r="AA631" s="263"/>
      <c r="AB631" s="263"/>
      <c r="AC631" s="155"/>
      <c r="AD631" s="155"/>
      <c r="AE631" s="155"/>
      <c r="AF631" s="155"/>
      <c r="AG631" s="155"/>
      <c r="AH631" s="155"/>
      <c r="AI631" s="155"/>
      <c r="AJ631" s="155"/>
      <c r="AK631" s="155"/>
      <c r="AL631" s="155"/>
      <c r="AM631" s="155"/>
      <c r="AN631" s="155"/>
      <c r="AO631" s="155"/>
      <c r="AP631" s="49"/>
      <c r="AQ631" s="49"/>
      <c r="AR631" s="155"/>
      <c r="AS631" s="155"/>
      <c r="AT631" s="155"/>
      <c r="AU631" s="155"/>
      <c r="AV631" s="155"/>
      <c r="AW631" s="155"/>
      <c r="AX631" s="155"/>
      <c r="AY631" s="155"/>
      <c r="AZ631" s="49"/>
      <c r="BA631" s="49"/>
      <c r="BB631" s="49"/>
      <c r="BC631" s="49"/>
      <c r="BD631" s="49"/>
      <c r="BE631" s="49"/>
      <c r="BF631" s="49"/>
      <c r="BG631" s="49"/>
      <c r="BH631" s="49"/>
      <c r="BI631" s="155"/>
      <c r="BJ631" s="155"/>
      <c r="BK631" s="155"/>
      <c r="BL631" s="49"/>
      <c r="BM631" s="49"/>
      <c r="BN631" s="49"/>
      <c r="BO631" s="49"/>
      <c r="BP631" s="49"/>
      <c r="BQ631" s="49"/>
      <c r="BR631" s="49"/>
      <c r="BS631" s="49"/>
      <c r="BT631" s="49"/>
      <c r="BU631" s="49"/>
      <c r="BV631" s="49"/>
      <c r="BW631" s="49"/>
      <c r="BX631" s="49"/>
      <c r="BY631" s="49"/>
      <c r="BZ631" s="49"/>
      <c r="CA631" s="49"/>
      <c r="CB631" s="49"/>
      <c r="CC631" s="49"/>
      <c r="CD631" s="49"/>
      <c r="CE631" s="49"/>
      <c r="CF631" s="49"/>
      <c r="CG631" s="49"/>
      <c r="CH631" s="49"/>
      <c r="CI631" s="49"/>
      <c r="CJ631" s="49"/>
      <c r="CK631" s="49"/>
      <c r="CL631" s="49"/>
      <c r="CM631" s="49"/>
      <c r="CN631" s="49"/>
      <c r="CO631" s="49"/>
      <c r="CP631" s="49"/>
      <c r="CQ631" s="49"/>
      <c r="CR631" s="49"/>
      <c r="CS631" s="49"/>
      <c r="CT631" s="155"/>
      <c r="CU631" s="155"/>
      <c r="CV631" s="155"/>
      <c r="CW631" s="155"/>
      <c r="CX631" s="155"/>
      <c r="CY631" s="155"/>
      <c r="CZ631" s="155"/>
      <c r="DA631" s="155"/>
      <c r="DB631" s="155"/>
      <c r="DC631" s="155"/>
      <c r="DD631" s="155"/>
      <c r="DE631" s="155"/>
      <c r="DF631" s="155"/>
      <c r="DG631" s="155"/>
      <c r="DH631" s="155"/>
      <c r="DI631" s="155"/>
      <c r="DJ631" s="155"/>
      <c r="DK631" s="155"/>
      <c r="DL631" s="155"/>
      <c r="DM631" s="155"/>
      <c r="DN631" s="155"/>
      <c r="DO631" s="155"/>
      <c r="DP631" s="155"/>
      <c r="DQ631" s="155"/>
      <c r="DR631" s="155"/>
      <c r="DS631" s="155"/>
      <c r="DT631" s="155"/>
      <c r="DU631" s="155"/>
      <c r="DV631" s="155"/>
      <c r="DW631" s="155"/>
      <c r="DX631" s="155"/>
    </row>
    <row r="632" spans="1:128" ht="18" customHeight="1">
      <c r="A632" s="155"/>
      <c r="B632" s="155"/>
      <c r="C632" s="155"/>
      <c r="D632" s="155"/>
      <c r="E632" s="155"/>
      <c r="F632" s="155"/>
      <c r="G632" s="155"/>
      <c r="H632" s="155"/>
      <c r="I632" s="270"/>
      <c r="J632" s="270"/>
      <c r="K632" s="270"/>
      <c r="L632" s="270"/>
      <c r="M632" s="270"/>
      <c r="N632" s="270"/>
      <c r="O632" s="155"/>
      <c r="P632" s="155"/>
      <c r="Q632" s="155"/>
      <c r="R632" s="155"/>
      <c r="S632" s="155"/>
      <c r="T632" s="155"/>
      <c r="U632" s="158"/>
      <c r="V632" s="155"/>
      <c r="W632" s="155"/>
      <c r="X632" s="263"/>
      <c r="Y632" s="155"/>
      <c r="Z632" s="155"/>
      <c r="AA632" s="263"/>
      <c r="AB632" s="263"/>
      <c r="AC632" s="155"/>
      <c r="AD632" s="155"/>
      <c r="AE632" s="155"/>
      <c r="AF632" s="155"/>
      <c r="AG632" s="155"/>
      <c r="AH632" s="155"/>
      <c r="AI632" s="155"/>
      <c r="AJ632" s="155"/>
      <c r="AK632" s="155"/>
      <c r="AL632" s="155"/>
      <c r="AM632" s="155"/>
      <c r="AN632" s="155"/>
      <c r="AO632" s="155"/>
      <c r="AP632" s="49"/>
      <c r="AQ632" s="49"/>
      <c r="AR632" s="155"/>
      <c r="AS632" s="155"/>
      <c r="AT632" s="155"/>
      <c r="AU632" s="155"/>
      <c r="AV632" s="155"/>
      <c r="AW632" s="155"/>
      <c r="AX632" s="155"/>
      <c r="AY632" s="155"/>
      <c r="AZ632" s="49"/>
      <c r="BA632" s="49"/>
      <c r="BB632" s="49"/>
      <c r="BC632" s="49"/>
      <c r="BD632" s="49"/>
      <c r="BE632" s="49"/>
      <c r="BF632" s="49"/>
      <c r="BG632" s="49"/>
      <c r="BH632" s="49"/>
      <c r="BI632" s="155"/>
      <c r="BJ632" s="155"/>
      <c r="BK632" s="155"/>
      <c r="BL632" s="49"/>
      <c r="BM632" s="49"/>
      <c r="BN632" s="49"/>
      <c r="BO632" s="49"/>
      <c r="BP632" s="49"/>
      <c r="BQ632" s="49"/>
      <c r="BR632" s="49"/>
      <c r="BS632" s="49"/>
      <c r="BT632" s="49"/>
      <c r="BU632" s="49"/>
      <c r="BV632" s="49"/>
      <c r="BW632" s="49"/>
      <c r="BX632" s="49"/>
      <c r="BY632" s="49"/>
      <c r="BZ632" s="49"/>
      <c r="CA632" s="49"/>
      <c r="CB632" s="49"/>
      <c r="CC632" s="49"/>
      <c r="CD632" s="49"/>
      <c r="CE632" s="49"/>
      <c r="CF632" s="49"/>
      <c r="CG632" s="49"/>
      <c r="CH632" s="49"/>
      <c r="CI632" s="49"/>
      <c r="CJ632" s="49"/>
      <c r="CK632" s="49"/>
      <c r="CL632" s="49"/>
      <c r="CM632" s="49"/>
      <c r="CN632" s="49"/>
      <c r="CO632" s="49"/>
      <c r="CP632" s="49"/>
      <c r="CQ632" s="49"/>
      <c r="CR632" s="49"/>
      <c r="CS632" s="49"/>
      <c r="CT632" s="155"/>
      <c r="CU632" s="155"/>
      <c r="CV632" s="155"/>
      <c r="CW632" s="155"/>
      <c r="CX632" s="155"/>
      <c r="CY632" s="155"/>
      <c r="CZ632" s="155"/>
      <c r="DA632" s="155"/>
      <c r="DB632" s="155"/>
      <c r="DC632" s="155"/>
      <c r="DD632" s="155"/>
      <c r="DE632" s="155"/>
      <c r="DF632" s="155"/>
      <c r="DG632" s="155"/>
      <c r="DH632" s="155"/>
      <c r="DI632" s="155"/>
      <c r="DJ632" s="155"/>
      <c r="DK632" s="155"/>
      <c r="DL632" s="155"/>
      <c r="DM632" s="155"/>
      <c r="DN632" s="155"/>
      <c r="DO632" s="155"/>
      <c r="DP632" s="155"/>
      <c r="DQ632" s="155"/>
      <c r="DR632" s="155"/>
      <c r="DS632" s="155"/>
      <c r="DT632" s="155"/>
      <c r="DU632" s="155"/>
      <c r="DV632" s="155"/>
      <c r="DW632" s="155"/>
      <c r="DX632" s="155"/>
    </row>
    <row r="633" spans="1:128" ht="18" customHeight="1">
      <c r="A633" s="155"/>
      <c r="B633" s="155"/>
      <c r="C633" s="155"/>
      <c r="D633" s="155"/>
      <c r="E633" s="155"/>
      <c r="F633" s="155"/>
      <c r="G633" s="155"/>
      <c r="H633" s="155"/>
      <c r="I633" s="270"/>
      <c r="J633" s="270"/>
      <c r="K633" s="270"/>
      <c r="L633" s="270"/>
      <c r="M633" s="270"/>
      <c r="N633" s="270"/>
      <c r="O633" s="155"/>
      <c r="P633" s="155"/>
      <c r="Q633" s="155"/>
      <c r="R633" s="155"/>
      <c r="S633" s="155"/>
      <c r="T633" s="155"/>
      <c r="U633" s="158"/>
      <c r="V633" s="155"/>
      <c r="W633" s="155"/>
      <c r="X633" s="263"/>
      <c r="Y633" s="155"/>
      <c r="Z633" s="155"/>
      <c r="AA633" s="263"/>
      <c r="AB633" s="263"/>
      <c r="AC633" s="155"/>
      <c r="AD633" s="155"/>
      <c r="AE633" s="155"/>
      <c r="AF633" s="155"/>
      <c r="AG633" s="155"/>
      <c r="AH633" s="155"/>
      <c r="AI633" s="155"/>
      <c r="AJ633" s="155"/>
      <c r="AK633" s="155"/>
      <c r="AL633" s="155"/>
      <c r="AM633" s="155"/>
      <c r="AN633" s="155"/>
      <c r="AO633" s="155"/>
      <c r="AP633" s="49"/>
      <c r="AQ633" s="49"/>
      <c r="AR633" s="155"/>
      <c r="AS633" s="155"/>
      <c r="AT633" s="155"/>
      <c r="AU633" s="155"/>
      <c r="AV633" s="155"/>
      <c r="AW633" s="155"/>
      <c r="AX633" s="155"/>
      <c r="AY633" s="155"/>
      <c r="AZ633" s="49"/>
      <c r="BA633" s="49"/>
      <c r="BB633" s="49"/>
      <c r="BC633" s="49"/>
      <c r="BD633" s="49"/>
      <c r="BE633" s="49"/>
      <c r="BF633" s="49"/>
      <c r="BG633" s="49"/>
      <c r="BH633" s="49"/>
      <c r="BI633" s="155"/>
      <c r="BJ633" s="155"/>
      <c r="BK633" s="155"/>
      <c r="BL633" s="49"/>
      <c r="BM633" s="49"/>
      <c r="BN633" s="49"/>
      <c r="BO633" s="49"/>
      <c r="BP633" s="49"/>
      <c r="BQ633" s="49"/>
      <c r="BR633" s="49"/>
      <c r="BS633" s="49"/>
      <c r="BT633" s="49"/>
      <c r="BU633" s="49"/>
      <c r="BV633" s="49"/>
      <c r="BW633" s="49"/>
      <c r="BX633" s="49"/>
      <c r="BY633" s="49"/>
      <c r="BZ633" s="49"/>
      <c r="CA633" s="49"/>
      <c r="CB633" s="49"/>
      <c r="CC633" s="49"/>
      <c r="CD633" s="49"/>
      <c r="CE633" s="49"/>
      <c r="CF633" s="49"/>
      <c r="CG633" s="49"/>
      <c r="CH633" s="49"/>
      <c r="CI633" s="49"/>
      <c r="CJ633" s="49"/>
      <c r="CK633" s="49"/>
      <c r="CL633" s="49"/>
      <c r="CM633" s="49"/>
      <c r="CN633" s="49"/>
      <c r="CO633" s="49"/>
      <c r="CP633" s="49"/>
      <c r="CQ633" s="49"/>
      <c r="CR633" s="49"/>
      <c r="CS633" s="49"/>
      <c r="CT633" s="155"/>
      <c r="CU633" s="155"/>
      <c r="CV633" s="155"/>
      <c r="CW633" s="155"/>
      <c r="CX633" s="155"/>
      <c r="CY633" s="155"/>
      <c r="CZ633" s="155"/>
      <c r="DA633" s="155"/>
      <c r="DB633" s="155"/>
      <c r="DC633" s="155"/>
      <c r="DD633" s="155"/>
      <c r="DE633" s="155"/>
      <c r="DF633" s="155"/>
      <c r="DG633" s="155"/>
      <c r="DH633" s="155"/>
      <c r="DI633" s="155"/>
      <c r="DJ633" s="155"/>
      <c r="DK633" s="155"/>
      <c r="DL633" s="155"/>
      <c r="DM633" s="155"/>
      <c r="DN633" s="155"/>
      <c r="DO633" s="155"/>
      <c r="DP633" s="155"/>
      <c r="DQ633" s="155"/>
      <c r="DR633" s="155"/>
      <c r="DS633" s="155"/>
      <c r="DT633" s="155"/>
      <c r="DU633" s="155"/>
      <c r="DV633" s="155"/>
      <c r="DW633" s="155"/>
      <c r="DX633" s="155"/>
    </row>
    <row r="634" spans="1:128" ht="18" customHeight="1">
      <c r="A634" s="155"/>
      <c r="B634" s="155"/>
      <c r="C634" s="155"/>
      <c r="D634" s="155"/>
      <c r="E634" s="155"/>
      <c r="F634" s="155"/>
      <c r="G634" s="155"/>
      <c r="H634" s="155"/>
      <c r="I634" s="270"/>
      <c r="J634" s="270"/>
      <c r="K634" s="270"/>
      <c r="L634" s="270"/>
      <c r="M634" s="270"/>
      <c r="N634" s="270"/>
      <c r="O634" s="155"/>
      <c r="P634" s="155"/>
      <c r="Q634" s="155"/>
      <c r="R634" s="155"/>
      <c r="S634" s="155"/>
      <c r="T634" s="155"/>
      <c r="U634" s="158"/>
      <c r="V634" s="155"/>
      <c r="W634" s="155"/>
      <c r="X634" s="263"/>
      <c r="Y634" s="155"/>
      <c r="Z634" s="155"/>
      <c r="AA634" s="263"/>
      <c r="AB634" s="263"/>
      <c r="AC634" s="155"/>
      <c r="AD634" s="155"/>
      <c r="AE634" s="155"/>
      <c r="AF634" s="155"/>
      <c r="AG634" s="155"/>
      <c r="AH634" s="155"/>
      <c r="AI634" s="155"/>
      <c r="AJ634" s="155"/>
      <c r="AK634" s="155"/>
      <c r="AL634" s="155"/>
      <c r="AM634" s="155"/>
      <c r="AN634" s="155"/>
      <c r="AO634" s="155"/>
      <c r="AP634" s="49"/>
      <c r="AQ634" s="49"/>
      <c r="AR634" s="155"/>
      <c r="AS634" s="155"/>
      <c r="AT634" s="155"/>
      <c r="AU634" s="155"/>
      <c r="AV634" s="155"/>
      <c r="AW634" s="155"/>
      <c r="AX634" s="155"/>
      <c r="AY634" s="155"/>
      <c r="AZ634" s="49"/>
      <c r="BA634" s="49"/>
      <c r="BB634" s="49"/>
      <c r="BC634" s="49"/>
      <c r="BD634" s="49"/>
      <c r="BE634" s="49"/>
      <c r="BF634" s="49"/>
      <c r="BG634" s="49"/>
      <c r="BH634" s="49"/>
      <c r="BI634" s="155"/>
      <c r="BJ634" s="155"/>
      <c r="BK634" s="155"/>
      <c r="BL634" s="49"/>
      <c r="BM634" s="49"/>
      <c r="BN634" s="49"/>
      <c r="BO634" s="49"/>
      <c r="BP634" s="49"/>
      <c r="BQ634" s="49"/>
      <c r="BR634" s="49"/>
      <c r="BS634" s="49"/>
      <c r="BT634" s="49"/>
      <c r="BU634" s="49"/>
      <c r="BV634" s="49"/>
      <c r="BW634" s="49"/>
      <c r="BX634" s="49"/>
      <c r="BY634" s="49"/>
      <c r="BZ634" s="49"/>
      <c r="CA634" s="49"/>
      <c r="CB634" s="49"/>
      <c r="CC634" s="49"/>
      <c r="CD634" s="49"/>
      <c r="CE634" s="49"/>
      <c r="CF634" s="49"/>
      <c r="CG634" s="49"/>
      <c r="CH634" s="49"/>
      <c r="CI634" s="49"/>
      <c r="CJ634" s="49"/>
      <c r="CK634" s="49"/>
      <c r="CL634" s="49"/>
      <c r="CM634" s="49"/>
      <c r="CN634" s="49"/>
      <c r="CO634" s="49"/>
      <c r="CP634" s="49"/>
      <c r="CQ634" s="49"/>
      <c r="CR634" s="49"/>
      <c r="CS634" s="49"/>
      <c r="CT634" s="155"/>
      <c r="CU634" s="155"/>
      <c r="CV634" s="155"/>
      <c r="CW634" s="155"/>
      <c r="CX634" s="155"/>
      <c r="CY634" s="155"/>
      <c r="CZ634" s="155"/>
      <c r="DA634" s="155"/>
      <c r="DB634" s="155"/>
      <c r="DC634" s="155"/>
      <c r="DD634" s="155"/>
      <c r="DE634" s="155"/>
      <c r="DF634" s="155"/>
      <c r="DG634" s="155"/>
      <c r="DH634" s="155"/>
      <c r="DI634" s="155"/>
      <c r="DJ634" s="155"/>
      <c r="DK634" s="155"/>
      <c r="DL634" s="155"/>
      <c r="DM634" s="155"/>
      <c r="DN634" s="155"/>
      <c r="DO634" s="155"/>
      <c r="DP634" s="155"/>
      <c r="DQ634" s="155"/>
      <c r="DR634" s="155"/>
      <c r="DS634" s="155"/>
      <c r="DT634" s="155"/>
      <c r="DU634" s="155"/>
      <c r="DV634" s="155"/>
      <c r="DW634" s="155"/>
      <c r="DX634" s="155"/>
    </row>
    <row r="635" spans="1:128" ht="18" customHeight="1">
      <c r="A635" s="155"/>
      <c r="B635" s="155"/>
      <c r="C635" s="155"/>
      <c r="D635" s="155"/>
      <c r="E635" s="155"/>
      <c r="F635" s="155"/>
      <c r="G635" s="155"/>
      <c r="H635" s="155"/>
      <c r="I635" s="270"/>
      <c r="J635" s="270"/>
      <c r="K635" s="270"/>
      <c r="L635" s="270"/>
      <c r="M635" s="270"/>
      <c r="N635" s="270"/>
      <c r="O635" s="155"/>
      <c r="P635" s="155"/>
      <c r="Q635" s="155"/>
      <c r="R635" s="155"/>
      <c r="S635" s="155"/>
      <c r="T635" s="155"/>
      <c r="U635" s="158"/>
      <c r="V635" s="155"/>
      <c r="W635" s="155"/>
      <c r="X635" s="263"/>
      <c r="Y635" s="155"/>
      <c r="Z635" s="155"/>
      <c r="AA635" s="263"/>
      <c r="AB635" s="263"/>
      <c r="AC635" s="155"/>
      <c r="AD635" s="155"/>
      <c r="AE635" s="155"/>
      <c r="AF635" s="155"/>
      <c r="AG635" s="155"/>
      <c r="AH635" s="155"/>
      <c r="AI635" s="155"/>
      <c r="AJ635" s="155"/>
      <c r="AK635" s="155"/>
      <c r="AL635" s="155"/>
      <c r="AM635" s="155"/>
      <c r="AN635" s="155"/>
      <c r="AO635" s="155"/>
      <c r="AP635" s="49"/>
      <c r="AQ635" s="49"/>
      <c r="AR635" s="155"/>
      <c r="AS635" s="155"/>
      <c r="AT635" s="155"/>
      <c r="AU635" s="155"/>
      <c r="AV635" s="155"/>
      <c r="AW635" s="155"/>
      <c r="AX635" s="155"/>
      <c r="AY635" s="155"/>
      <c r="AZ635" s="49"/>
      <c r="BA635" s="49"/>
      <c r="BB635" s="49"/>
      <c r="BC635" s="49"/>
      <c r="BD635" s="49"/>
      <c r="BE635" s="49"/>
      <c r="BF635" s="49"/>
      <c r="BG635" s="49"/>
      <c r="BH635" s="49"/>
      <c r="BI635" s="155"/>
      <c r="BJ635" s="155"/>
      <c r="BK635" s="155"/>
      <c r="BL635" s="49"/>
      <c r="BM635" s="49"/>
      <c r="BN635" s="49"/>
      <c r="BO635" s="49"/>
      <c r="BP635" s="49"/>
      <c r="BQ635" s="49"/>
      <c r="BR635" s="49"/>
      <c r="BS635" s="49"/>
      <c r="BT635" s="49"/>
      <c r="BU635" s="49"/>
      <c r="BV635" s="49"/>
      <c r="BW635" s="49"/>
      <c r="BX635" s="49"/>
      <c r="BY635" s="49"/>
      <c r="BZ635" s="49"/>
      <c r="CA635" s="49"/>
      <c r="CB635" s="49"/>
      <c r="CC635" s="49"/>
      <c r="CD635" s="49"/>
      <c r="CE635" s="49"/>
      <c r="CF635" s="49"/>
      <c r="CG635" s="49"/>
      <c r="CH635" s="49"/>
      <c r="CI635" s="49"/>
      <c r="CJ635" s="49"/>
      <c r="CK635" s="49"/>
      <c r="CL635" s="49"/>
      <c r="CM635" s="49"/>
      <c r="CN635" s="49"/>
      <c r="CO635" s="49"/>
      <c r="CP635" s="49"/>
      <c r="CQ635" s="49"/>
      <c r="CR635" s="49"/>
      <c r="CS635" s="49"/>
      <c r="CT635" s="155"/>
      <c r="CU635" s="155"/>
      <c r="CV635" s="155"/>
      <c r="CW635" s="155"/>
      <c r="CX635" s="155"/>
      <c r="CY635" s="155"/>
      <c r="CZ635" s="155"/>
      <c r="DA635" s="155"/>
      <c r="DB635" s="155"/>
      <c r="DC635" s="155"/>
      <c r="DD635" s="155"/>
      <c r="DE635" s="155"/>
      <c r="DF635" s="155"/>
      <c r="DG635" s="155"/>
      <c r="DH635" s="155"/>
      <c r="DI635" s="155"/>
      <c r="DJ635" s="155"/>
      <c r="DK635" s="155"/>
      <c r="DL635" s="155"/>
      <c r="DM635" s="155"/>
      <c r="DN635" s="155"/>
      <c r="DO635" s="155"/>
      <c r="DP635" s="155"/>
      <c r="DQ635" s="155"/>
      <c r="DR635" s="155"/>
      <c r="DS635" s="155"/>
      <c r="DT635" s="155"/>
      <c r="DU635" s="155"/>
      <c r="DV635" s="155"/>
      <c r="DW635" s="155"/>
      <c r="DX635" s="155"/>
    </row>
    <row r="636" spans="1:128" ht="18" customHeight="1">
      <c r="A636" s="155"/>
      <c r="B636" s="155"/>
      <c r="C636" s="155"/>
      <c r="D636" s="155"/>
      <c r="E636" s="155"/>
      <c r="F636" s="155"/>
      <c r="G636" s="155"/>
      <c r="H636" s="155"/>
      <c r="I636" s="270"/>
      <c r="J636" s="270"/>
      <c r="K636" s="270"/>
      <c r="L636" s="270"/>
      <c r="M636" s="270"/>
      <c r="N636" s="270"/>
      <c r="O636" s="155"/>
      <c r="P636" s="155"/>
      <c r="Q636" s="155"/>
      <c r="R636" s="155"/>
      <c r="S636" s="155"/>
      <c r="T636" s="155"/>
      <c r="U636" s="158"/>
      <c r="V636" s="155"/>
      <c r="W636" s="155"/>
      <c r="X636" s="263"/>
      <c r="Y636" s="155"/>
      <c r="Z636" s="155"/>
      <c r="AA636" s="263"/>
      <c r="AB636" s="263"/>
      <c r="AC636" s="155"/>
      <c r="AD636" s="155"/>
      <c r="AE636" s="155"/>
      <c r="AF636" s="155"/>
      <c r="AG636" s="155"/>
      <c r="AH636" s="155"/>
      <c r="AI636" s="155"/>
      <c r="AJ636" s="155"/>
      <c r="AK636" s="155"/>
      <c r="AL636" s="155"/>
      <c r="AM636" s="155"/>
      <c r="AN636" s="155"/>
      <c r="AO636" s="155"/>
      <c r="AP636" s="49"/>
      <c r="AQ636" s="49"/>
      <c r="AR636" s="155"/>
      <c r="AS636" s="155"/>
      <c r="AT636" s="155"/>
      <c r="AU636" s="155"/>
      <c r="AV636" s="155"/>
      <c r="AW636" s="155"/>
      <c r="AX636" s="155"/>
      <c r="AY636" s="155"/>
      <c r="AZ636" s="49"/>
      <c r="BA636" s="49"/>
      <c r="BB636" s="49"/>
      <c r="BC636" s="49"/>
      <c r="BD636" s="49"/>
      <c r="BE636" s="49"/>
      <c r="BF636" s="49"/>
      <c r="BG636" s="49"/>
      <c r="BH636" s="49"/>
      <c r="BI636" s="155"/>
      <c r="BJ636" s="155"/>
      <c r="BK636" s="155"/>
      <c r="BL636" s="49"/>
      <c r="BM636" s="49"/>
      <c r="BN636" s="49"/>
      <c r="BO636" s="49"/>
      <c r="BP636" s="49"/>
      <c r="BQ636" s="49"/>
      <c r="BR636" s="49"/>
      <c r="BS636" s="49"/>
      <c r="BT636" s="49"/>
      <c r="BU636" s="49"/>
      <c r="BV636" s="49"/>
      <c r="BW636" s="49"/>
      <c r="BX636" s="49"/>
      <c r="BY636" s="49"/>
      <c r="BZ636" s="49"/>
      <c r="CA636" s="49"/>
      <c r="CB636" s="49"/>
      <c r="CC636" s="49"/>
      <c r="CD636" s="49"/>
      <c r="CE636" s="49"/>
      <c r="CF636" s="49"/>
      <c r="CG636" s="49"/>
      <c r="CH636" s="49"/>
      <c r="CI636" s="49"/>
      <c r="CJ636" s="49"/>
      <c r="CK636" s="49"/>
      <c r="CL636" s="49"/>
      <c r="CM636" s="49"/>
      <c r="CN636" s="49"/>
      <c r="CO636" s="49"/>
      <c r="CP636" s="49"/>
      <c r="CQ636" s="49"/>
      <c r="CR636" s="49"/>
      <c r="CS636" s="49"/>
      <c r="CT636" s="155"/>
      <c r="CU636" s="155"/>
      <c r="CV636" s="155"/>
      <c r="CW636" s="155"/>
      <c r="CX636" s="155"/>
      <c r="CY636" s="155"/>
      <c r="CZ636" s="155"/>
      <c r="DA636" s="155"/>
      <c r="DB636" s="155"/>
      <c r="DC636" s="155"/>
      <c r="DD636" s="155"/>
      <c r="DE636" s="155"/>
      <c r="DF636" s="155"/>
      <c r="DG636" s="155"/>
      <c r="DH636" s="155"/>
      <c r="DI636" s="155"/>
      <c r="DJ636" s="155"/>
      <c r="DK636" s="155"/>
      <c r="DL636" s="155"/>
      <c r="DM636" s="155"/>
      <c r="DN636" s="155"/>
      <c r="DO636" s="155"/>
      <c r="DP636" s="155"/>
      <c r="DQ636" s="155"/>
      <c r="DR636" s="155"/>
      <c r="DS636" s="155"/>
      <c r="DT636" s="155"/>
      <c r="DU636" s="155"/>
      <c r="DV636" s="155"/>
      <c r="DW636" s="155"/>
      <c r="DX636" s="155"/>
    </row>
    <row r="637" spans="1:128" ht="18" customHeight="1">
      <c r="A637" s="155"/>
      <c r="B637" s="155"/>
      <c r="C637" s="155"/>
      <c r="D637" s="155"/>
      <c r="E637" s="155"/>
      <c r="F637" s="155"/>
      <c r="G637" s="155"/>
      <c r="H637" s="155"/>
      <c r="I637" s="270"/>
      <c r="J637" s="270"/>
      <c r="K637" s="270"/>
      <c r="L637" s="270"/>
      <c r="M637" s="270"/>
      <c r="N637" s="270"/>
      <c r="O637" s="155"/>
      <c r="P637" s="155"/>
      <c r="Q637" s="155"/>
      <c r="R637" s="155"/>
      <c r="S637" s="155"/>
      <c r="T637" s="155"/>
      <c r="U637" s="158"/>
      <c r="V637" s="155"/>
      <c r="W637" s="155"/>
      <c r="X637" s="263"/>
      <c r="Y637" s="155"/>
      <c r="Z637" s="155"/>
      <c r="AA637" s="263"/>
      <c r="AB637" s="263"/>
      <c r="AC637" s="155"/>
      <c r="AD637" s="155"/>
      <c r="AE637" s="155"/>
      <c r="AF637" s="155"/>
      <c r="AG637" s="155"/>
      <c r="AH637" s="155"/>
      <c r="AI637" s="155"/>
      <c r="AJ637" s="155"/>
      <c r="AK637" s="155"/>
      <c r="AL637" s="155"/>
      <c r="AM637" s="155"/>
      <c r="AN637" s="155"/>
      <c r="AO637" s="155"/>
      <c r="AP637" s="49"/>
      <c r="AQ637" s="49"/>
      <c r="AR637" s="155"/>
      <c r="AS637" s="155"/>
      <c r="AT637" s="155"/>
      <c r="AU637" s="155"/>
      <c r="AV637" s="155"/>
      <c r="AW637" s="155"/>
      <c r="AX637" s="155"/>
      <c r="AY637" s="155"/>
      <c r="AZ637" s="49"/>
      <c r="BA637" s="49"/>
      <c r="BB637" s="49"/>
      <c r="BC637" s="49"/>
      <c r="BD637" s="49"/>
      <c r="BE637" s="49"/>
      <c r="BF637" s="49"/>
      <c r="BG637" s="49"/>
      <c r="BH637" s="49"/>
      <c r="BI637" s="155"/>
      <c r="BJ637" s="155"/>
      <c r="BK637" s="155"/>
      <c r="BL637" s="49"/>
      <c r="BM637" s="49"/>
      <c r="BN637" s="49"/>
      <c r="BO637" s="49"/>
      <c r="BP637" s="49"/>
      <c r="BQ637" s="49"/>
      <c r="BR637" s="49"/>
      <c r="BS637" s="49"/>
      <c r="BT637" s="49"/>
      <c r="BU637" s="49"/>
      <c r="BV637" s="49"/>
      <c r="BW637" s="49"/>
      <c r="BX637" s="49"/>
      <c r="BY637" s="49"/>
      <c r="BZ637" s="49"/>
      <c r="CA637" s="49"/>
      <c r="CB637" s="49"/>
      <c r="CC637" s="49"/>
      <c r="CD637" s="49"/>
      <c r="CE637" s="49"/>
      <c r="CF637" s="49"/>
      <c r="CG637" s="49"/>
      <c r="CH637" s="49"/>
      <c r="CI637" s="49"/>
      <c r="CJ637" s="49"/>
      <c r="CK637" s="49"/>
      <c r="CL637" s="49"/>
      <c r="CM637" s="49"/>
      <c r="CN637" s="49"/>
      <c r="CO637" s="49"/>
      <c r="CP637" s="49"/>
      <c r="CQ637" s="49"/>
      <c r="CR637" s="49"/>
      <c r="CS637" s="49"/>
      <c r="CT637" s="155"/>
      <c r="CU637" s="155"/>
      <c r="CV637" s="155"/>
      <c r="CW637" s="155"/>
      <c r="CX637" s="155"/>
      <c r="CY637" s="155"/>
      <c r="CZ637" s="155"/>
      <c r="DA637" s="155"/>
      <c r="DB637" s="155"/>
      <c r="DC637" s="155"/>
      <c r="DD637" s="155"/>
      <c r="DE637" s="155"/>
      <c r="DF637" s="155"/>
      <c r="DG637" s="155"/>
      <c r="DH637" s="155"/>
      <c r="DI637" s="155"/>
      <c r="DJ637" s="155"/>
      <c r="DK637" s="155"/>
      <c r="DL637" s="155"/>
      <c r="DM637" s="155"/>
      <c r="DN637" s="155"/>
      <c r="DO637" s="155"/>
      <c r="DP637" s="155"/>
      <c r="DQ637" s="155"/>
      <c r="DR637" s="155"/>
      <c r="DS637" s="155"/>
      <c r="DT637" s="155"/>
      <c r="DU637" s="155"/>
      <c r="DV637" s="155"/>
      <c r="DW637" s="155"/>
      <c r="DX637" s="155"/>
    </row>
    <row r="638" spans="1:128" ht="18" customHeight="1">
      <c r="A638" s="155"/>
      <c r="B638" s="155"/>
      <c r="C638" s="155"/>
      <c r="D638" s="155"/>
      <c r="E638" s="155"/>
      <c r="F638" s="155"/>
      <c r="G638" s="155"/>
      <c r="H638" s="155"/>
      <c r="I638" s="270"/>
      <c r="J638" s="270"/>
      <c r="K638" s="270"/>
      <c r="L638" s="270"/>
      <c r="M638" s="270"/>
      <c r="N638" s="270"/>
      <c r="O638" s="155"/>
      <c r="P638" s="155"/>
      <c r="Q638" s="155"/>
      <c r="R638" s="155"/>
      <c r="S638" s="155"/>
      <c r="T638" s="155"/>
      <c r="U638" s="158"/>
      <c r="V638" s="155"/>
      <c r="W638" s="155"/>
      <c r="X638" s="263"/>
      <c r="Y638" s="155"/>
      <c r="Z638" s="155"/>
      <c r="AA638" s="263"/>
      <c r="AB638" s="263"/>
      <c r="AC638" s="155"/>
      <c r="AD638" s="155"/>
      <c r="AE638" s="155"/>
      <c r="AF638" s="155"/>
      <c r="AG638" s="155"/>
      <c r="AH638" s="155"/>
      <c r="AI638" s="155"/>
      <c r="AJ638" s="155"/>
      <c r="AK638" s="155"/>
      <c r="AL638" s="155"/>
      <c r="AM638" s="155"/>
      <c r="AN638" s="155"/>
      <c r="AO638" s="155"/>
      <c r="AP638" s="49"/>
      <c r="AQ638" s="49"/>
      <c r="AR638" s="155"/>
      <c r="AS638" s="155"/>
      <c r="AT638" s="155"/>
      <c r="AU638" s="155"/>
      <c r="AV638" s="155"/>
      <c r="AW638" s="155"/>
      <c r="AX638" s="155"/>
      <c r="AY638" s="155"/>
      <c r="AZ638" s="49"/>
      <c r="BA638" s="49"/>
      <c r="BB638" s="49"/>
      <c r="BC638" s="49"/>
      <c r="BD638" s="49"/>
      <c r="BE638" s="49"/>
      <c r="BF638" s="49"/>
      <c r="BG638" s="49"/>
      <c r="BH638" s="49"/>
      <c r="BI638" s="155"/>
      <c r="BJ638" s="155"/>
      <c r="BK638" s="155"/>
      <c r="BL638" s="49"/>
      <c r="BM638" s="49"/>
      <c r="BN638" s="49"/>
      <c r="BO638" s="49"/>
      <c r="BP638" s="49"/>
      <c r="BQ638" s="49"/>
      <c r="BR638" s="49"/>
      <c r="BS638" s="49"/>
      <c r="BT638" s="49"/>
      <c r="BU638" s="49"/>
      <c r="BV638" s="49"/>
      <c r="BW638" s="49"/>
      <c r="BX638" s="49"/>
      <c r="BY638" s="49"/>
      <c r="BZ638" s="49"/>
      <c r="CA638" s="49"/>
      <c r="CB638" s="49"/>
      <c r="CC638" s="49"/>
      <c r="CD638" s="49"/>
      <c r="CE638" s="49"/>
      <c r="CF638" s="49"/>
      <c r="CG638" s="49"/>
      <c r="CH638" s="49"/>
      <c r="CI638" s="49"/>
      <c r="CJ638" s="49"/>
      <c r="CK638" s="49"/>
      <c r="CL638" s="49"/>
      <c r="CM638" s="49"/>
      <c r="CN638" s="49"/>
      <c r="CO638" s="49"/>
      <c r="CP638" s="49"/>
      <c r="CQ638" s="49"/>
      <c r="CR638" s="49"/>
      <c r="CS638" s="49"/>
      <c r="CT638" s="155"/>
      <c r="CU638" s="155"/>
      <c r="CV638" s="155"/>
      <c r="CW638" s="155"/>
      <c r="CX638" s="155"/>
      <c r="CY638" s="155"/>
      <c r="CZ638" s="155"/>
      <c r="DA638" s="155"/>
      <c r="DB638" s="155"/>
      <c r="DC638" s="155"/>
      <c r="DD638" s="155"/>
      <c r="DE638" s="155"/>
      <c r="DF638" s="155"/>
      <c r="DG638" s="155"/>
      <c r="DH638" s="155"/>
      <c r="DI638" s="155"/>
      <c r="DJ638" s="155"/>
      <c r="DK638" s="155"/>
      <c r="DL638" s="155"/>
      <c r="DM638" s="155"/>
      <c r="DN638" s="155"/>
      <c r="DO638" s="155"/>
      <c r="DP638" s="155"/>
      <c r="DQ638" s="155"/>
      <c r="DR638" s="155"/>
      <c r="DS638" s="155"/>
      <c r="DT638" s="155"/>
      <c r="DU638" s="155"/>
      <c r="DV638" s="155"/>
      <c r="DW638" s="155"/>
      <c r="DX638" s="155"/>
    </row>
    <row r="639" spans="1:128" ht="18" customHeight="1">
      <c r="A639" s="155"/>
      <c r="B639" s="155"/>
      <c r="C639" s="155"/>
      <c r="D639" s="155"/>
      <c r="E639" s="155"/>
      <c r="F639" s="155"/>
      <c r="G639" s="155"/>
      <c r="H639" s="155"/>
      <c r="I639" s="270"/>
      <c r="J639" s="270"/>
      <c r="K639" s="270"/>
      <c r="L639" s="270"/>
      <c r="M639" s="270"/>
      <c r="N639" s="270"/>
      <c r="O639" s="155"/>
      <c r="P639" s="155"/>
      <c r="Q639" s="155"/>
      <c r="R639" s="155"/>
      <c r="S639" s="155"/>
      <c r="T639" s="155"/>
      <c r="U639" s="158"/>
      <c r="V639" s="155"/>
      <c r="W639" s="155"/>
      <c r="X639" s="263"/>
      <c r="Y639" s="155"/>
      <c r="Z639" s="155"/>
      <c r="AA639" s="263"/>
      <c r="AB639" s="263"/>
      <c r="AC639" s="155"/>
      <c r="AD639" s="155"/>
      <c r="AE639" s="155"/>
      <c r="AF639" s="155"/>
      <c r="AG639" s="155"/>
      <c r="AH639" s="155"/>
      <c r="AI639" s="155"/>
      <c r="AJ639" s="155"/>
      <c r="AK639" s="155"/>
      <c r="AL639" s="155"/>
      <c r="AM639" s="155"/>
      <c r="AN639" s="155"/>
      <c r="AO639" s="155"/>
      <c r="AP639" s="49"/>
      <c r="AQ639" s="49"/>
      <c r="AR639" s="155"/>
      <c r="AS639" s="155"/>
      <c r="AT639" s="155"/>
      <c r="AU639" s="155"/>
      <c r="AV639" s="155"/>
      <c r="AW639" s="155"/>
      <c r="AX639" s="155"/>
      <c r="AY639" s="155"/>
      <c r="AZ639" s="49"/>
      <c r="BA639" s="49"/>
      <c r="BB639" s="49"/>
      <c r="BC639" s="49"/>
      <c r="BD639" s="49"/>
      <c r="BE639" s="49"/>
      <c r="BF639" s="49"/>
      <c r="BG639" s="49"/>
      <c r="BH639" s="49"/>
      <c r="BI639" s="155"/>
      <c r="BJ639" s="155"/>
      <c r="BK639" s="155"/>
      <c r="BL639" s="49"/>
      <c r="BM639" s="49"/>
      <c r="BN639" s="49"/>
      <c r="BO639" s="49"/>
      <c r="BP639" s="49"/>
      <c r="BQ639" s="49"/>
      <c r="BR639" s="49"/>
      <c r="BS639" s="49"/>
      <c r="BT639" s="49"/>
      <c r="BU639" s="49"/>
      <c r="BV639" s="49"/>
      <c r="BW639" s="49"/>
      <c r="BX639" s="49"/>
      <c r="BY639" s="49"/>
      <c r="BZ639" s="49"/>
      <c r="CA639" s="49"/>
      <c r="CB639" s="49"/>
      <c r="CC639" s="49"/>
      <c r="CD639" s="49"/>
      <c r="CE639" s="49"/>
      <c r="CF639" s="49"/>
      <c r="CG639" s="49"/>
      <c r="CH639" s="49"/>
      <c r="CI639" s="49"/>
      <c r="CJ639" s="49"/>
      <c r="CK639" s="49"/>
      <c r="CL639" s="49"/>
      <c r="CM639" s="49"/>
      <c r="CN639" s="49"/>
      <c r="CO639" s="49"/>
      <c r="CP639" s="49"/>
      <c r="CQ639" s="49"/>
      <c r="CR639" s="49"/>
      <c r="CS639" s="49"/>
      <c r="CT639" s="155"/>
      <c r="CU639" s="155"/>
      <c r="CV639" s="155"/>
      <c r="CW639" s="155"/>
      <c r="CX639" s="155"/>
      <c r="CY639" s="155"/>
      <c r="CZ639" s="155"/>
      <c r="DA639" s="155"/>
      <c r="DB639" s="155"/>
      <c r="DC639" s="155"/>
      <c r="DD639" s="155"/>
      <c r="DE639" s="155"/>
      <c r="DF639" s="155"/>
      <c r="DG639" s="155"/>
      <c r="DH639" s="155"/>
      <c r="DI639" s="155"/>
      <c r="DJ639" s="155"/>
      <c r="DK639" s="155"/>
      <c r="DL639" s="155"/>
      <c r="DM639" s="155"/>
      <c r="DN639" s="155"/>
      <c r="DO639" s="155"/>
      <c r="DP639" s="155"/>
      <c r="DQ639" s="155"/>
      <c r="DR639" s="155"/>
      <c r="DS639" s="155"/>
      <c r="DT639" s="155"/>
      <c r="DU639" s="155"/>
      <c r="DV639" s="155"/>
      <c r="DW639" s="155"/>
      <c r="DX639" s="155"/>
    </row>
    <row r="640" spans="1:128" ht="18" customHeight="1">
      <c r="A640" s="155"/>
      <c r="B640" s="155"/>
      <c r="C640" s="155"/>
      <c r="D640" s="155"/>
      <c r="E640" s="155"/>
      <c r="F640" s="155"/>
      <c r="G640" s="155"/>
      <c r="H640" s="155"/>
      <c r="I640" s="270"/>
      <c r="J640" s="270"/>
      <c r="K640" s="270"/>
      <c r="L640" s="270"/>
      <c r="M640" s="270"/>
      <c r="N640" s="270"/>
      <c r="O640" s="155"/>
      <c r="P640" s="155"/>
      <c r="Q640" s="155"/>
      <c r="R640" s="155"/>
      <c r="S640" s="155"/>
      <c r="T640" s="155"/>
      <c r="U640" s="158"/>
      <c r="V640" s="155"/>
      <c r="W640" s="155"/>
      <c r="X640" s="263"/>
      <c r="Y640" s="155"/>
      <c r="Z640" s="155"/>
      <c r="AA640" s="263"/>
      <c r="AB640" s="263"/>
      <c r="AC640" s="155"/>
      <c r="AD640" s="155"/>
      <c r="AE640" s="155"/>
      <c r="AF640" s="155"/>
      <c r="AG640" s="155"/>
      <c r="AH640" s="155"/>
      <c r="AI640" s="155"/>
      <c r="AJ640" s="155"/>
      <c r="AK640" s="155"/>
      <c r="AL640" s="155"/>
      <c r="AM640" s="155"/>
      <c r="AN640" s="155"/>
      <c r="AO640" s="155"/>
      <c r="AP640" s="49"/>
      <c r="AQ640" s="49"/>
      <c r="AR640" s="155"/>
      <c r="AS640" s="155"/>
      <c r="AT640" s="155"/>
      <c r="AU640" s="155"/>
      <c r="AV640" s="155"/>
      <c r="AW640" s="155"/>
      <c r="AX640" s="155"/>
      <c r="AY640" s="155"/>
      <c r="AZ640" s="49"/>
      <c r="BA640" s="49"/>
      <c r="BB640" s="49"/>
      <c r="BC640" s="49"/>
      <c r="BD640" s="49"/>
      <c r="BE640" s="49"/>
      <c r="BF640" s="49"/>
      <c r="BG640" s="49"/>
      <c r="BH640" s="49"/>
      <c r="BI640" s="155"/>
      <c r="BJ640" s="155"/>
      <c r="BK640" s="155"/>
      <c r="BL640" s="49"/>
      <c r="BM640" s="49"/>
      <c r="BN640" s="49"/>
      <c r="BO640" s="49"/>
      <c r="BP640" s="49"/>
      <c r="BQ640" s="49"/>
      <c r="BR640" s="49"/>
      <c r="BS640" s="49"/>
      <c r="BT640" s="49"/>
      <c r="BU640" s="49"/>
      <c r="BV640" s="49"/>
      <c r="BW640" s="49"/>
      <c r="BX640" s="49"/>
      <c r="BY640" s="49"/>
      <c r="BZ640" s="49"/>
      <c r="CA640" s="49"/>
      <c r="CB640" s="49"/>
      <c r="CC640" s="49"/>
      <c r="CD640" s="49"/>
      <c r="CE640" s="49"/>
      <c r="CF640" s="49"/>
      <c r="CG640" s="49"/>
      <c r="CH640" s="49"/>
      <c r="CI640" s="49"/>
      <c r="CJ640" s="49"/>
      <c r="CK640" s="49"/>
      <c r="CL640" s="49"/>
      <c r="CM640" s="49"/>
      <c r="CN640" s="49"/>
      <c r="CO640" s="49"/>
      <c r="CP640" s="49"/>
      <c r="CQ640" s="49"/>
      <c r="CR640" s="49"/>
      <c r="CS640" s="49"/>
      <c r="CT640" s="155"/>
      <c r="CU640" s="155"/>
      <c r="CV640" s="155"/>
      <c r="CW640" s="155"/>
      <c r="CX640" s="155"/>
      <c r="CY640" s="155"/>
      <c r="CZ640" s="155"/>
      <c r="DA640" s="155"/>
      <c r="DB640" s="155"/>
      <c r="DC640" s="155"/>
      <c r="DD640" s="155"/>
      <c r="DE640" s="155"/>
      <c r="DF640" s="155"/>
      <c r="DG640" s="155"/>
      <c r="DH640" s="155"/>
      <c r="DI640" s="155"/>
      <c r="DJ640" s="155"/>
      <c r="DK640" s="155"/>
      <c r="DL640" s="155"/>
      <c r="DM640" s="155"/>
      <c r="DN640" s="155"/>
      <c r="DO640" s="155"/>
      <c r="DP640" s="155"/>
      <c r="DQ640" s="155"/>
      <c r="DR640" s="155"/>
      <c r="DS640" s="155"/>
      <c r="DT640" s="155"/>
      <c r="DU640" s="155"/>
      <c r="DV640" s="155"/>
      <c r="DW640" s="155"/>
      <c r="DX640" s="155"/>
    </row>
    <row r="641" spans="1:128" ht="18" customHeight="1">
      <c r="A641" s="155"/>
      <c r="B641" s="155"/>
      <c r="C641" s="155"/>
      <c r="D641" s="155"/>
      <c r="E641" s="155"/>
      <c r="F641" s="155"/>
      <c r="G641" s="155"/>
      <c r="H641" s="155"/>
      <c r="I641" s="270"/>
      <c r="J641" s="270"/>
      <c r="K641" s="270"/>
      <c r="L641" s="270"/>
      <c r="M641" s="270"/>
      <c r="N641" s="270"/>
      <c r="O641" s="155"/>
      <c r="P641" s="155"/>
      <c r="Q641" s="155"/>
      <c r="R641" s="155"/>
      <c r="S641" s="155"/>
      <c r="T641" s="155"/>
      <c r="U641" s="158"/>
      <c r="V641" s="155"/>
      <c r="W641" s="155"/>
      <c r="X641" s="263"/>
      <c r="Y641" s="155"/>
      <c r="Z641" s="155"/>
      <c r="AA641" s="263"/>
      <c r="AB641" s="263"/>
      <c r="AC641" s="155"/>
      <c r="AD641" s="155"/>
      <c r="AE641" s="155"/>
      <c r="AF641" s="155"/>
      <c r="AG641" s="155"/>
      <c r="AH641" s="155"/>
      <c r="AI641" s="155"/>
      <c r="AJ641" s="155"/>
      <c r="AK641" s="155"/>
      <c r="AL641" s="155"/>
      <c r="AM641" s="155"/>
      <c r="AN641" s="155"/>
      <c r="AO641" s="155"/>
      <c r="AP641" s="49"/>
      <c r="AQ641" s="49"/>
      <c r="AR641" s="155"/>
      <c r="AS641" s="155"/>
      <c r="AT641" s="155"/>
      <c r="AU641" s="155"/>
      <c r="AV641" s="155"/>
      <c r="AW641" s="155"/>
      <c r="AX641" s="155"/>
      <c r="AY641" s="155"/>
      <c r="AZ641" s="49"/>
      <c r="BA641" s="49"/>
      <c r="BB641" s="49"/>
      <c r="BC641" s="49"/>
      <c r="BD641" s="49"/>
      <c r="BE641" s="49"/>
      <c r="BF641" s="49"/>
      <c r="BG641" s="49"/>
      <c r="BH641" s="49"/>
      <c r="BI641" s="155"/>
      <c r="BJ641" s="155"/>
      <c r="BK641" s="155"/>
      <c r="BL641" s="49"/>
      <c r="BM641" s="49"/>
      <c r="BN641" s="49"/>
      <c r="BO641" s="49"/>
      <c r="BP641" s="49"/>
      <c r="BQ641" s="49"/>
      <c r="BR641" s="49"/>
      <c r="BS641" s="49"/>
      <c r="BT641" s="49"/>
      <c r="BU641" s="49"/>
      <c r="BV641" s="49"/>
      <c r="BW641" s="49"/>
      <c r="BX641" s="49"/>
      <c r="BY641" s="49"/>
      <c r="BZ641" s="49"/>
      <c r="CA641" s="49"/>
      <c r="CB641" s="49"/>
      <c r="CC641" s="49"/>
      <c r="CD641" s="49"/>
      <c r="CE641" s="49"/>
      <c r="CF641" s="49"/>
      <c r="CG641" s="49"/>
      <c r="CH641" s="49"/>
      <c r="CI641" s="49"/>
      <c r="CJ641" s="49"/>
      <c r="CK641" s="49"/>
      <c r="CL641" s="49"/>
      <c r="CM641" s="49"/>
      <c r="CN641" s="49"/>
      <c r="CO641" s="49"/>
      <c r="CP641" s="49"/>
      <c r="CQ641" s="49"/>
      <c r="CR641" s="49"/>
      <c r="CS641" s="49"/>
      <c r="CT641" s="155"/>
      <c r="CU641" s="155"/>
      <c r="CV641" s="155"/>
      <c r="CW641" s="155"/>
      <c r="CX641" s="155"/>
      <c r="CY641" s="155"/>
      <c r="CZ641" s="155"/>
      <c r="DA641" s="155"/>
      <c r="DB641" s="155"/>
      <c r="DC641" s="155"/>
      <c r="DD641" s="155"/>
      <c r="DE641" s="155"/>
      <c r="DF641" s="155"/>
      <c r="DG641" s="155"/>
      <c r="DH641" s="155"/>
      <c r="DI641" s="155"/>
      <c r="DJ641" s="155"/>
      <c r="DK641" s="155"/>
      <c r="DL641" s="155"/>
      <c r="DM641" s="155"/>
      <c r="DN641" s="155"/>
      <c r="DO641" s="155"/>
      <c r="DP641" s="155"/>
      <c r="DQ641" s="155"/>
      <c r="DR641" s="155"/>
      <c r="DS641" s="155"/>
      <c r="DT641" s="155"/>
      <c r="DU641" s="155"/>
      <c r="DV641" s="155"/>
      <c r="DW641" s="155"/>
      <c r="DX641" s="155"/>
    </row>
    <row r="642" spans="1:128" ht="18" customHeight="1">
      <c r="A642" s="155"/>
      <c r="B642" s="155"/>
      <c r="C642" s="155"/>
      <c r="D642" s="155"/>
      <c r="E642" s="155"/>
      <c r="F642" s="155"/>
      <c r="G642" s="155"/>
      <c r="H642" s="155"/>
      <c r="I642" s="270"/>
      <c r="J642" s="270"/>
      <c r="K642" s="270"/>
      <c r="L642" s="270"/>
      <c r="M642" s="270"/>
      <c r="N642" s="270"/>
      <c r="O642" s="155"/>
      <c r="P642" s="155"/>
      <c r="Q642" s="155"/>
      <c r="R642" s="155"/>
      <c r="S642" s="155"/>
      <c r="T642" s="155"/>
      <c r="U642" s="158"/>
      <c r="V642" s="155"/>
      <c r="W642" s="155"/>
      <c r="X642" s="263"/>
      <c r="Y642" s="155"/>
      <c r="Z642" s="155"/>
      <c r="AA642" s="263"/>
      <c r="AB642" s="263"/>
      <c r="AC642" s="155"/>
      <c r="AD642" s="155"/>
      <c r="AE642" s="155"/>
      <c r="AF642" s="155"/>
      <c r="AG642" s="155"/>
      <c r="AH642" s="155"/>
      <c r="AI642" s="155"/>
      <c r="AJ642" s="155"/>
      <c r="AK642" s="155"/>
      <c r="AL642" s="155"/>
      <c r="AM642" s="155"/>
      <c r="AN642" s="155"/>
      <c r="AO642" s="155"/>
      <c r="AP642" s="49"/>
      <c r="AQ642" s="49"/>
      <c r="AR642" s="155"/>
      <c r="AS642" s="155"/>
      <c r="AT642" s="155"/>
      <c r="AU642" s="155"/>
      <c r="AV642" s="155"/>
      <c r="AW642" s="155"/>
      <c r="AX642" s="155"/>
      <c r="AY642" s="155"/>
      <c r="AZ642" s="49"/>
      <c r="BA642" s="49"/>
      <c r="BB642" s="49"/>
      <c r="BC642" s="49"/>
      <c r="BD642" s="49"/>
      <c r="BE642" s="49"/>
      <c r="BF642" s="49"/>
      <c r="BG642" s="49"/>
      <c r="BH642" s="49"/>
      <c r="BI642" s="155"/>
      <c r="BJ642" s="155"/>
      <c r="BK642" s="155"/>
      <c r="BL642" s="49"/>
      <c r="BM642" s="49"/>
      <c r="BN642" s="49"/>
      <c r="BO642" s="49"/>
      <c r="BP642" s="49"/>
      <c r="BQ642" s="49"/>
      <c r="BR642" s="49"/>
      <c r="BS642" s="49"/>
      <c r="BT642" s="49"/>
      <c r="BU642" s="49"/>
      <c r="BV642" s="49"/>
      <c r="BW642" s="49"/>
      <c r="BX642" s="49"/>
      <c r="BY642" s="49"/>
      <c r="BZ642" s="49"/>
      <c r="CA642" s="49"/>
      <c r="CB642" s="49"/>
      <c r="CC642" s="49"/>
      <c r="CD642" s="49"/>
      <c r="CE642" s="49"/>
      <c r="CF642" s="49"/>
      <c r="CG642" s="49"/>
      <c r="CH642" s="49"/>
      <c r="CI642" s="49"/>
      <c r="CJ642" s="49"/>
      <c r="CK642" s="49"/>
      <c r="CL642" s="49"/>
      <c r="CM642" s="49"/>
      <c r="CN642" s="49"/>
      <c r="CO642" s="49"/>
      <c r="CP642" s="49"/>
      <c r="CQ642" s="49"/>
      <c r="CR642" s="49"/>
      <c r="CS642" s="49"/>
      <c r="CT642" s="155"/>
      <c r="CU642" s="155"/>
      <c r="CV642" s="155"/>
      <c r="CW642" s="155"/>
      <c r="CX642" s="155"/>
      <c r="CY642" s="155"/>
      <c r="CZ642" s="155"/>
      <c r="DA642" s="155"/>
      <c r="DB642" s="155"/>
      <c r="DC642" s="155"/>
      <c r="DD642" s="155"/>
      <c r="DE642" s="155"/>
      <c r="DF642" s="155"/>
      <c r="DG642" s="155"/>
      <c r="DH642" s="155"/>
      <c r="DI642" s="155"/>
      <c r="DJ642" s="155"/>
      <c r="DK642" s="155"/>
      <c r="DL642" s="155"/>
      <c r="DM642" s="155"/>
      <c r="DN642" s="155"/>
      <c r="DO642" s="155"/>
      <c r="DP642" s="155"/>
      <c r="DQ642" s="155"/>
      <c r="DR642" s="155"/>
      <c r="DS642" s="155"/>
      <c r="DT642" s="155"/>
      <c r="DU642" s="155"/>
      <c r="DV642" s="155"/>
      <c r="DW642" s="155"/>
      <c r="DX642" s="155"/>
    </row>
  </sheetData>
  <mergeCells count="271">
    <mergeCell ref="AI116:AJ116"/>
    <mergeCell ref="AK116:AL116"/>
    <mergeCell ref="AI113:AJ113"/>
    <mergeCell ref="AK113:AL113"/>
    <mergeCell ref="AI114:AJ114"/>
    <mergeCell ref="AK114:AL114"/>
    <mergeCell ref="AI115:AJ115"/>
    <mergeCell ref="AK115:AL115"/>
    <mergeCell ref="AI110:AJ110"/>
    <mergeCell ref="AK110:AL110"/>
    <mergeCell ref="AI111:AJ111"/>
    <mergeCell ref="AK111:AL111"/>
    <mergeCell ref="AI112:AJ112"/>
    <mergeCell ref="AK112:AL112"/>
    <mergeCell ref="AI107:AJ107"/>
    <mergeCell ref="AK107:AL107"/>
    <mergeCell ref="AI108:AJ108"/>
    <mergeCell ref="AK108:AL108"/>
    <mergeCell ref="AI109:AJ109"/>
    <mergeCell ref="AK109:AL109"/>
    <mergeCell ref="AI104:AJ104"/>
    <mergeCell ref="AK104:AL104"/>
    <mergeCell ref="AI105:AJ105"/>
    <mergeCell ref="AK105:AL105"/>
    <mergeCell ref="AI106:AJ106"/>
    <mergeCell ref="AK106:AL106"/>
    <mergeCell ref="AI101:AJ101"/>
    <mergeCell ref="AK101:AL101"/>
    <mergeCell ref="AI102:AJ102"/>
    <mergeCell ref="AK102:AL102"/>
    <mergeCell ref="AI103:AJ103"/>
    <mergeCell ref="AK103:AL103"/>
    <mergeCell ref="AI98:AJ98"/>
    <mergeCell ref="AK98:AL98"/>
    <mergeCell ref="AI99:AJ99"/>
    <mergeCell ref="AK99:AL99"/>
    <mergeCell ref="AI100:AJ100"/>
    <mergeCell ref="AK100:AL100"/>
    <mergeCell ref="AI95:AJ95"/>
    <mergeCell ref="AK95:AL95"/>
    <mergeCell ref="AI96:AJ96"/>
    <mergeCell ref="AK96:AL96"/>
    <mergeCell ref="AI97:AJ97"/>
    <mergeCell ref="AK97:AL97"/>
    <mergeCell ref="AI92:AJ92"/>
    <mergeCell ref="AK92:AL92"/>
    <mergeCell ref="AI93:AJ93"/>
    <mergeCell ref="AK93:AL93"/>
    <mergeCell ref="AI94:AJ94"/>
    <mergeCell ref="AK94:AL94"/>
    <mergeCell ref="AI89:AJ89"/>
    <mergeCell ref="AK89:AL89"/>
    <mergeCell ref="AI90:AJ90"/>
    <mergeCell ref="AK90:AL90"/>
    <mergeCell ref="AI91:AJ91"/>
    <mergeCell ref="AK91:AL91"/>
    <mergeCell ref="AI86:AJ86"/>
    <mergeCell ref="AK86:AL86"/>
    <mergeCell ref="AI87:AJ87"/>
    <mergeCell ref="AK87:AL87"/>
    <mergeCell ref="AI88:AJ88"/>
    <mergeCell ref="AK88:AL88"/>
    <mergeCell ref="AI83:AJ83"/>
    <mergeCell ref="AK83:AL83"/>
    <mergeCell ref="AI84:AJ84"/>
    <mergeCell ref="AK84:AL84"/>
    <mergeCell ref="AI85:AJ85"/>
    <mergeCell ref="AK85:AL85"/>
    <mergeCell ref="AI80:AJ80"/>
    <mergeCell ref="AK80:AL80"/>
    <mergeCell ref="AI81:AJ81"/>
    <mergeCell ref="AK81:AL81"/>
    <mergeCell ref="AI82:AJ82"/>
    <mergeCell ref="AK82:AL82"/>
    <mergeCell ref="AI77:AJ77"/>
    <mergeCell ref="AK77:AL77"/>
    <mergeCell ref="AI78:AJ78"/>
    <mergeCell ref="AK78:AL78"/>
    <mergeCell ref="AI79:AJ79"/>
    <mergeCell ref="AK79:AL79"/>
    <mergeCell ref="AI74:AJ74"/>
    <mergeCell ref="AK74:AL74"/>
    <mergeCell ref="AI75:AJ75"/>
    <mergeCell ref="AK75:AL75"/>
    <mergeCell ref="AI76:AJ76"/>
    <mergeCell ref="AK76:AL76"/>
    <mergeCell ref="AI71:AJ71"/>
    <mergeCell ref="AK71:AL71"/>
    <mergeCell ref="AI72:AJ72"/>
    <mergeCell ref="AK72:AL72"/>
    <mergeCell ref="AI73:AJ73"/>
    <mergeCell ref="AK73:AL73"/>
    <mergeCell ref="AI68:AJ68"/>
    <mergeCell ref="AK68:AL68"/>
    <mergeCell ref="AI69:AJ69"/>
    <mergeCell ref="AK69:AL69"/>
    <mergeCell ref="AI70:AJ70"/>
    <mergeCell ref="AK70:AL70"/>
    <mergeCell ref="AI65:AJ65"/>
    <mergeCell ref="AK65:AL65"/>
    <mergeCell ref="AI66:AJ66"/>
    <mergeCell ref="AK66:AL66"/>
    <mergeCell ref="AI67:AJ67"/>
    <mergeCell ref="AK67:AL67"/>
    <mergeCell ref="AI62:AJ62"/>
    <mergeCell ref="AK62:AL62"/>
    <mergeCell ref="AI63:AJ63"/>
    <mergeCell ref="AK63:AL63"/>
    <mergeCell ref="AI64:AJ64"/>
    <mergeCell ref="AK64:AL64"/>
    <mergeCell ref="AI59:AJ59"/>
    <mergeCell ref="AK59:AL59"/>
    <mergeCell ref="AI60:AJ60"/>
    <mergeCell ref="AK60:AL60"/>
    <mergeCell ref="AI61:AJ61"/>
    <mergeCell ref="AK61:AL61"/>
    <mergeCell ref="AI56:AJ56"/>
    <mergeCell ref="AK56:AL56"/>
    <mergeCell ref="AI57:AJ57"/>
    <mergeCell ref="AK57:AL57"/>
    <mergeCell ref="AI58:AJ58"/>
    <mergeCell ref="AK58:AL58"/>
    <mergeCell ref="AI53:AJ53"/>
    <mergeCell ref="AK53:AL53"/>
    <mergeCell ref="AI54:AJ54"/>
    <mergeCell ref="AK54:AL54"/>
    <mergeCell ref="AI55:AJ55"/>
    <mergeCell ref="AK55:AL55"/>
    <mergeCell ref="AI50:AJ50"/>
    <mergeCell ref="AK50:AL50"/>
    <mergeCell ref="AI51:AJ51"/>
    <mergeCell ref="AK51:AL51"/>
    <mergeCell ref="AI52:AJ52"/>
    <mergeCell ref="AK52:AL52"/>
    <mergeCell ref="AI47:AJ47"/>
    <mergeCell ref="AK47:AL47"/>
    <mergeCell ref="AI48:AJ48"/>
    <mergeCell ref="AK48:AL48"/>
    <mergeCell ref="AI49:AJ49"/>
    <mergeCell ref="AK49:AL49"/>
    <mergeCell ref="X43:Z43"/>
    <mergeCell ref="AI43:AJ43"/>
    <mergeCell ref="AK43:AL43"/>
    <mergeCell ref="CN43:DF51"/>
    <mergeCell ref="AI44:AJ44"/>
    <mergeCell ref="AK44:AL44"/>
    <mergeCell ref="AI45:AJ45"/>
    <mergeCell ref="AK45:AL45"/>
    <mergeCell ref="AI46:AJ46"/>
    <mergeCell ref="AK46:AL46"/>
    <mergeCell ref="DL38:DX40"/>
    <mergeCell ref="AI39:AJ39"/>
    <mergeCell ref="AK39:AL39"/>
    <mergeCell ref="AI40:AJ40"/>
    <mergeCell ref="AK40:AL40"/>
    <mergeCell ref="AI41:AJ41"/>
    <mergeCell ref="AK41:AL41"/>
    <mergeCell ref="F37:P42"/>
    <mergeCell ref="AI37:AJ37"/>
    <mergeCell ref="AK37:AL37"/>
    <mergeCell ref="AI38:AJ38"/>
    <mergeCell ref="AK38:AL38"/>
    <mergeCell ref="DK38:DK40"/>
    <mergeCell ref="AI42:AJ42"/>
    <mergeCell ref="AK42:AL42"/>
    <mergeCell ref="AI33:AJ33"/>
    <mergeCell ref="AK33:AL33"/>
    <mergeCell ref="AI34:AJ34"/>
    <mergeCell ref="AK34:AL34"/>
    <mergeCell ref="DK34:DK36"/>
    <mergeCell ref="DL34:DX36"/>
    <mergeCell ref="AI35:AJ35"/>
    <mergeCell ref="AK35:AL35"/>
    <mergeCell ref="AI36:AJ36"/>
    <mergeCell ref="AK36:AL36"/>
    <mergeCell ref="AI30:AJ30"/>
    <mergeCell ref="AK30:AL30"/>
    <mergeCell ref="DK30:DK32"/>
    <mergeCell ref="DL30:DX32"/>
    <mergeCell ref="AI31:AJ31"/>
    <mergeCell ref="AK31:AL31"/>
    <mergeCell ref="AI32:AJ32"/>
    <mergeCell ref="AK32:AL32"/>
    <mergeCell ref="AI27:AJ27"/>
    <mergeCell ref="AK27:AL27"/>
    <mergeCell ref="AI28:AJ28"/>
    <mergeCell ref="AK28:AL28"/>
    <mergeCell ref="AI29:AJ29"/>
    <mergeCell ref="AK29:AL29"/>
    <mergeCell ref="CW24:CY24"/>
    <mergeCell ref="DA24:DI24"/>
    <mergeCell ref="AI25:AJ25"/>
    <mergeCell ref="AK25:AL25"/>
    <mergeCell ref="CQ25:CS30"/>
    <mergeCell ref="CT25:CV30"/>
    <mergeCell ref="CW25:CY30"/>
    <mergeCell ref="DA25:DI30"/>
    <mergeCell ref="AI26:AJ26"/>
    <mergeCell ref="AK26:AL26"/>
    <mergeCell ref="AI23:AJ23"/>
    <mergeCell ref="AK23:AL23"/>
    <mergeCell ref="AI24:AJ24"/>
    <mergeCell ref="AK24:AL24"/>
    <mergeCell ref="CQ24:CS24"/>
    <mergeCell ref="CT24:CV24"/>
    <mergeCell ref="AI20:AJ20"/>
    <mergeCell ref="AK20:AL20"/>
    <mergeCell ref="AI21:AJ21"/>
    <mergeCell ref="AK21:AL21"/>
    <mergeCell ref="AI22:AJ22"/>
    <mergeCell ref="AK22:AL22"/>
    <mergeCell ref="CV16:CX16"/>
    <mergeCell ref="AI17:AJ17"/>
    <mergeCell ref="AK17:AL17"/>
    <mergeCell ref="CQ17:CS23"/>
    <mergeCell ref="CT17:CV23"/>
    <mergeCell ref="CW17:CY23"/>
    <mergeCell ref="AI18:AJ18"/>
    <mergeCell ref="AK18:AL18"/>
    <mergeCell ref="AI19:AJ19"/>
    <mergeCell ref="AK19:AL19"/>
    <mergeCell ref="I13:L13"/>
    <mergeCell ref="AL13:AM13"/>
    <mergeCell ref="AL14:AM14"/>
    <mergeCell ref="AL15:AM15"/>
    <mergeCell ref="CP16:CR16"/>
    <mergeCell ref="CS16:CU16"/>
    <mergeCell ref="AL9:AM9"/>
    <mergeCell ref="AL10:AM10"/>
    <mergeCell ref="G11:G12"/>
    <mergeCell ref="H11:H12"/>
    <mergeCell ref="AL11:AM11"/>
    <mergeCell ref="AL12:AM12"/>
    <mergeCell ref="J7:K7"/>
    <mergeCell ref="L7:M7"/>
    <mergeCell ref="N7:O7"/>
    <mergeCell ref="AL7:AM7"/>
    <mergeCell ref="AF8:AG8"/>
    <mergeCell ref="AL8:AM8"/>
    <mergeCell ref="J5:K5"/>
    <mergeCell ref="L5:M5"/>
    <mergeCell ref="N5:O5"/>
    <mergeCell ref="AL5:AM5"/>
    <mergeCell ref="CE5:CF5"/>
    <mergeCell ref="J6:K6"/>
    <mergeCell ref="L6:M6"/>
    <mergeCell ref="N6:O6"/>
    <mergeCell ref="AL6:AM6"/>
    <mergeCell ref="CE6:CF6"/>
    <mergeCell ref="CE3:CF3"/>
    <mergeCell ref="CZ3:DA3"/>
    <mergeCell ref="DI3:DK3"/>
    <mergeCell ref="DN3:DO3"/>
    <mergeCell ref="CC4:CD4"/>
    <mergeCell ref="CE4:CF4"/>
    <mergeCell ref="DQ2:DR2"/>
    <mergeCell ref="E3:H3"/>
    <mergeCell ref="I3:J3"/>
    <mergeCell ref="AJ3:AJ4"/>
    <mergeCell ref="AK3:AK4"/>
    <mergeCell ref="AL3:AM4"/>
    <mergeCell ref="AN3:AN4"/>
    <mergeCell ref="AO3:AO4"/>
    <mergeCell ref="AP3:AP4"/>
    <mergeCell ref="AQ3:AQ4"/>
    <mergeCell ref="E2:H2"/>
    <mergeCell ref="I2:J2"/>
    <mergeCell ref="AJ2:AP2"/>
    <mergeCell ref="AU2:AV2"/>
    <mergeCell ref="CC2:CD2"/>
    <mergeCell ref="DI2:DK2"/>
  </mergeCells>
  <phoneticPr fontId="3"/>
  <conditionalFormatting sqref="L6:M7">
    <cfRule type="expression" dxfId="8" priority="3">
      <formula>$G$11="生月中殺"</formula>
    </cfRule>
  </conditionalFormatting>
  <conditionalFormatting sqref="L5:O5">
    <cfRule type="expression" dxfId="7" priority="4">
      <formula>$H$11="生年中殺"</formula>
    </cfRule>
  </conditionalFormatting>
  <conditionalFormatting sqref="N6:O6">
    <cfRule type="expression" dxfId="6" priority="5">
      <formula>$H$11="生年中殺"</formula>
    </cfRule>
  </conditionalFormatting>
  <conditionalFormatting sqref="N7:O7">
    <cfRule type="expression" dxfId="5" priority="6">
      <formula>$G$11="生月中殺"</formula>
    </cfRule>
  </conditionalFormatting>
  <conditionalFormatting sqref="AQ17:AQ116">
    <cfRule type="containsText" dxfId="4" priority="7" operator="containsText" text="殺">
      <formula>NOT(ISERROR(SEARCH(("殺"),(BN17))))</formula>
    </cfRule>
  </conditionalFormatting>
  <conditionalFormatting sqref="P45:P69">
    <cfRule type="containsText" dxfId="3" priority="8" operator="containsText" text="殺">
      <formula>NOT(ISERROR(SEARCH(("殺"),(AQ45))))</formula>
    </cfRule>
  </conditionalFormatting>
  <conditionalFormatting sqref="BI17:BK112">
    <cfRule type="containsText" dxfId="2" priority="2" operator="containsText" text="殺">
      <formula>NOT(ISERROR(SEARCH(("殺"),(CJ17))))</formula>
    </cfRule>
  </conditionalFormatting>
  <conditionalFormatting sqref="Q45:S69">
    <cfRule type="containsText" dxfId="1" priority="9" operator="containsText" text="殺">
      <formula>NOT(ISERROR(SEARCH(("殺"),(AU45))))</formula>
    </cfRule>
  </conditionalFormatting>
  <conditionalFormatting sqref="AR17:AT116">
    <cfRule type="containsText" dxfId="0" priority="1" operator="containsText" text="殺">
      <formula>NOT(ISERROR(SEARCH(("殺"),(BS17))))</formula>
    </cfRule>
  </conditionalFormatting>
  <dataValidations count="2">
    <dataValidation type="list" allowBlank="1" showErrorMessage="1" sqref="BX6">
      <formula1>$CG$119:$CG$120</formula1>
    </dataValidation>
    <dataValidation type="list" allowBlank="1" showErrorMessage="1" sqref="M3 CS4 BU15">
      <formula1>$CI$136:$CI$137</formula1>
    </dataValidation>
  </dataValidations>
  <printOptions horizontalCentered="1" verticalCentered="1"/>
  <pageMargins left="3.937007874015748E-2" right="0.11811023622047245" top="0.11811023622047245" bottom="0.11811023622047245" header="0" footer="0"/>
  <pageSetup paperSize="9" scale="9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44"/>
  <sheetViews>
    <sheetView topLeftCell="A121" workbookViewId="0">
      <selection activeCell="Q1" sqref="Q1:S1048576"/>
    </sheetView>
  </sheetViews>
  <sheetFormatPr defaultColWidth="12.625" defaultRowHeight="15" customHeight="1"/>
  <cols>
    <col min="1" max="1" width="17.25" style="224" customWidth="1"/>
    <col min="2" max="3" width="12.625" style="2"/>
    <col min="4" max="4" width="15.125" style="2" customWidth="1"/>
    <col min="5" max="16384" width="12.625" style="2"/>
  </cols>
  <sheetData>
    <row r="1" spans="1:6" ht="15" customHeight="1">
      <c r="A1" s="290" t="s">
        <v>1074</v>
      </c>
      <c r="B1" s="11" t="s">
        <v>456</v>
      </c>
      <c r="C1" s="11" t="s">
        <v>1075</v>
      </c>
      <c r="D1" s="11" t="s">
        <v>1076</v>
      </c>
      <c r="E1" s="11" t="s">
        <v>211</v>
      </c>
      <c r="F1" s="11" t="s">
        <v>212</v>
      </c>
    </row>
    <row r="2" spans="1:6" ht="15" customHeight="1">
      <c r="A2" s="290" t="s">
        <v>1074</v>
      </c>
      <c r="B2" s="11" t="s">
        <v>458</v>
      </c>
      <c r="C2" s="11" t="s">
        <v>1077</v>
      </c>
      <c r="D2" s="11" t="s">
        <v>1076</v>
      </c>
      <c r="E2" s="11" t="s">
        <v>215</v>
      </c>
      <c r="F2" s="11" t="s">
        <v>216</v>
      </c>
    </row>
    <row r="3" spans="1:6" ht="15" customHeight="1">
      <c r="A3" s="290" t="s">
        <v>1074</v>
      </c>
      <c r="B3" s="11" t="s">
        <v>459</v>
      </c>
      <c r="C3" s="11" t="s">
        <v>1078</v>
      </c>
      <c r="D3" s="11" t="s">
        <v>1076</v>
      </c>
      <c r="E3" s="11" t="s">
        <v>218</v>
      </c>
      <c r="F3" s="11" t="s">
        <v>219</v>
      </c>
    </row>
    <row r="4" spans="1:6" ht="15" customHeight="1">
      <c r="A4" s="290" t="s">
        <v>1074</v>
      </c>
      <c r="B4" s="11" t="s">
        <v>464</v>
      </c>
      <c r="C4" s="11" t="s">
        <v>1079</v>
      </c>
      <c r="D4" s="11" t="s">
        <v>1076</v>
      </c>
      <c r="E4" s="11" t="s">
        <v>222</v>
      </c>
      <c r="F4" s="11" t="s">
        <v>223</v>
      </c>
    </row>
    <row r="5" spans="1:6" ht="15" customHeight="1">
      <c r="A5" s="290" t="s">
        <v>1074</v>
      </c>
      <c r="B5" s="11" t="s">
        <v>469</v>
      </c>
      <c r="C5" s="11" t="s">
        <v>1080</v>
      </c>
      <c r="D5" s="11" t="s">
        <v>1076</v>
      </c>
      <c r="E5" s="11" t="s">
        <v>226</v>
      </c>
      <c r="F5" s="11" t="s">
        <v>227</v>
      </c>
    </row>
    <row r="6" spans="1:6" ht="15" customHeight="1">
      <c r="A6" s="290" t="s">
        <v>1074</v>
      </c>
      <c r="B6" s="11" t="s">
        <v>475</v>
      </c>
      <c r="C6" s="11" t="s">
        <v>1081</v>
      </c>
      <c r="D6" s="11" t="s">
        <v>1076</v>
      </c>
      <c r="E6" s="11" t="s">
        <v>230</v>
      </c>
      <c r="F6" s="11" t="s">
        <v>231</v>
      </c>
    </row>
    <row r="7" spans="1:6" ht="15" customHeight="1">
      <c r="A7" s="290" t="s">
        <v>1074</v>
      </c>
      <c r="B7" s="11" t="s">
        <v>481</v>
      </c>
      <c r="C7" s="11" t="s">
        <v>1082</v>
      </c>
      <c r="D7" s="11" t="s">
        <v>1076</v>
      </c>
      <c r="E7" s="11" t="s">
        <v>232</v>
      </c>
      <c r="F7" s="11" t="s">
        <v>1083</v>
      </c>
    </row>
    <row r="8" spans="1:6" ht="15" customHeight="1">
      <c r="A8" s="290" t="s">
        <v>1074</v>
      </c>
      <c r="B8" s="11" t="s">
        <v>486</v>
      </c>
      <c r="C8" s="11" t="s">
        <v>1084</v>
      </c>
      <c r="D8" s="11" t="s">
        <v>1076</v>
      </c>
      <c r="E8" s="11" t="s">
        <v>235</v>
      </c>
      <c r="F8" s="11" t="s">
        <v>236</v>
      </c>
    </row>
    <row r="9" spans="1:6" ht="15" customHeight="1">
      <c r="A9" s="290" t="s">
        <v>1074</v>
      </c>
      <c r="B9" s="11" t="s">
        <v>491</v>
      </c>
      <c r="C9" s="11" t="s">
        <v>1085</v>
      </c>
      <c r="D9" s="11" t="s">
        <v>1076</v>
      </c>
      <c r="E9" s="11" t="s">
        <v>237</v>
      </c>
      <c r="F9" s="11" t="s">
        <v>238</v>
      </c>
    </row>
    <row r="10" spans="1:6" ht="15" customHeight="1">
      <c r="A10" s="290" t="s">
        <v>1074</v>
      </c>
      <c r="B10" s="11" t="s">
        <v>498</v>
      </c>
      <c r="C10" s="11" t="s">
        <v>1086</v>
      </c>
      <c r="D10" s="11" t="s">
        <v>1076</v>
      </c>
      <c r="E10" s="11" t="s">
        <v>241</v>
      </c>
      <c r="F10" s="11" t="s">
        <v>242</v>
      </c>
    </row>
    <row r="11" spans="1:6" ht="15" customHeight="1">
      <c r="A11" s="290" t="s">
        <v>1074</v>
      </c>
      <c r="B11" s="11" t="s">
        <v>505</v>
      </c>
      <c r="C11" s="11" t="s">
        <v>1087</v>
      </c>
      <c r="D11" s="11" t="s">
        <v>1076</v>
      </c>
      <c r="E11" s="11" t="s">
        <v>247</v>
      </c>
      <c r="F11" s="11" t="s">
        <v>248</v>
      </c>
    </row>
    <row r="12" spans="1:6" ht="15" customHeight="1">
      <c r="A12" s="290" t="s">
        <v>1074</v>
      </c>
      <c r="B12" s="11" t="s">
        <v>510</v>
      </c>
      <c r="C12" s="11" t="s">
        <v>1088</v>
      </c>
      <c r="D12" s="11" t="s">
        <v>1076</v>
      </c>
      <c r="E12" s="11" t="s">
        <v>253</v>
      </c>
      <c r="F12" s="11" t="s">
        <v>254</v>
      </c>
    </row>
    <row r="13" spans="1:6" ht="15" customHeight="1">
      <c r="A13" s="290" t="s">
        <v>1089</v>
      </c>
      <c r="B13" s="11" t="s">
        <v>456</v>
      </c>
      <c r="C13" s="11" t="s">
        <v>1088</v>
      </c>
      <c r="D13" s="11" t="s">
        <v>1090</v>
      </c>
      <c r="E13" s="11" t="s">
        <v>253</v>
      </c>
      <c r="F13" s="11" t="s">
        <v>254</v>
      </c>
    </row>
    <row r="14" spans="1:6" ht="15" customHeight="1">
      <c r="A14" s="290" t="s">
        <v>1089</v>
      </c>
      <c r="B14" s="11" t="s">
        <v>458</v>
      </c>
      <c r="C14" s="11" t="s">
        <v>1075</v>
      </c>
      <c r="D14" s="11" t="s">
        <v>1090</v>
      </c>
      <c r="E14" s="11" t="s">
        <v>211</v>
      </c>
      <c r="F14" s="11" t="s">
        <v>212</v>
      </c>
    </row>
    <row r="15" spans="1:6" ht="15" customHeight="1">
      <c r="A15" s="290" t="s">
        <v>1089</v>
      </c>
      <c r="B15" s="11" t="s">
        <v>459</v>
      </c>
      <c r="C15" s="11" t="s">
        <v>1077</v>
      </c>
      <c r="D15" s="11" t="s">
        <v>1090</v>
      </c>
      <c r="E15" s="11" t="s">
        <v>215</v>
      </c>
      <c r="F15" s="11" t="s">
        <v>216</v>
      </c>
    </row>
    <row r="16" spans="1:6" ht="15" customHeight="1">
      <c r="A16" s="290" t="s">
        <v>1089</v>
      </c>
      <c r="B16" s="11" t="s">
        <v>464</v>
      </c>
      <c r="C16" s="11" t="s">
        <v>1078</v>
      </c>
      <c r="D16" s="11" t="s">
        <v>1090</v>
      </c>
      <c r="E16" s="11" t="s">
        <v>218</v>
      </c>
      <c r="F16" s="11" t="s">
        <v>219</v>
      </c>
    </row>
    <row r="17" spans="1:6" ht="15" customHeight="1">
      <c r="A17" s="290" t="s">
        <v>1089</v>
      </c>
      <c r="B17" s="11" t="s">
        <v>469</v>
      </c>
      <c r="C17" s="11" t="s">
        <v>1079</v>
      </c>
      <c r="D17" s="11" t="s">
        <v>1090</v>
      </c>
      <c r="E17" s="11" t="s">
        <v>222</v>
      </c>
      <c r="F17" s="11" t="s">
        <v>223</v>
      </c>
    </row>
    <row r="18" spans="1:6" ht="15" customHeight="1">
      <c r="A18" s="290" t="s">
        <v>1089</v>
      </c>
      <c r="B18" s="11" t="s">
        <v>475</v>
      </c>
      <c r="C18" s="11" t="s">
        <v>1080</v>
      </c>
      <c r="D18" s="11" t="s">
        <v>1090</v>
      </c>
      <c r="E18" s="11" t="s">
        <v>226</v>
      </c>
      <c r="F18" s="11" t="s">
        <v>227</v>
      </c>
    </row>
    <row r="19" spans="1:6" ht="15" customHeight="1">
      <c r="A19" s="290" t="s">
        <v>1089</v>
      </c>
      <c r="B19" s="11" t="s">
        <v>481</v>
      </c>
      <c r="C19" s="11" t="s">
        <v>1081</v>
      </c>
      <c r="D19" s="11" t="s">
        <v>1090</v>
      </c>
      <c r="E19" s="11" t="s">
        <v>230</v>
      </c>
      <c r="F19" s="11" t="s">
        <v>231</v>
      </c>
    </row>
    <row r="20" spans="1:6" ht="15" customHeight="1">
      <c r="A20" s="290" t="s">
        <v>1089</v>
      </c>
      <c r="B20" s="11" t="s">
        <v>486</v>
      </c>
      <c r="C20" s="11" t="s">
        <v>1082</v>
      </c>
      <c r="D20" s="11" t="s">
        <v>1090</v>
      </c>
      <c r="E20" s="11" t="s">
        <v>232</v>
      </c>
      <c r="F20" s="11" t="s">
        <v>1083</v>
      </c>
    </row>
    <row r="21" spans="1:6" ht="15" customHeight="1">
      <c r="A21" s="290" t="s">
        <v>1089</v>
      </c>
      <c r="B21" s="11" t="s">
        <v>491</v>
      </c>
      <c r="C21" s="11" t="s">
        <v>1084</v>
      </c>
      <c r="D21" s="11" t="s">
        <v>1090</v>
      </c>
      <c r="E21" s="11" t="s">
        <v>235</v>
      </c>
      <c r="F21" s="11" t="s">
        <v>236</v>
      </c>
    </row>
    <row r="22" spans="1:6" ht="15" customHeight="1">
      <c r="A22" s="290" t="s">
        <v>1089</v>
      </c>
      <c r="B22" s="11" t="s">
        <v>498</v>
      </c>
      <c r="C22" s="11" t="s">
        <v>1085</v>
      </c>
      <c r="D22" s="11" t="s">
        <v>1090</v>
      </c>
      <c r="E22" s="11" t="s">
        <v>237</v>
      </c>
      <c r="F22" s="11" t="s">
        <v>238</v>
      </c>
    </row>
    <row r="23" spans="1:6" ht="15" customHeight="1">
      <c r="A23" s="290" t="s">
        <v>1089</v>
      </c>
      <c r="B23" s="11" t="s">
        <v>505</v>
      </c>
      <c r="C23" s="11" t="s">
        <v>1086</v>
      </c>
      <c r="D23" s="11" t="s">
        <v>1090</v>
      </c>
      <c r="E23" s="11" t="s">
        <v>241</v>
      </c>
      <c r="F23" s="11" t="s">
        <v>242</v>
      </c>
    </row>
    <row r="24" spans="1:6" ht="15" customHeight="1">
      <c r="A24" s="290" t="s">
        <v>1089</v>
      </c>
      <c r="B24" s="11" t="s">
        <v>510</v>
      </c>
      <c r="C24" s="11" t="s">
        <v>1087</v>
      </c>
      <c r="D24" s="11" t="s">
        <v>1090</v>
      </c>
      <c r="E24" s="11" t="s">
        <v>247</v>
      </c>
      <c r="F24" s="11" t="s">
        <v>248</v>
      </c>
    </row>
    <row r="25" spans="1:6" ht="15" customHeight="1">
      <c r="A25" s="290" t="s">
        <v>1091</v>
      </c>
      <c r="B25" s="11" t="s">
        <v>456</v>
      </c>
      <c r="C25" s="11" t="s">
        <v>1078</v>
      </c>
      <c r="D25" s="11" t="s">
        <v>1092</v>
      </c>
      <c r="E25" s="11" t="s">
        <v>218</v>
      </c>
      <c r="F25" s="11" t="s">
        <v>219</v>
      </c>
    </row>
    <row r="26" spans="1:6" ht="15" customHeight="1">
      <c r="A26" s="290" t="s">
        <v>1091</v>
      </c>
      <c r="B26" s="11" t="s">
        <v>458</v>
      </c>
      <c r="C26" s="11" t="s">
        <v>1079</v>
      </c>
      <c r="D26" s="11" t="s">
        <v>1092</v>
      </c>
      <c r="E26" s="11" t="s">
        <v>222</v>
      </c>
      <c r="F26" s="11" t="s">
        <v>223</v>
      </c>
    </row>
    <row r="27" spans="1:6" ht="15" customHeight="1">
      <c r="A27" s="290" t="s">
        <v>1091</v>
      </c>
      <c r="B27" s="11" t="s">
        <v>459</v>
      </c>
      <c r="C27" s="11" t="s">
        <v>1080</v>
      </c>
      <c r="D27" s="11" t="s">
        <v>1092</v>
      </c>
      <c r="E27" s="11" t="s">
        <v>226</v>
      </c>
      <c r="F27" s="11" t="s">
        <v>227</v>
      </c>
    </row>
    <row r="28" spans="1:6" ht="15" customHeight="1">
      <c r="A28" s="290" t="s">
        <v>1091</v>
      </c>
      <c r="B28" s="11" t="s">
        <v>464</v>
      </c>
      <c r="C28" s="11" t="s">
        <v>1081</v>
      </c>
      <c r="D28" s="11" t="s">
        <v>1092</v>
      </c>
      <c r="E28" s="11" t="s">
        <v>230</v>
      </c>
      <c r="F28" s="11" t="s">
        <v>231</v>
      </c>
    </row>
    <row r="29" spans="1:6" ht="15" customHeight="1">
      <c r="A29" s="290" t="s">
        <v>1091</v>
      </c>
      <c r="B29" s="11" t="s">
        <v>469</v>
      </c>
      <c r="C29" s="11" t="s">
        <v>1082</v>
      </c>
      <c r="D29" s="11" t="s">
        <v>1092</v>
      </c>
      <c r="E29" s="11" t="s">
        <v>232</v>
      </c>
      <c r="F29" s="11" t="s">
        <v>1083</v>
      </c>
    </row>
    <row r="30" spans="1:6" ht="15" customHeight="1">
      <c r="A30" s="290" t="s">
        <v>1091</v>
      </c>
      <c r="B30" s="11" t="s">
        <v>475</v>
      </c>
      <c r="C30" s="11" t="s">
        <v>1084</v>
      </c>
      <c r="D30" s="11" t="s">
        <v>1092</v>
      </c>
      <c r="E30" s="11" t="s">
        <v>235</v>
      </c>
      <c r="F30" s="11" t="s">
        <v>236</v>
      </c>
    </row>
    <row r="31" spans="1:6" ht="15" customHeight="1">
      <c r="A31" s="290" t="s">
        <v>1091</v>
      </c>
      <c r="B31" s="11" t="s">
        <v>481</v>
      </c>
      <c r="C31" s="11" t="s">
        <v>1085</v>
      </c>
      <c r="D31" s="11" t="s">
        <v>1092</v>
      </c>
      <c r="E31" s="11" t="s">
        <v>237</v>
      </c>
      <c r="F31" s="11" t="s">
        <v>238</v>
      </c>
    </row>
    <row r="32" spans="1:6" ht="15" customHeight="1">
      <c r="A32" s="290" t="s">
        <v>1091</v>
      </c>
      <c r="B32" s="11" t="s">
        <v>486</v>
      </c>
      <c r="C32" s="11" t="s">
        <v>1086</v>
      </c>
      <c r="D32" s="11" t="s">
        <v>1092</v>
      </c>
      <c r="E32" s="11" t="s">
        <v>241</v>
      </c>
      <c r="F32" s="11" t="s">
        <v>242</v>
      </c>
    </row>
    <row r="33" spans="1:6" ht="15" customHeight="1">
      <c r="A33" s="290" t="s">
        <v>1091</v>
      </c>
      <c r="B33" s="11" t="s">
        <v>491</v>
      </c>
      <c r="C33" s="11" t="s">
        <v>1087</v>
      </c>
      <c r="D33" s="11" t="s">
        <v>1092</v>
      </c>
      <c r="E33" s="11" t="s">
        <v>247</v>
      </c>
      <c r="F33" s="11" t="s">
        <v>248</v>
      </c>
    </row>
    <row r="34" spans="1:6" ht="15" customHeight="1">
      <c r="A34" s="290" t="s">
        <v>1091</v>
      </c>
      <c r="B34" s="11" t="s">
        <v>498</v>
      </c>
      <c r="C34" s="11" t="s">
        <v>1088</v>
      </c>
      <c r="D34" s="11" t="s">
        <v>1092</v>
      </c>
      <c r="E34" s="11" t="s">
        <v>253</v>
      </c>
      <c r="F34" s="11" t="s">
        <v>254</v>
      </c>
    </row>
    <row r="35" spans="1:6" ht="15" customHeight="1">
      <c r="A35" s="290" t="s">
        <v>1091</v>
      </c>
      <c r="B35" s="11" t="s">
        <v>505</v>
      </c>
      <c r="C35" s="11" t="s">
        <v>1075</v>
      </c>
      <c r="D35" s="11" t="s">
        <v>1092</v>
      </c>
      <c r="E35" s="11" t="s">
        <v>211</v>
      </c>
      <c r="F35" s="11" t="s">
        <v>212</v>
      </c>
    </row>
    <row r="36" spans="1:6" ht="15" customHeight="1">
      <c r="A36" s="290" t="s">
        <v>1091</v>
      </c>
      <c r="B36" s="11" t="s">
        <v>510</v>
      </c>
      <c r="C36" s="11" t="s">
        <v>1077</v>
      </c>
      <c r="D36" s="11" t="s">
        <v>1092</v>
      </c>
      <c r="E36" s="11" t="s">
        <v>215</v>
      </c>
      <c r="F36" s="11" t="s">
        <v>216</v>
      </c>
    </row>
    <row r="37" spans="1:6" ht="15" customHeight="1">
      <c r="A37" s="290" t="s">
        <v>1093</v>
      </c>
      <c r="B37" s="11" t="s">
        <v>456</v>
      </c>
      <c r="C37" s="11" t="s">
        <v>1077</v>
      </c>
      <c r="D37" s="11" t="s">
        <v>1094</v>
      </c>
      <c r="E37" s="11" t="s">
        <v>215</v>
      </c>
      <c r="F37" s="11" t="s">
        <v>216</v>
      </c>
    </row>
    <row r="38" spans="1:6" ht="15" customHeight="1">
      <c r="A38" s="290" t="s">
        <v>1095</v>
      </c>
      <c r="B38" s="11" t="s">
        <v>458</v>
      </c>
      <c r="C38" s="11" t="s">
        <v>1078</v>
      </c>
      <c r="D38" s="11" t="s">
        <v>1094</v>
      </c>
      <c r="E38" s="11" t="s">
        <v>218</v>
      </c>
      <c r="F38" s="11" t="s">
        <v>219</v>
      </c>
    </row>
    <row r="39" spans="1:6" ht="15" customHeight="1">
      <c r="A39" s="290" t="s">
        <v>1095</v>
      </c>
      <c r="B39" s="11" t="s">
        <v>459</v>
      </c>
      <c r="C39" s="11" t="s">
        <v>1079</v>
      </c>
      <c r="D39" s="11" t="s">
        <v>1094</v>
      </c>
      <c r="E39" s="11" t="s">
        <v>222</v>
      </c>
      <c r="F39" s="11" t="s">
        <v>223</v>
      </c>
    </row>
    <row r="40" spans="1:6" ht="15" customHeight="1">
      <c r="A40" s="290" t="s">
        <v>1095</v>
      </c>
      <c r="B40" s="11" t="s">
        <v>464</v>
      </c>
      <c r="C40" s="11" t="s">
        <v>1080</v>
      </c>
      <c r="D40" s="11" t="s">
        <v>1094</v>
      </c>
      <c r="E40" s="11" t="s">
        <v>226</v>
      </c>
      <c r="F40" s="11" t="s">
        <v>227</v>
      </c>
    </row>
    <row r="41" spans="1:6" ht="15" customHeight="1">
      <c r="A41" s="290" t="s">
        <v>1095</v>
      </c>
      <c r="B41" s="11" t="s">
        <v>469</v>
      </c>
      <c r="C41" s="11" t="s">
        <v>1081</v>
      </c>
      <c r="D41" s="11" t="s">
        <v>1094</v>
      </c>
      <c r="E41" s="11" t="s">
        <v>230</v>
      </c>
      <c r="F41" s="11" t="s">
        <v>231</v>
      </c>
    </row>
    <row r="42" spans="1:6" ht="15" customHeight="1">
      <c r="A42" s="290" t="s">
        <v>1095</v>
      </c>
      <c r="B42" s="11" t="s">
        <v>475</v>
      </c>
      <c r="C42" s="11" t="s">
        <v>1082</v>
      </c>
      <c r="D42" s="11" t="s">
        <v>1094</v>
      </c>
      <c r="E42" s="11" t="s">
        <v>232</v>
      </c>
      <c r="F42" s="11" t="s">
        <v>1083</v>
      </c>
    </row>
    <row r="43" spans="1:6" ht="15" customHeight="1">
      <c r="A43" s="290" t="s">
        <v>1095</v>
      </c>
      <c r="B43" s="11" t="s">
        <v>481</v>
      </c>
      <c r="C43" s="11" t="s">
        <v>1084</v>
      </c>
      <c r="D43" s="11" t="s">
        <v>1094</v>
      </c>
      <c r="E43" s="11" t="s">
        <v>235</v>
      </c>
      <c r="F43" s="11" t="s">
        <v>236</v>
      </c>
    </row>
    <row r="44" spans="1:6" ht="15" customHeight="1">
      <c r="A44" s="290" t="s">
        <v>1095</v>
      </c>
      <c r="B44" s="11" t="s">
        <v>486</v>
      </c>
      <c r="C44" s="11" t="s">
        <v>1085</v>
      </c>
      <c r="D44" s="11" t="s">
        <v>1094</v>
      </c>
      <c r="E44" s="11" t="s">
        <v>237</v>
      </c>
      <c r="F44" s="11" t="s">
        <v>238</v>
      </c>
    </row>
    <row r="45" spans="1:6" ht="15" customHeight="1">
      <c r="A45" s="290" t="s">
        <v>1095</v>
      </c>
      <c r="B45" s="11" t="s">
        <v>491</v>
      </c>
      <c r="C45" s="11" t="s">
        <v>1086</v>
      </c>
      <c r="D45" s="11" t="s">
        <v>1094</v>
      </c>
      <c r="E45" s="11" t="s">
        <v>241</v>
      </c>
      <c r="F45" s="11" t="s">
        <v>242</v>
      </c>
    </row>
    <row r="46" spans="1:6" ht="15" customHeight="1">
      <c r="A46" s="290" t="s">
        <v>1095</v>
      </c>
      <c r="B46" s="11" t="s">
        <v>498</v>
      </c>
      <c r="C46" s="11" t="s">
        <v>1087</v>
      </c>
      <c r="D46" s="11" t="s">
        <v>1094</v>
      </c>
      <c r="E46" s="11" t="s">
        <v>247</v>
      </c>
      <c r="F46" s="11" t="s">
        <v>248</v>
      </c>
    </row>
    <row r="47" spans="1:6" ht="15" customHeight="1">
      <c r="A47" s="290" t="s">
        <v>1095</v>
      </c>
      <c r="B47" s="11" t="s">
        <v>505</v>
      </c>
      <c r="C47" s="11" t="s">
        <v>1088</v>
      </c>
      <c r="D47" s="11" t="s">
        <v>1094</v>
      </c>
      <c r="E47" s="11" t="s">
        <v>253</v>
      </c>
      <c r="F47" s="11" t="s">
        <v>254</v>
      </c>
    </row>
    <row r="48" spans="1:6" ht="15" customHeight="1">
      <c r="A48" s="290" t="s">
        <v>1095</v>
      </c>
      <c r="B48" s="11" t="s">
        <v>510</v>
      </c>
      <c r="C48" s="11" t="s">
        <v>1075</v>
      </c>
      <c r="D48" s="11" t="s">
        <v>1094</v>
      </c>
      <c r="E48" s="11" t="s">
        <v>211</v>
      </c>
      <c r="F48" s="11" t="s">
        <v>212</v>
      </c>
    </row>
    <row r="49" spans="1:6" ht="15" customHeight="1">
      <c r="A49" s="290" t="s">
        <v>1096</v>
      </c>
      <c r="B49" s="11" t="s">
        <v>456</v>
      </c>
      <c r="C49" s="11" t="s">
        <v>1080</v>
      </c>
      <c r="D49" s="11" t="s">
        <v>1097</v>
      </c>
      <c r="E49" s="11" t="s">
        <v>226</v>
      </c>
      <c r="F49" s="11" t="s">
        <v>227</v>
      </c>
    </row>
    <row r="50" spans="1:6" ht="15" customHeight="1">
      <c r="A50" s="290" t="s">
        <v>1096</v>
      </c>
      <c r="B50" s="11" t="s">
        <v>458</v>
      </c>
      <c r="C50" s="11" t="s">
        <v>1081</v>
      </c>
      <c r="D50" s="11" t="s">
        <v>1097</v>
      </c>
      <c r="E50" s="11" t="s">
        <v>230</v>
      </c>
      <c r="F50" s="11" t="s">
        <v>231</v>
      </c>
    </row>
    <row r="51" spans="1:6" ht="15" customHeight="1">
      <c r="A51" s="290" t="s">
        <v>1096</v>
      </c>
      <c r="B51" s="11" t="s">
        <v>459</v>
      </c>
      <c r="C51" s="11" t="s">
        <v>1082</v>
      </c>
      <c r="D51" s="11" t="s">
        <v>1097</v>
      </c>
      <c r="E51" s="11" t="s">
        <v>232</v>
      </c>
      <c r="F51" s="11" t="s">
        <v>1083</v>
      </c>
    </row>
    <row r="52" spans="1:6" ht="15" customHeight="1">
      <c r="A52" s="290" t="s">
        <v>1096</v>
      </c>
      <c r="B52" s="11" t="s">
        <v>464</v>
      </c>
      <c r="C52" s="11" t="s">
        <v>1084</v>
      </c>
      <c r="D52" s="11" t="s">
        <v>1097</v>
      </c>
      <c r="E52" s="11" t="s">
        <v>235</v>
      </c>
      <c r="F52" s="11" t="s">
        <v>236</v>
      </c>
    </row>
    <row r="53" spans="1:6" ht="15" customHeight="1">
      <c r="A53" s="290" t="s">
        <v>1096</v>
      </c>
      <c r="B53" s="11" t="s">
        <v>469</v>
      </c>
      <c r="C53" s="11" t="s">
        <v>1085</v>
      </c>
      <c r="D53" s="11" t="s">
        <v>1097</v>
      </c>
      <c r="E53" s="11" t="s">
        <v>237</v>
      </c>
      <c r="F53" s="11" t="s">
        <v>238</v>
      </c>
    </row>
    <row r="54" spans="1:6" ht="15" customHeight="1">
      <c r="A54" s="290" t="s">
        <v>1096</v>
      </c>
      <c r="B54" s="11" t="s">
        <v>475</v>
      </c>
      <c r="C54" s="11" t="s">
        <v>1086</v>
      </c>
      <c r="D54" s="11" t="s">
        <v>1097</v>
      </c>
      <c r="E54" s="11" t="s">
        <v>241</v>
      </c>
      <c r="F54" s="11" t="s">
        <v>242</v>
      </c>
    </row>
    <row r="55" spans="1:6" ht="15" customHeight="1">
      <c r="A55" s="290" t="s">
        <v>1096</v>
      </c>
      <c r="B55" s="11" t="s">
        <v>481</v>
      </c>
      <c r="C55" s="11" t="s">
        <v>1087</v>
      </c>
      <c r="D55" s="11" t="s">
        <v>1097</v>
      </c>
      <c r="E55" s="11" t="s">
        <v>247</v>
      </c>
      <c r="F55" s="11" t="s">
        <v>248</v>
      </c>
    </row>
    <row r="56" spans="1:6" ht="15" customHeight="1">
      <c r="A56" s="290" t="s">
        <v>1096</v>
      </c>
      <c r="B56" s="11" t="s">
        <v>486</v>
      </c>
      <c r="C56" s="11" t="s">
        <v>1088</v>
      </c>
      <c r="D56" s="11" t="s">
        <v>1097</v>
      </c>
      <c r="E56" s="11" t="s">
        <v>253</v>
      </c>
      <c r="F56" s="11" t="s">
        <v>254</v>
      </c>
    </row>
    <row r="57" spans="1:6" ht="15" customHeight="1">
      <c r="A57" s="290" t="s">
        <v>1096</v>
      </c>
      <c r="B57" s="11" t="s">
        <v>491</v>
      </c>
      <c r="C57" s="11" t="s">
        <v>1075</v>
      </c>
      <c r="D57" s="11" t="s">
        <v>1097</v>
      </c>
      <c r="E57" s="11" t="s">
        <v>211</v>
      </c>
      <c r="F57" s="11" t="s">
        <v>212</v>
      </c>
    </row>
    <row r="58" spans="1:6" ht="15" customHeight="1">
      <c r="A58" s="290" t="s">
        <v>1096</v>
      </c>
      <c r="B58" s="11" t="s">
        <v>498</v>
      </c>
      <c r="C58" s="11" t="s">
        <v>1077</v>
      </c>
      <c r="D58" s="11" t="s">
        <v>1097</v>
      </c>
      <c r="E58" s="11" t="s">
        <v>215</v>
      </c>
      <c r="F58" s="11" t="s">
        <v>216</v>
      </c>
    </row>
    <row r="59" spans="1:6" ht="15" customHeight="1">
      <c r="A59" s="290" t="s">
        <v>1096</v>
      </c>
      <c r="B59" s="11" t="s">
        <v>505</v>
      </c>
      <c r="C59" s="11" t="s">
        <v>1078</v>
      </c>
      <c r="D59" s="11" t="s">
        <v>1097</v>
      </c>
      <c r="E59" s="11" t="s">
        <v>218</v>
      </c>
      <c r="F59" s="11" t="s">
        <v>219</v>
      </c>
    </row>
    <row r="60" spans="1:6" ht="15" customHeight="1">
      <c r="A60" s="290" t="s">
        <v>1096</v>
      </c>
      <c r="B60" s="11" t="s">
        <v>510</v>
      </c>
      <c r="C60" s="11" t="s">
        <v>1079</v>
      </c>
      <c r="D60" s="11" t="s">
        <v>1097</v>
      </c>
      <c r="E60" s="11" t="s">
        <v>222</v>
      </c>
      <c r="F60" s="11" t="s">
        <v>223</v>
      </c>
    </row>
    <row r="61" spans="1:6" ht="15" customHeight="1">
      <c r="A61" s="290" t="s">
        <v>1098</v>
      </c>
      <c r="B61" s="11" t="s">
        <v>456</v>
      </c>
      <c r="C61" s="11" t="s">
        <v>1079</v>
      </c>
      <c r="D61" s="11" t="s">
        <v>1099</v>
      </c>
      <c r="E61" s="11" t="s">
        <v>222</v>
      </c>
      <c r="F61" s="11" t="s">
        <v>223</v>
      </c>
    </row>
    <row r="62" spans="1:6" ht="15" customHeight="1">
      <c r="A62" s="290" t="s">
        <v>1098</v>
      </c>
      <c r="B62" s="11" t="s">
        <v>458</v>
      </c>
      <c r="C62" s="11" t="s">
        <v>1080</v>
      </c>
      <c r="D62" s="11" t="s">
        <v>1099</v>
      </c>
      <c r="E62" s="11" t="s">
        <v>226</v>
      </c>
      <c r="F62" s="11" t="s">
        <v>227</v>
      </c>
    </row>
    <row r="63" spans="1:6" ht="15" customHeight="1">
      <c r="A63" s="290" t="s">
        <v>1098</v>
      </c>
      <c r="B63" s="11" t="s">
        <v>459</v>
      </c>
      <c r="C63" s="11" t="s">
        <v>1081</v>
      </c>
      <c r="D63" s="11" t="s">
        <v>1099</v>
      </c>
      <c r="E63" s="11" t="s">
        <v>230</v>
      </c>
      <c r="F63" s="11" t="s">
        <v>231</v>
      </c>
    </row>
    <row r="64" spans="1:6" ht="15" customHeight="1">
      <c r="A64" s="290" t="s">
        <v>1098</v>
      </c>
      <c r="B64" s="11" t="s">
        <v>464</v>
      </c>
      <c r="C64" s="11" t="s">
        <v>1082</v>
      </c>
      <c r="D64" s="11" t="s">
        <v>1099</v>
      </c>
      <c r="E64" s="11" t="s">
        <v>232</v>
      </c>
      <c r="F64" s="11" t="s">
        <v>1083</v>
      </c>
    </row>
    <row r="65" spans="1:6" ht="15" customHeight="1">
      <c r="A65" s="290" t="s">
        <v>1098</v>
      </c>
      <c r="B65" s="11" t="s">
        <v>469</v>
      </c>
      <c r="C65" s="11" t="s">
        <v>1084</v>
      </c>
      <c r="D65" s="11" t="s">
        <v>1099</v>
      </c>
      <c r="E65" s="11" t="s">
        <v>235</v>
      </c>
      <c r="F65" s="11" t="s">
        <v>236</v>
      </c>
    </row>
    <row r="66" spans="1:6" ht="15" customHeight="1">
      <c r="A66" s="290" t="s">
        <v>1098</v>
      </c>
      <c r="B66" s="11" t="s">
        <v>475</v>
      </c>
      <c r="C66" s="11" t="s">
        <v>1085</v>
      </c>
      <c r="D66" s="11" t="s">
        <v>1099</v>
      </c>
      <c r="E66" s="11" t="s">
        <v>237</v>
      </c>
      <c r="F66" s="11" t="s">
        <v>238</v>
      </c>
    </row>
    <row r="67" spans="1:6" ht="15" customHeight="1">
      <c r="A67" s="290" t="s">
        <v>1098</v>
      </c>
      <c r="B67" s="11" t="s">
        <v>481</v>
      </c>
      <c r="C67" s="11" t="s">
        <v>1086</v>
      </c>
      <c r="D67" s="11" t="s">
        <v>1099</v>
      </c>
      <c r="E67" s="11" t="s">
        <v>241</v>
      </c>
      <c r="F67" s="11" t="s">
        <v>242</v>
      </c>
    </row>
    <row r="68" spans="1:6" ht="15" customHeight="1">
      <c r="A68" s="290" t="s">
        <v>1098</v>
      </c>
      <c r="B68" s="11" t="s">
        <v>486</v>
      </c>
      <c r="C68" s="11" t="s">
        <v>1087</v>
      </c>
      <c r="D68" s="11" t="s">
        <v>1099</v>
      </c>
      <c r="E68" s="11" t="s">
        <v>247</v>
      </c>
      <c r="F68" s="11" t="s">
        <v>248</v>
      </c>
    </row>
    <row r="69" spans="1:6" ht="15" customHeight="1">
      <c r="A69" s="290" t="s">
        <v>1098</v>
      </c>
      <c r="B69" s="11" t="s">
        <v>491</v>
      </c>
      <c r="C69" s="11" t="s">
        <v>1088</v>
      </c>
      <c r="D69" s="11" t="s">
        <v>1099</v>
      </c>
      <c r="E69" s="11" t="s">
        <v>253</v>
      </c>
      <c r="F69" s="11" t="s">
        <v>254</v>
      </c>
    </row>
    <row r="70" spans="1:6" ht="15" customHeight="1">
      <c r="A70" s="290" t="s">
        <v>1098</v>
      </c>
      <c r="B70" s="11" t="s">
        <v>498</v>
      </c>
      <c r="C70" s="11" t="s">
        <v>1075</v>
      </c>
      <c r="D70" s="11" t="s">
        <v>1099</v>
      </c>
      <c r="E70" s="11" t="s">
        <v>211</v>
      </c>
      <c r="F70" s="11" t="s">
        <v>212</v>
      </c>
    </row>
    <row r="71" spans="1:6" ht="15" customHeight="1">
      <c r="A71" s="290" t="s">
        <v>1098</v>
      </c>
      <c r="B71" s="11" t="s">
        <v>505</v>
      </c>
      <c r="C71" s="11" t="s">
        <v>1077</v>
      </c>
      <c r="D71" s="11" t="s">
        <v>1099</v>
      </c>
      <c r="E71" s="11" t="s">
        <v>215</v>
      </c>
      <c r="F71" s="11" t="s">
        <v>216</v>
      </c>
    </row>
    <row r="72" spans="1:6" ht="15" customHeight="1">
      <c r="A72" s="290" t="s">
        <v>1098</v>
      </c>
      <c r="B72" s="11" t="s">
        <v>510</v>
      </c>
      <c r="C72" s="11" t="s">
        <v>1078</v>
      </c>
      <c r="D72" s="11" t="s">
        <v>1099</v>
      </c>
      <c r="E72" s="11" t="s">
        <v>218</v>
      </c>
      <c r="F72" s="11" t="s">
        <v>219</v>
      </c>
    </row>
    <row r="73" spans="1:6" ht="15" customHeight="1">
      <c r="A73" s="290" t="s">
        <v>1100</v>
      </c>
      <c r="B73" s="11" t="s">
        <v>456</v>
      </c>
      <c r="C73" s="11" t="s">
        <v>1082</v>
      </c>
      <c r="D73" s="11" t="s">
        <v>1101</v>
      </c>
      <c r="E73" s="11" t="s">
        <v>232</v>
      </c>
      <c r="F73" s="11" t="s">
        <v>1083</v>
      </c>
    </row>
    <row r="74" spans="1:6" ht="15" customHeight="1">
      <c r="A74" s="290" t="s">
        <v>1100</v>
      </c>
      <c r="B74" s="11" t="s">
        <v>458</v>
      </c>
      <c r="C74" s="11" t="s">
        <v>1084</v>
      </c>
      <c r="D74" s="11" t="s">
        <v>1101</v>
      </c>
      <c r="E74" s="11" t="s">
        <v>235</v>
      </c>
      <c r="F74" s="11" t="s">
        <v>236</v>
      </c>
    </row>
    <row r="75" spans="1:6" ht="15" customHeight="1">
      <c r="A75" s="290" t="s">
        <v>1100</v>
      </c>
      <c r="B75" s="11" t="s">
        <v>459</v>
      </c>
      <c r="C75" s="11" t="s">
        <v>1085</v>
      </c>
      <c r="D75" s="11" t="s">
        <v>1101</v>
      </c>
      <c r="E75" s="11" t="s">
        <v>237</v>
      </c>
      <c r="F75" s="11" t="s">
        <v>238</v>
      </c>
    </row>
    <row r="76" spans="1:6" ht="15" customHeight="1">
      <c r="A76" s="290" t="s">
        <v>1100</v>
      </c>
      <c r="B76" s="11" t="s">
        <v>464</v>
      </c>
      <c r="C76" s="11" t="s">
        <v>1086</v>
      </c>
      <c r="D76" s="11" t="s">
        <v>1101</v>
      </c>
      <c r="E76" s="11" t="s">
        <v>241</v>
      </c>
      <c r="F76" s="11" t="s">
        <v>242</v>
      </c>
    </row>
    <row r="77" spans="1:6" ht="15" customHeight="1">
      <c r="A77" s="290" t="s">
        <v>1100</v>
      </c>
      <c r="B77" s="11" t="s">
        <v>469</v>
      </c>
      <c r="C77" s="11" t="s">
        <v>1087</v>
      </c>
      <c r="D77" s="11" t="s">
        <v>1101</v>
      </c>
      <c r="E77" s="11" t="s">
        <v>247</v>
      </c>
      <c r="F77" s="11" t="s">
        <v>248</v>
      </c>
    </row>
    <row r="78" spans="1:6" ht="15" customHeight="1">
      <c r="A78" s="290" t="s">
        <v>1100</v>
      </c>
      <c r="B78" s="11" t="s">
        <v>475</v>
      </c>
      <c r="C78" s="11" t="s">
        <v>1088</v>
      </c>
      <c r="D78" s="11" t="s">
        <v>1101</v>
      </c>
      <c r="E78" s="11" t="s">
        <v>253</v>
      </c>
      <c r="F78" s="11" t="s">
        <v>254</v>
      </c>
    </row>
    <row r="79" spans="1:6" ht="15" customHeight="1">
      <c r="A79" s="290" t="s">
        <v>1100</v>
      </c>
      <c r="B79" s="11" t="s">
        <v>481</v>
      </c>
      <c r="C79" s="11" t="s">
        <v>1075</v>
      </c>
      <c r="D79" s="11" t="s">
        <v>1101</v>
      </c>
      <c r="E79" s="11" t="s">
        <v>211</v>
      </c>
      <c r="F79" s="11" t="s">
        <v>212</v>
      </c>
    </row>
    <row r="80" spans="1:6" ht="15" customHeight="1">
      <c r="A80" s="290" t="s">
        <v>1100</v>
      </c>
      <c r="B80" s="11" t="s">
        <v>486</v>
      </c>
      <c r="C80" s="11" t="s">
        <v>1077</v>
      </c>
      <c r="D80" s="11" t="s">
        <v>1101</v>
      </c>
      <c r="E80" s="11" t="s">
        <v>215</v>
      </c>
      <c r="F80" s="11" t="s">
        <v>216</v>
      </c>
    </row>
    <row r="81" spans="1:6" ht="15" customHeight="1">
      <c r="A81" s="290" t="s">
        <v>1100</v>
      </c>
      <c r="B81" s="11" t="s">
        <v>491</v>
      </c>
      <c r="C81" s="11" t="s">
        <v>1078</v>
      </c>
      <c r="D81" s="11" t="s">
        <v>1101</v>
      </c>
      <c r="E81" s="11" t="s">
        <v>218</v>
      </c>
      <c r="F81" s="11" t="s">
        <v>219</v>
      </c>
    </row>
    <row r="82" spans="1:6" ht="15" customHeight="1">
      <c r="A82" s="290" t="s">
        <v>1100</v>
      </c>
      <c r="B82" s="11" t="s">
        <v>498</v>
      </c>
      <c r="C82" s="11" t="s">
        <v>1079</v>
      </c>
      <c r="D82" s="11" t="s">
        <v>1101</v>
      </c>
      <c r="E82" s="11" t="s">
        <v>222</v>
      </c>
      <c r="F82" s="11" t="s">
        <v>223</v>
      </c>
    </row>
    <row r="83" spans="1:6" ht="15" customHeight="1">
      <c r="A83" s="290" t="s">
        <v>1100</v>
      </c>
      <c r="B83" s="11" t="s">
        <v>505</v>
      </c>
      <c r="C83" s="11" t="s">
        <v>1080</v>
      </c>
      <c r="D83" s="11" t="s">
        <v>1101</v>
      </c>
      <c r="E83" s="11" t="s">
        <v>226</v>
      </c>
      <c r="F83" s="11" t="s">
        <v>227</v>
      </c>
    </row>
    <row r="84" spans="1:6" ht="15" customHeight="1">
      <c r="A84" s="290" t="s">
        <v>1100</v>
      </c>
      <c r="B84" s="11" t="s">
        <v>510</v>
      </c>
      <c r="C84" s="11" t="s">
        <v>1081</v>
      </c>
      <c r="D84" s="11" t="s">
        <v>1101</v>
      </c>
      <c r="E84" s="11" t="s">
        <v>230</v>
      </c>
      <c r="F84" s="11" t="s">
        <v>231</v>
      </c>
    </row>
    <row r="85" spans="1:6" ht="15" customHeight="1">
      <c r="A85" s="290" t="s">
        <v>1102</v>
      </c>
      <c r="B85" s="11" t="s">
        <v>456</v>
      </c>
      <c r="C85" s="11" t="s">
        <v>1081</v>
      </c>
      <c r="D85" s="11" t="s">
        <v>1103</v>
      </c>
      <c r="E85" s="11" t="s">
        <v>230</v>
      </c>
      <c r="F85" s="11" t="s">
        <v>231</v>
      </c>
    </row>
    <row r="86" spans="1:6" ht="15" customHeight="1">
      <c r="A86" s="290" t="s">
        <v>1102</v>
      </c>
      <c r="B86" s="11" t="s">
        <v>458</v>
      </c>
      <c r="C86" s="11" t="s">
        <v>1082</v>
      </c>
      <c r="D86" s="11" t="s">
        <v>1103</v>
      </c>
      <c r="E86" s="11" t="s">
        <v>232</v>
      </c>
      <c r="F86" s="11" t="s">
        <v>1083</v>
      </c>
    </row>
    <row r="87" spans="1:6" ht="15" customHeight="1">
      <c r="A87" s="290" t="s">
        <v>1102</v>
      </c>
      <c r="B87" s="11" t="s">
        <v>459</v>
      </c>
      <c r="C87" s="11" t="s">
        <v>1084</v>
      </c>
      <c r="D87" s="11" t="s">
        <v>1103</v>
      </c>
      <c r="E87" s="11" t="s">
        <v>235</v>
      </c>
      <c r="F87" s="11" t="s">
        <v>236</v>
      </c>
    </row>
    <row r="88" spans="1:6" ht="15" customHeight="1">
      <c r="A88" s="290" t="s">
        <v>1102</v>
      </c>
      <c r="B88" s="11" t="s">
        <v>464</v>
      </c>
      <c r="C88" s="11" t="s">
        <v>1085</v>
      </c>
      <c r="D88" s="11" t="s">
        <v>1103</v>
      </c>
      <c r="E88" s="11" t="s">
        <v>237</v>
      </c>
      <c r="F88" s="11" t="s">
        <v>238</v>
      </c>
    </row>
    <row r="89" spans="1:6" ht="15" customHeight="1">
      <c r="A89" s="290" t="s">
        <v>1102</v>
      </c>
      <c r="B89" s="11" t="s">
        <v>469</v>
      </c>
      <c r="C89" s="11" t="s">
        <v>1086</v>
      </c>
      <c r="D89" s="11" t="s">
        <v>1103</v>
      </c>
      <c r="E89" s="11" t="s">
        <v>241</v>
      </c>
      <c r="F89" s="11" t="s">
        <v>242</v>
      </c>
    </row>
    <row r="90" spans="1:6" ht="15" customHeight="1">
      <c r="A90" s="290" t="s">
        <v>1102</v>
      </c>
      <c r="B90" s="11" t="s">
        <v>475</v>
      </c>
      <c r="C90" s="11" t="s">
        <v>1087</v>
      </c>
      <c r="D90" s="11" t="s">
        <v>1103</v>
      </c>
      <c r="E90" s="11" t="s">
        <v>247</v>
      </c>
      <c r="F90" s="11" t="s">
        <v>248</v>
      </c>
    </row>
    <row r="91" spans="1:6" ht="15" customHeight="1">
      <c r="A91" s="290" t="s">
        <v>1102</v>
      </c>
      <c r="B91" s="11" t="s">
        <v>481</v>
      </c>
      <c r="C91" s="11" t="s">
        <v>1088</v>
      </c>
      <c r="D91" s="11" t="s">
        <v>1103</v>
      </c>
      <c r="E91" s="11" t="s">
        <v>253</v>
      </c>
      <c r="F91" s="11" t="s">
        <v>254</v>
      </c>
    </row>
    <row r="92" spans="1:6" ht="15" customHeight="1">
      <c r="A92" s="290" t="s">
        <v>1102</v>
      </c>
      <c r="B92" s="11" t="s">
        <v>486</v>
      </c>
      <c r="C92" s="11" t="s">
        <v>1075</v>
      </c>
      <c r="D92" s="11" t="s">
        <v>1103</v>
      </c>
      <c r="E92" s="11" t="s">
        <v>211</v>
      </c>
      <c r="F92" s="11" t="s">
        <v>212</v>
      </c>
    </row>
    <row r="93" spans="1:6" ht="15" customHeight="1">
      <c r="A93" s="290" t="s">
        <v>1102</v>
      </c>
      <c r="B93" s="11" t="s">
        <v>491</v>
      </c>
      <c r="C93" s="11" t="s">
        <v>1077</v>
      </c>
      <c r="D93" s="11" t="s">
        <v>1103</v>
      </c>
      <c r="E93" s="11" t="s">
        <v>215</v>
      </c>
      <c r="F93" s="11" t="s">
        <v>216</v>
      </c>
    </row>
    <row r="94" spans="1:6" ht="15" customHeight="1">
      <c r="A94" s="290" t="s">
        <v>1102</v>
      </c>
      <c r="B94" s="11" t="s">
        <v>498</v>
      </c>
      <c r="C94" s="11" t="s">
        <v>1078</v>
      </c>
      <c r="D94" s="11" t="s">
        <v>1103</v>
      </c>
      <c r="E94" s="11" t="s">
        <v>218</v>
      </c>
      <c r="F94" s="11" t="s">
        <v>219</v>
      </c>
    </row>
    <row r="95" spans="1:6" ht="15" customHeight="1">
      <c r="A95" s="290" t="s">
        <v>1102</v>
      </c>
      <c r="B95" s="11" t="s">
        <v>505</v>
      </c>
      <c r="C95" s="11" t="s">
        <v>1079</v>
      </c>
      <c r="D95" s="11" t="s">
        <v>1103</v>
      </c>
      <c r="E95" s="11" t="s">
        <v>222</v>
      </c>
      <c r="F95" s="11" t="s">
        <v>223</v>
      </c>
    </row>
    <row r="96" spans="1:6" ht="15" customHeight="1">
      <c r="A96" s="290" t="s">
        <v>1102</v>
      </c>
      <c r="B96" s="11" t="s">
        <v>510</v>
      </c>
      <c r="C96" s="11" t="s">
        <v>1080</v>
      </c>
      <c r="D96" s="11" t="s">
        <v>1103</v>
      </c>
      <c r="E96" s="11" t="s">
        <v>226</v>
      </c>
      <c r="F96" s="11" t="s">
        <v>227</v>
      </c>
    </row>
    <row r="97" spans="1:6" ht="15" customHeight="1">
      <c r="A97" s="290" t="s">
        <v>1104</v>
      </c>
      <c r="B97" s="11" t="s">
        <v>456</v>
      </c>
      <c r="C97" s="11" t="s">
        <v>1085</v>
      </c>
      <c r="D97" s="11" t="s">
        <v>1105</v>
      </c>
      <c r="E97" s="11" t="s">
        <v>237</v>
      </c>
      <c r="F97" s="11" t="s">
        <v>238</v>
      </c>
    </row>
    <row r="98" spans="1:6" ht="15" customHeight="1">
      <c r="A98" s="290" t="s">
        <v>1104</v>
      </c>
      <c r="B98" s="11" t="s">
        <v>458</v>
      </c>
      <c r="C98" s="11" t="s">
        <v>1086</v>
      </c>
      <c r="D98" s="11" t="s">
        <v>1105</v>
      </c>
      <c r="E98" s="11" t="s">
        <v>241</v>
      </c>
      <c r="F98" s="11" t="s">
        <v>242</v>
      </c>
    </row>
    <row r="99" spans="1:6" ht="15" customHeight="1">
      <c r="A99" s="290" t="s">
        <v>1104</v>
      </c>
      <c r="B99" s="11" t="s">
        <v>459</v>
      </c>
      <c r="C99" s="11" t="s">
        <v>1087</v>
      </c>
      <c r="D99" s="11" t="s">
        <v>1105</v>
      </c>
      <c r="E99" s="11" t="s">
        <v>247</v>
      </c>
      <c r="F99" s="11" t="s">
        <v>248</v>
      </c>
    </row>
    <row r="100" spans="1:6" ht="15" customHeight="1">
      <c r="A100" s="290" t="s">
        <v>1104</v>
      </c>
      <c r="B100" s="11" t="s">
        <v>464</v>
      </c>
      <c r="C100" s="11" t="s">
        <v>1088</v>
      </c>
      <c r="D100" s="11" t="s">
        <v>1105</v>
      </c>
      <c r="E100" s="11" t="s">
        <v>253</v>
      </c>
      <c r="F100" s="11" t="s">
        <v>254</v>
      </c>
    </row>
    <row r="101" spans="1:6" ht="15" customHeight="1">
      <c r="A101" s="290" t="s">
        <v>1104</v>
      </c>
      <c r="B101" s="11" t="s">
        <v>469</v>
      </c>
      <c r="C101" s="11" t="s">
        <v>1075</v>
      </c>
      <c r="D101" s="11" t="s">
        <v>1105</v>
      </c>
      <c r="E101" s="11" t="s">
        <v>211</v>
      </c>
      <c r="F101" s="11" t="s">
        <v>212</v>
      </c>
    </row>
    <row r="102" spans="1:6" ht="15" customHeight="1">
      <c r="A102" s="290" t="s">
        <v>1104</v>
      </c>
      <c r="B102" s="11" t="s">
        <v>475</v>
      </c>
      <c r="C102" s="11" t="s">
        <v>1077</v>
      </c>
      <c r="D102" s="11" t="s">
        <v>1105</v>
      </c>
      <c r="E102" s="11" t="s">
        <v>215</v>
      </c>
      <c r="F102" s="11" t="s">
        <v>216</v>
      </c>
    </row>
    <row r="103" spans="1:6" ht="15" customHeight="1">
      <c r="A103" s="290" t="s">
        <v>1104</v>
      </c>
      <c r="B103" s="11" t="s">
        <v>481</v>
      </c>
      <c r="C103" s="11" t="s">
        <v>1078</v>
      </c>
      <c r="D103" s="11" t="s">
        <v>1105</v>
      </c>
      <c r="E103" s="11" t="s">
        <v>218</v>
      </c>
      <c r="F103" s="11" t="s">
        <v>219</v>
      </c>
    </row>
    <row r="104" spans="1:6" ht="15" customHeight="1">
      <c r="A104" s="290" t="s">
        <v>1104</v>
      </c>
      <c r="B104" s="11" t="s">
        <v>486</v>
      </c>
      <c r="C104" s="11" t="s">
        <v>1079</v>
      </c>
      <c r="D104" s="11" t="s">
        <v>1105</v>
      </c>
      <c r="E104" s="11" t="s">
        <v>222</v>
      </c>
      <c r="F104" s="11" t="s">
        <v>223</v>
      </c>
    </row>
    <row r="105" spans="1:6" ht="15" customHeight="1">
      <c r="A105" s="290" t="s">
        <v>1104</v>
      </c>
      <c r="B105" s="11" t="s">
        <v>491</v>
      </c>
      <c r="C105" s="11" t="s">
        <v>1080</v>
      </c>
      <c r="D105" s="11" t="s">
        <v>1105</v>
      </c>
      <c r="E105" s="11" t="s">
        <v>226</v>
      </c>
      <c r="F105" s="11" t="s">
        <v>227</v>
      </c>
    </row>
    <row r="106" spans="1:6" ht="15" customHeight="1">
      <c r="A106" s="290" t="s">
        <v>1104</v>
      </c>
      <c r="B106" s="11" t="s">
        <v>498</v>
      </c>
      <c r="C106" s="11" t="s">
        <v>1081</v>
      </c>
      <c r="D106" s="11" t="s">
        <v>1105</v>
      </c>
      <c r="E106" s="11" t="s">
        <v>230</v>
      </c>
      <c r="F106" s="11" t="s">
        <v>231</v>
      </c>
    </row>
    <row r="107" spans="1:6" ht="15" customHeight="1">
      <c r="A107" s="290" t="s">
        <v>1104</v>
      </c>
      <c r="B107" s="11" t="s">
        <v>505</v>
      </c>
      <c r="C107" s="11" t="s">
        <v>1082</v>
      </c>
      <c r="D107" s="11" t="s">
        <v>1105</v>
      </c>
      <c r="E107" s="11" t="s">
        <v>232</v>
      </c>
      <c r="F107" s="11" t="s">
        <v>1083</v>
      </c>
    </row>
    <row r="108" spans="1:6" ht="15" customHeight="1">
      <c r="A108" s="290" t="s">
        <v>1104</v>
      </c>
      <c r="B108" s="11" t="s">
        <v>510</v>
      </c>
      <c r="C108" s="11" t="s">
        <v>1084</v>
      </c>
      <c r="D108" s="11" t="s">
        <v>1105</v>
      </c>
      <c r="E108" s="11" t="s">
        <v>235</v>
      </c>
      <c r="F108" s="11" t="s">
        <v>236</v>
      </c>
    </row>
    <row r="109" spans="1:6" ht="15" customHeight="1">
      <c r="A109" s="290" t="s">
        <v>1106</v>
      </c>
      <c r="B109" s="11" t="s">
        <v>456</v>
      </c>
      <c r="C109" s="11" t="s">
        <v>1084</v>
      </c>
      <c r="D109" s="11" t="s">
        <v>1107</v>
      </c>
      <c r="E109" s="11" t="s">
        <v>235</v>
      </c>
      <c r="F109" s="11" t="s">
        <v>236</v>
      </c>
    </row>
    <row r="110" spans="1:6" ht="15" customHeight="1">
      <c r="A110" s="290" t="s">
        <v>1106</v>
      </c>
      <c r="B110" s="11" t="s">
        <v>458</v>
      </c>
      <c r="C110" s="11" t="s">
        <v>1085</v>
      </c>
      <c r="D110" s="11" t="s">
        <v>1107</v>
      </c>
      <c r="E110" s="11" t="s">
        <v>237</v>
      </c>
      <c r="F110" s="11" t="s">
        <v>238</v>
      </c>
    </row>
    <row r="111" spans="1:6" ht="15" customHeight="1">
      <c r="A111" s="290" t="s">
        <v>1106</v>
      </c>
      <c r="B111" s="11" t="s">
        <v>459</v>
      </c>
      <c r="C111" s="11" t="s">
        <v>1086</v>
      </c>
      <c r="D111" s="11" t="s">
        <v>1107</v>
      </c>
      <c r="E111" s="11" t="s">
        <v>241</v>
      </c>
      <c r="F111" s="11" t="s">
        <v>242</v>
      </c>
    </row>
    <row r="112" spans="1:6" ht="15" customHeight="1">
      <c r="A112" s="290" t="s">
        <v>1106</v>
      </c>
      <c r="B112" s="11" t="s">
        <v>464</v>
      </c>
      <c r="C112" s="11" t="s">
        <v>1087</v>
      </c>
      <c r="D112" s="11" t="s">
        <v>1107</v>
      </c>
      <c r="E112" s="11" t="s">
        <v>247</v>
      </c>
      <c r="F112" s="11" t="s">
        <v>248</v>
      </c>
    </row>
    <row r="113" spans="1:6" ht="15" customHeight="1">
      <c r="A113" s="290" t="s">
        <v>1106</v>
      </c>
      <c r="B113" s="11" t="s">
        <v>469</v>
      </c>
      <c r="C113" s="11" t="s">
        <v>1088</v>
      </c>
      <c r="D113" s="11" t="s">
        <v>1107</v>
      </c>
      <c r="E113" s="11" t="s">
        <v>253</v>
      </c>
      <c r="F113" s="11" t="s">
        <v>254</v>
      </c>
    </row>
    <row r="114" spans="1:6" ht="15" customHeight="1">
      <c r="A114" s="290" t="s">
        <v>1106</v>
      </c>
      <c r="B114" s="11" t="s">
        <v>475</v>
      </c>
      <c r="C114" s="11" t="s">
        <v>1075</v>
      </c>
      <c r="D114" s="11" t="s">
        <v>1107</v>
      </c>
      <c r="E114" s="11" t="s">
        <v>211</v>
      </c>
      <c r="F114" s="11" t="s">
        <v>212</v>
      </c>
    </row>
    <row r="115" spans="1:6" ht="15" customHeight="1">
      <c r="A115" s="290" t="s">
        <v>1106</v>
      </c>
      <c r="B115" s="11" t="s">
        <v>481</v>
      </c>
      <c r="C115" s="11" t="s">
        <v>1077</v>
      </c>
      <c r="D115" s="11" t="s">
        <v>1107</v>
      </c>
      <c r="E115" s="11" t="s">
        <v>215</v>
      </c>
      <c r="F115" s="11" t="s">
        <v>216</v>
      </c>
    </row>
    <row r="116" spans="1:6" ht="15" customHeight="1">
      <c r="A116" s="290" t="s">
        <v>1106</v>
      </c>
      <c r="B116" s="11" t="s">
        <v>486</v>
      </c>
      <c r="C116" s="11" t="s">
        <v>1078</v>
      </c>
      <c r="D116" s="11" t="s">
        <v>1107</v>
      </c>
      <c r="E116" s="11" t="s">
        <v>218</v>
      </c>
      <c r="F116" s="11" t="s">
        <v>219</v>
      </c>
    </row>
    <row r="117" spans="1:6" ht="15" customHeight="1">
      <c r="A117" s="290" t="s">
        <v>1106</v>
      </c>
      <c r="B117" s="11" t="s">
        <v>491</v>
      </c>
      <c r="C117" s="11" t="s">
        <v>1079</v>
      </c>
      <c r="D117" s="11" t="s">
        <v>1107</v>
      </c>
      <c r="E117" s="11" t="s">
        <v>222</v>
      </c>
      <c r="F117" s="11" t="s">
        <v>223</v>
      </c>
    </row>
    <row r="118" spans="1:6" ht="15" customHeight="1">
      <c r="A118" s="290" t="s">
        <v>1106</v>
      </c>
      <c r="B118" s="11" t="s">
        <v>498</v>
      </c>
      <c r="C118" s="11" t="s">
        <v>1080</v>
      </c>
      <c r="D118" s="11" t="s">
        <v>1107</v>
      </c>
      <c r="E118" s="11" t="s">
        <v>226</v>
      </c>
      <c r="F118" s="11" t="s">
        <v>227</v>
      </c>
    </row>
    <row r="119" spans="1:6" ht="15" customHeight="1">
      <c r="A119" s="290" t="s">
        <v>1106</v>
      </c>
      <c r="B119" s="11" t="s">
        <v>505</v>
      </c>
      <c r="C119" s="11" t="s">
        <v>1081</v>
      </c>
      <c r="D119" s="11" t="s">
        <v>1107</v>
      </c>
      <c r="E119" s="11" t="s">
        <v>230</v>
      </c>
      <c r="F119" s="11" t="s">
        <v>231</v>
      </c>
    </row>
    <row r="120" spans="1:6" ht="15" customHeight="1">
      <c r="A120" s="290" t="s">
        <v>1106</v>
      </c>
      <c r="B120" s="11" t="s">
        <v>510</v>
      </c>
      <c r="C120" s="11" t="s">
        <v>1082</v>
      </c>
      <c r="D120" s="11" t="s">
        <v>1107</v>
      </c>
      <c r="E120" s="11" t="s">
        <v>232</v>
      </c>
      <c r="F120" s="11" t="s">
        <v>1083</v>
      </c>
    </row>
    <row r="121" spans="1:6" ht="15" customHeight="1">
      <c r="A121" s="290" t="s">
        <v>1108</v>
      </c>
      <c r="B121" s="11" t="s">
        <v>456</v>
      </c>
      <c r="C121" s="11" t="s">
        <v>1087</v>
      </c>
      <c r="D121" s="11" t="s">
        <v>1109</v>
      </c>
      <c r="E121" s="11" t="s">
        <v>247</v>
      </c>
      <c r="F121" s="11" t="s">
        <v>248</v>
      </c>
    </row>
    <row r="122" spans="1:6" ht="15" customHeight="1">
      <c r="A122" s="290" t="s">
        <v>1108</v>
      </c>
      <c r="B122" s="11" t="s">
        <v>458</v>
      </c>
      <c r="C122" s="11" t="s">
        <v>1088</v>
      </c>
      <c r="D122" s="11" t="s">
        <v>1109</v>
      </c>
      <c r="E122" s="11" t="s">
        <v>253</v>
      </c>
      <c r="F122" s="11" t="s">
        <v>254</v>
      </c>
    </row>
    <row r="123" spans="1:6" ht="15" customHeight="1">
      <c r="A123" s="290" t="s">
        <v>1108</v>
      </c>
      <c r="B123" s="11" t="s">
        <v>459</v>
      </c>
      <c r="C123" s="11" t="s">
        <v>1075</v>
      </c>
      <c r="D123" s="11" t="s">
        <v>1109</v>
      </c>
      <c r="E123" s="11" t="s">
        <v>211</v>
      </c>
      <c r="F123" s="11" t="s">
        <v>212</v>
      </c>
    </row>
    <row r="124" spans="1:6" ht="15" customHeight="1">
      <c r="A124" s="290" t="s">
        <v>1108</v>
      </c>
      <c r="B124" s="11" t="s">
        <v>464</v>
      </c>
      <c r="C124" s="11" t="s">
        <v>1077</v>
      </c>
      <c r="D124" s="11" t="s">
        <v>1109</v>
      </c>
      <c r="E124" s="11" t="s">
        <v>215</v>
      </c>
      <c r="F124" s="11" t="s">
        <v>216</v>
      </c>
    </row>
    <row r="125" spans="1:6" ht="15" customHeight="1">
      <c r="A125" s="290" t="s">
        <v>1108</v>
      </c>
      <c r="B125" s="11" t="s">
        <v>469</v>
      </c>
      <c r="C125" s="11" t="s">
        <v>1078</v>
      </c>
      <c r="D125" s="11" t="s">
        <v>1109</v>
      </c>
      <c r="E125" s="11" t="s">
        <v>218</v>
      </c>
      <c r="F125" s="11" t="s">
        <v>219</v>
      </c>
    </row>
    <row r="126" spans="1:6" ht="15" customHeight="1">
      <c r="A126" s="290" t="s">
        <v>1108</v>
      </c>
      <c r="B126" s="11" t="s">
        <v>475</v>
      </c>
      <c r="C126" s="11" t="s">
        <v>1079</v>
      </c>
      <c r="D126" s="11" t="s">
        <v>1109</v>
      </c>
      <c r="E126" s="11" t="s">
        <v>222</v>
      </c>
      <c r="F126" s="11" t="s">
        <v>223</v>
      </c>
    </row>
    <row r="127" spans="1:6" ht="15" customHeight="1">
      <c r="A127" s="290" t="s">
        <v>1108</v>
      </c>
      <c r="B127" s="11" t="s">
        <v>481</v>
      </c>
      <c r="C127" s="11" t="s">
        <v>1080</v>
      </c>
      <c r="D127" s="11" t="s">
        <v>1109</v>
      </c>
      <c r="E127" s="11" t="s">
        <v>226</v>
      </c>
      <c r="F127" s="11" t="s">
        <v>227</v>
      </c>
    </row>
    <row r="128" spans="1:6" ht="15" customHeight="1">
      <c r="A128" s="290" t="s">
        <v>1108</v>
      </c>
      <c r="B128" s="11" t="s">
        <v>486</v>
      </c>
      <c r="C128" s="11" t="s">
        <v>1081</v>
      </c>
      <c r="D128" s="11" t="s">
        <v>1109</v>
      </c>
      <c r="E128" s="11" t="s">
        <v>230</v>
      </c>
      <c r="F128" s="11" t="s">
        <v>231</v>
      </c>
    </row>
    <row r="129" spans="1:6" ht="15" customHeight="1">
      <c r="A129" s="290" t="s">
        <v>1108</v>
      </c>
      <c r="B129" s="11" t="s">
        <v>491</v>
      </c>
      <c r="C129" s="11" t="s">
        <v>1082</v>
      </c>
      <c r="D129" s="11" t="s">
        <v>1109</v>
      </c>
      <c r="E129" s="11" t="s">
        <v>232</v>
      </c>
      <c r="F129" s="11" t="s">
        <v>1083</v>
      </c>
    </row>
    <row r="130" spans="1:6" ht="15" customHeight="1">
      <c r="A130" s="290" t="s">
        <v>1108</v>
      </c>
      <c r="B130" s="11" t="s">
        <v>498</v>
      </c>
      <c r="C130" s="11" t="s">
        <v>1084</v>
      </c>
      <c r="D130" s="11" t="s">
        <v>1109</v>
      </c>
      <c r="E130" s="11" t="s">
        <v>235</v>
      </c>
      <c r="F130" s="11" t="s">
        <v>236</v>
      </c>
    </row>
    <row r="131" spans="1:6" ht="15" customHeight="1">
      <c r="A131" s="290" t="s">
        <v>1108</v>
      </c>
      <c r="B131" s="11" t="s">
        <v>505</v>
      </c>
      <c r="C131" s="11" t="s">
        <v>1085</v>
      </c>
      <c r="D131" s="11" t="s">
        <v>1109</v>
      </c>
      <c r="E131" s="11" t="s">
        <v>237</v>
      </c>
      <c r="F131" s="11" t="s">
        <v>238</v>
      </c>
    </row>
    <row r="132" spans="1:6" ht="15" customHeight="1">
      <c r="A132" s="290" t="s">
        <v>1108</v>
      </c>
      <c r="B132" s="11" t="s">
        <v>510</v>
      </c>
      <c r="C132" s="11" t="s">
        <v>1086</v>
      </c>
      <c r="D132" s="11" t="s">
        <v>1109</v>
      </c>
      <c r="E132" s="11" t="s">
        <v>241</v>
      </c>
      <c r="F132" s="11" t="s">
        <v>242</v>
      </c>
    </row>
    <row r="133" spans="1:6" ht="15" customHeight="1">
      <c r="A133" s="290" t="s">
        <v>1110</v>
      </c>
      <c r="B133" s="11" t="s">
        <v>456</v>
      </c>
      <c r="C133" s="11" t="s">
        <v>1086</v>
      </c>
      <c r="D133" s="11" t="s">
        <v>1111</v>
      </c>
      <c r="E133" s="11" t="s">
        <v>241</v>
      </c>
      <c r="F133" s="11" t="s">
        <v>242</v>
      </c>
    </row>
    <row r="134" spans="1:6" ht="15" customHeight="1">
      <c r="A134" s="290" t="s">
        <v>1110</v>
      </c>
      <c r="B134" s="11" t="s">
        <v>458</v>
      </c>
      <c r="C134" s="11" t="s">
        <v>1087</v>
      </c>
      <c r="D134" s="11" t="s">
        <v>1111</v>
      </c>
      <c r="E134" s="11" t="s">
        <v>247</v>
      </c>
      <c r="F134" s="11" t="s">
        <v>248</v>
      </c>
    </row>
    <row r="135" spans="1:6" ht="15" customHeight="1">
      <c r="A135" s="290" t="s">
        <v>1110</v>
      </c>
      <c r="B135" s="11" t="s">
        <v>459</v>
      </c>
      <c r="C135" s="11" t="s">
        <v>1088</v>
      </c>
      <c r="D135" s="11" t="s">
        <v>1111</v>
      </c>
      <c r="E135" s="11" t="s">
        <v>253</v>
      </c>
      <c r="F135" s="11" t="s">
        <v>254</v>
      </c>
    </row>
    <row r="136" spans="1:6" ht="15" customHeight="1">
      <c r="A136" s="290" t="s">
        <v>1110</v>
      </c>
      <c r="B136" s="11" t="s">
        <v>464</v>
      </c>
      <c r="C136" s="11" t="s">
        <v>1075</v>
      </c>
      <c r="D136" s="11" t="s">
        <v>1111</v>
      </c>
      <c r="E136" s="11" t="s">
        <v>211</v>
      </c>
      <c r="F136" s="11" t="s">
        <v>212</v>
      </c>
    </row>
    <row r="137" spans="1:6" ht="15" customHeight="1">
      <c r="A137" s="290" t="s">
        <v>1110</v>
      </c>
      <c r="B137" s="11" t="s">
        <v>469</v>
      </c>
      <c r="C137" s="11" t="s">
        <v>1077</v>
      </c>
      <c r="D137" s="11" t="s">
        <v>1111</v>
      </c>
      <c r="E137" s="11" t="s">
        <v>215</v>
      </c>
      <c r="F137" s="11" t="s">
        <v>216</v>
      </c>
    </row>
    <row r="138" spans="1:6" ht="15" customHeight="1">
      <c r="A138" s="290" t="s">
        <v>1110</v>
      </c>
      <c r="B138" s="11" t="s">
        <v>475</v>
      </c>
      <c r="C138" s="11" t="s">
        <v>1078</v>
      </c>
      <c r="D138" s="11" t="s">
        <v>1111</v>
      </c>
      <c r="E138" s="11" t="s">
        <v>218</v>
      </c>
      <c r="F138" s="11" t="s">
        <v>219</v>
      </c>
    </row>
    <row r="139" spans="1:6" ht="15" customHeight="1">
      <c r="A139" s="290" t="s">
        <v>1110</v>
      </c>
      <c r="B139" s="11" t="s">
        <v>481</v>
      </c>
      <c r="C139" s="11" t="s">
        <v>1079</v>
      </c>
      <c r="D139" s="11" t="s">
        <v>1111</v>
      </c>
      <c r="E139" s="11" t="s">
        <v>222</v>
      </c>
      <c r="F139" s="11" t="s">
        <v>223</v>
      </c>
    </row>
    <row r="140" spans="1:6" ht="15" customHeight="1">
      <c r="A140" s="290" t="s">
        <v>1110</v>
      </c>
      <c r="B140" s="11" t="s">
        <v>486</v>
      </c>
      <c r="C140" s="11" t="s">
        <v>1080</v>
      </c>
      <c r="D140" s="11" t="s">
        <v>1111</v>
      </c>
      <c r="E140" s="11" t="s">
        <v>226</v>
      </c>
      <c r="F140" s="11" t="s">
        <v>227</v>
      </c>
    </row>
    <row r="141" spans="1:6" ht="15" customHeight="1">
      <c r="A141" s="290" t="s">
        <v>1110</v>
      </c>
      <c r="B141" s="11" t="s">
        <v>491</v>
      </c>
      <c r="C141" s="11" t="s">
        <v>1081</v>
      </c>
      <c r="D141" s="11" t="s">
        <v>1111</v>
      </c>
      <c r="E141" s="11" t="s">
        <v>230</v>
      </c>
      <c r="F141" s="11" t="s">
        <v>231</v>
      </c>
    </row>
    <row r="142" spans="1:6" ht="15" customHeight="1">
      <c r="A142" s="290" t="s">
        <v>1110</v>
      </c>
      <c r="B142" s="11" t="s">
        <v>498</v>
      </c>
      <c r="C142" s="11" t="s">
        <v>1082</v>
      </c>
      <c r="D142" s="11" t="s">
        <v>1111</v>
      </c>
      <c r="E142" s="11" t="s">
        <v>232</v>
      </c>
      <c r="F142" s="11" t="s">
        <v>1083</v>
      </c>
    </row>
    <row r="143" spans="1:6" ht="15" customHeight="1">
      <c r="A143" s="290" t="s">
        <v>1110</v>
      </c>
      <c r="B143" s="11" t="s">
        <v>505</v>
      </c>
      <c r="C143" s="11" t="s">
        <v>1084</v>
      </c>
      <c r="D143" s="11" t="s">
        <v>1111</v>
      </c>
      <c r="E143" s="11" t="s">
        <v>235</v>
      </c>
      <c r="F143" s="11" t="s">
        <v>236</v>
      </c>
    </row>
    <row r="144" spans="1:6" ht="15" customHeight="1">
      <c r="A144" s="290" t="s">
        <v>1110</v>
      </c>
      <c r="B144" s="11" t="s">
        <v>510</v>
      </c>
      <c r="C144" s="11" t="s">
        <v>1085</v>
      </c>
      <c r="D144" s="11" t="s">
        <v>1111</v>
      </c>
      <c r="E144" s="11" t="s">
        <v>237</v>
      </c>
      <c r="F144" s="11" t="s">
        <v>238</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7"/>
  <sheetViews>
    <sheetView topLeftCell="A181" workbookViewId="0">
      <selection activeCell="Q1" sqref="Q1:S1048576"/>
    </sheetView>
  </sheetViews>
  <sheetFormatPr defaultRowHeight="13.5"/>
  <cols>
    <col min="1" max="1" width="19.125" style="2" customWidth="1"/>
    <col min="2" max="2" width="31.875" style="2" customWidth="1"/>
    <col min="3" max="16384" width="9" style="2"/>
  </cols>
  <sheetData>
    <row r="1" spans="1:6">
      <c r="A1" s="11" t="s">
        <v>1112</v>
      </c>
      <c r="B1" s="11" t="s">
        <v>19</v>
      </c>
      <c r="C1" s="11" t="s">
        <v>289</v>
      </c>
      <c r="D1" s="11" t="s">
        <v>290</v>
      </c>
      <c r="E1" s="11" t="s">
        <v>291</v>
      </c>
      <c r="F1" s="11" t="s">
        <v>292</v>
      </c>
    </row>
    <row r="2" spans="1:6">
      <c r="A2" s="11" t="s">
        <v>1113</v>
      </c>
      <c r="B2" s="11" t="s">
        <v>1114</v>
      </c>
      <c r="C2" s="11" t="s">
        <v>1115</v>
      </c>
      <c r="D2" s="11" t="s">
        <v>1116</v>
      </c>
      <c r="E2" s="11" t="s">
        <v>1117</v>
      </c>
      <c r="F2" s="11" t="s">
        <v>1118</v>
      </c>
    </row>
    <row r="3" spans="1:6">
      <c r="A3" s="11" t="s">
        <v>1119</v>
      </c>
      <c r="B3" s="11" t="s">
        <v>1120</v>
      </c>
      <c r="C3" s="11" t="s">
        <v>1121</v>
      </c>
      <c r="D3" s="11" t="s">
        <v>1122</v>
      </c>
      <c r="E3" s="2" t="s">
        <v>1123</v>
      </c>
      <c r="F3" s="11" t="s">
        <v>1124</v>
      </c>
    </row>
    <row r="4" spans="1:6">
      <c r="A4" s="11" t="s">
        <v>1125</v>
      </c>
      <c r="B4" s="11" t="s">
        <v>1126</v>
      </c>
      <c r="C4" s="11" t="s">
        <v>1127</v>
      </c>
      <c r="D4" s="11" t="s">
        <v>1128</v>
      </c>
      <c r="E4" s="11" t="s">
        <v>1129</v>
      </c>
      <c r="F4" s="11" t="s">
        <v>1130</v>
      </c>
    </row>
    <row r="5" spans="1:6">
      <c r="A5" s="11" t="s">
        <v>1131</v>
      </c>
      <c r="B5" s="11" t="s">
        <v>1132</v>
      </c>
      <c r="C5" s="11" t="s">
        <v>1133</v>
      </c>
      <c r="D5" s="11" t="s">
        <v>1134</v>
      </c>
      <c r="E5" s="11" t="s">
        <v>1135</v>
      </c>
      <c r="F5" s="11" t="s">
        <v>1136</v>
      </c>
    </row>
    <row r="6" spans="1:6">
      <c r="A6" s="11" t="s">
        <v>1137</v>
      </c>
      <c r="B6" s="11" t="s">
        <v>1138</v>
      </c>
      <c r="C6" s="11" t="s">
        <v>1139</v>
      </c>
      <c r="D6" s="11" t="s">
        <v>1140</v>
      </c>
      <c r="E6" s="11" t="s">
        <v>1141</v>
      </c>
      <c r="F6" s="11" t="s">
        <v>1142</v>
      </c>
    </row>
    <row r="7" spans="1:6">
      <c r="A7" s="11" t="s">
        <v>1143</v>
      </c>
      <c r="B7" s="11" t="s">
        <v>1144</v>
      </c>
      <c r="C7" s="11" t="s">
        <v>1145</v>
      </c>
      <c r="D7" s="11" t="s">
        <v>1146</v>
      </c>
      <c r="E7" s="11" t="s">
        <v>1147</v>
      </c>
      <c r="F7" s="11" t="s">
        <v>1148</v>
      </c>
    </row>
    <row r="8" spans="1:6">
      <c r="A8" s="11" t="s">
        <v>1149</v>
      </c>
      <c r="B8" s="11" t="s">
        <v>1150</v>
      </c>
      <c r="C8" s="11" t="s">
        <v>1151</v>
      </c>
      <c r="D8" s="11" t="s">
        <v>1152</v>
      </c>
      <c r="E8" s="11" t="s">
        <v>1153</v>
      </c>
      <c r="F8" s="11" t="s">
        <v>1154</v>
      </c>
    </row>
    <row r="9" spans="1:6">
      <c r="A9" s="11" t="s">
        <v>1155</v>
      </c>
      <c r="B9" s="11" t="s">
        <v>1156</v>
      </c>
      <c r="C9" s="11" t="s">
        <v>1157</v>
      </c>
      <c r="D9" s="11" t="s">
        <v>1158</v>
      </c>
      <c r="E9" s="11" t="s">
        <v>1159</v>
      </c>
      <c r="F9" s="11" t="s">
        <v>1160</v>
      </c>
    </row>
    <row r="10" spans="1:6">
      <c r="A10" s="11" t="s">
        <v>1161</v>
      </c>
      <c r="B10" s="11" t="s">
        <v>1162</v>
      </c>
      <c r="C10" s="11" t="s">
        <v>1163</v>
      </c>
      <c r="D10" s="11" t="s">
        <v>1164</v>
      </c>
      <c r="E10" s="11" t="s">
        <v>1165</v>
      </c>
      <c r="F10" s="11" t="s">
        <v>1166</v>
      </c>
    </row>
    <row r="11" spans="1:6">
      <c r="A11" s="11" t="s">
        <v>1167</v>
      </c>
      <c r="B11" s="11" t="s">
        <v>1168</v>
      </c>
      <c r="C11" s="11" t="s">
        <v>1169</v>
      </c>
      <c r="D11" s="11" t="s">
        <v>1170</v>
      </c>
      <c r="E11" s="2" t="s">
        <v>1171</v>
      </c>
      <c r="F11" s="11" t="s">
        <v>1172</v>
      </c>
    </row>
    <row r="12" spans="1:6">
      <c r="A12" s="11" t="s">
        <v>1173</v>
      </c>
      <c r="B12" s="11" t="s">
        <v>1174</v>
      </c>
      <c r="C12" s="2" t="s">
        <v>1175</v>
      </c>
      <c r="D12" s="11" t="s">
        <v>1176</v>
      </c>
      <c r="E12" s="11" t="s">
        <v>1177</v>
      </c>
      <c r="F12" s="11" t="s">
        <v>1178</v>
      </c>
    </row>
    <row r="13" spans="1:6">
      <c r="A13" s="11" t="s">
        <v>1179</v>
      </c>
      <c r="B13" s="11" t="s">
        <v>1180</v>
      </c>
      <c r="C13" s="11" t="s">
        <v>1181</v>
      </c>
      <c r="D13" s="11" t="s">
        <v>1182</v>
      </c>
      <c r="E13" s="11" t="s">
        <v>1183</v>
      </c>
      <c r="F13" s="11" t="s">
        <v>1184</v>
      </c>
    </row>
    <row r="16" spans="1:6">
      <c r="A16" s="11" t="s">
        <v>1185</v>
      </c>
      <c r="B16" s="11" t="s">
        <v>19</v>
      </c>
      <c r="C16" s="11" t="s">
        <v>289</v>
      </c>
      <c r="D16" s="11" t="s">
        <v>290</v>
      </c>
      <c r="E16" s="11" t="s">
        <v>291</v>
      </c>
      <c r="F16" s="11" t="s">
        <v>292</v>
      </c>
    </row>
    <row r="17" spans="1:6">
      <c r="A17" s="11" t="s">
        <v>1076</v>
      </c>
      <c r="B17" s="11" t="s">
        <v>1186</v>
      </c>
      <c r="C17" s="11" t="s">
        <v>1187</v>
      </c>
      <c r="D17" s="11" t="s">
        <v>1188</v>
      </c>
      <c r="E17" s="11" t="s">
        <v>1189</v>
      </c>
      <c r="F17" s="11" t="s">
        <v>1190</v>
      </c>
    </row>
    <row r="18" spans="1:6">
      <c r="A18" s="11" t="s">
        <v>1094</v>
      </c>
      <c r="B18" s="11" t="s">
        <v>1191</v>
      </c>
      <c r="C18" s="11" t="s">
        <v>1192</v>
      </c>
      <c r="D18" s="11" t="s">
        <v>1193</v>
      </c>
      <c r="E18" s="11" t="s">
        <v>1194</v>
      </c>
      <c r="F18" s="11" t="s">
        <v>1195</v>
      </c>
    </row>
    <row r="19" spans="1:6">
      <c r="A19" s="11" t="s">
        <v>1092</v>
      </c>
      <c r="B19" s="11" t="s">
        <v>1196</v>
      </c>
      <c r="C19" s="11" t="s">
        <v>1197</v>
      </c>
      <c r="D19" s="11" t="s">
        <v>1198</v>
      </c>
      <c r="E19" s="11" t="s">
        <v>1199</v>
      </c>
      <c r="F19" s="11" t="s">
        <v>1200</v>
      </c>
    </row>
    <row r="20" spans="1:6">
      <c r="A20" s="11" t="s">
        <v>1099</v>
      </c>
      <c r="B20" s="11" t="s">
        <v>1201</v>
      </c>
      <c r="C20" s="11" t="s">
        <v>1202</v>
      </c>
      <c r="D20" s="11" t="s">
        <v>1203</v>
      </c>
      <c r="E20" s="11" t="s">
        <v>1204</v>
      </c>
      <c r="F20" s="11" t="s">
        <v>1205</v>
      </c>
    </row>
    <row r="21" spans="1:6">
      <c r="A21" s="11" t="s">
        <v>1097</v>
      </c>
      <c r="B21" s="11" t="s">
        <v>1206</v>
      </c>
      <c r="C21" s="11" t="s">
        <v>1207</v>
      </c>
      <c r="D21" s="11" t="s">
        <v>1208</v>
      </c>
      <c r="E21" s="11" t="s">
        <v>1209</v>
      </c>
      <c r="F21" s="11" t="s">
        <v>1210</v>
      </c>
    </row>
    <row r="22" spans="1:6">
      <c r="A22" s="11" t="s">
        <v>1103</v>
      </c>
      <c r="B22" s="11" t="s">
        <v>1211</v>
      </c>
      <c r="C22" s="11" t="s">
        <v>1212</v>
      </c>
      <c r="D22" s="11" t="s">
        <v>1213</v>
      </c>
      <c r="E22" s="11" t="s">
        <v>1214</v>
      </c>
      <c r="F22" s="11" t="s">
        <v>1215</v>
      </c>
    </row>
    <row r="23" spans="1:6">
      <c r="A23" s="11" t="s">
        <v>1101</v>
      </c>
      <c r="B23" s="11" t="s">
        <v>1216</v>
      </c>
      <c r="C23" s="11" t="s">
        <v>1217</v>
      </c>
      <c r="D23" s="11" t="s">
        <v>1218</v>
      </c>
      <c r="E23" s="11" t="s">
        <v>1219</v>
      </c>
      <c r="F23" s="11" t="s">
        <v>1220</v>
      </c>
    </row>
    <row r="24" spans="1:6">
      <c r="A24" s="11" t="s">
        <v>1107</v>
      </c>
      <c r="B24" s="11" t="s">
        <v>1221</v>
      </c>
      <c r="C24" s="11" t="s">
        <v>1222</v>
      </c>
      <c r="D24" s="11" t="s">
        <v>1223</v>
      </c>
      <c r="E24" s="11" t="s">
        <v>1224</v>
      </c>
      <c r="F24" s="11" t="s">
        <v>1225</v>
      </c>
    </row>
    <row r="25" spans="1:6">
      <c r="A25" s="11" t="s">
        <v>1105</v>
      </c>
      <c r="B25" s="11" t="s">
        <v>1226</v>
      </c>
      <c r="C25" s="11" t="s">
        <v>1227</v>
      </c>
      <c r="D25" s="11" t="s">
        <v>1228</v>
      </c>
      <c r="E25" s="11" t="s">
        <v>1229</v>
      </c>
      <c r="F25" s="11" t="s">
        <v>1230</v>
      </c>
    </row>
    <row r="26" spans="1:6">
      <c r="A26" s="11" t="s">
        <v>1111</v>
      </c>
      <c r="B26" s="11" t="s">
        <v>1231</v>
      </c>
      <c r="C26" s="11" t="s">
        <v>1232</v>
      </c>
      <c r="D26" s="11" t="s">
        <v>1233</v>
      </c>
      <c r="E26" s="11" t="s">
        <v>1234</v>
      </c>
      <c r="F26" s="11" t="s">
        <v>1235</v>
      </c>
    </row>
    <row r="27" spans="1:6">
      <c r="A27" s="11" t="s">
        <v>1109</v>
      </c>
      <c r="B27" s="11" t="s">
        <v>1236</v>
      </c>
      <c r="C27" s="11" t="s">
        <v>1237</v>
      </c>
      <c r="D27" s="11" t="s">
        <v>1238</v>
      </c>
      <c r="E27" s="11" t="s">
        <v>1239</v>
      </c>
      <c r="F27" s="11" t="s">
        <v>1240</v>
      </c>
    </row>
    <row r="28" spans="1:6">
      <c r="A28" s="11" t="s">
        <v>1090</v>
      </c>
      <c r="B28" s="11" t="s">
        <v>1241</v>
      </c>
      <c r="C28" s="11" t="s">
        <v>1242</v>
      </c>
      <c r="D28" s="11" t="s">
        <v>1243</v>
      </c>
      <c r="E28" s="11" t="s">
        <v>1244</v>
      </c>
      <c r="F28" s="11" t="s">
        <v>1245</v>
      </c>
    </row>
    <row r="31" spans="1:6">
      <c r="A31" s="11" t="s">
        <v>1246</v>
      </c>
      <c r="B31" s="11" t="s">
        <v>1247</v>
      </c>
      <c r="C31" s="11" t="s">
        <v>93</v>
      </c>
      <c r="D31" s="2" t="s">
        <v>1248</v>
      </c>
      <c r="E31" s="2" t="s">
        <v>1249</v>
      </c>
      <c r="F31" s="2" t="s">
        <v>1250</v>
      </c>
    </row>
    <row r="32" spans="1:6">
      <c r="A32" s="11" t="s">
        <v>1251</v>
      </c>
      <c r="B32" s="11" t="s">
        <v>1252</v>
      </c>
      <c r="C32" s="11" t="s">
        <v>1253</v>
      </c>
      <c r="D32" s="11" t="s">
        <v>1254</v>
      </c>
      <c r="E32" s="11" t="s">
        <v>1255</v>
      </c>
      <c r="F32" s="11" t="s">
        <v>1256</v>
      </c>
    </row>
    <row r="33" spans="1:6">
      <c r="A33" s="225" t="s">
        <v>1257</v>
      </c>
      <c r="B33" s="11" t="s">
        <v>1258</v>
      </c>
      <c r="C33" s="11" t="s">
        <v>1259</v>
      </c>
      <c r="D33" s="11" t="s">
        <v>1260</v>
      </c>
      <c r="E33" s="11" t="s">
        <v>1261</v>
      </c>
      <c r="F33" s="11" t="s">
        <v>1262</v>
      </c>
    </row>
    <row r="34" spans="1:6">
      <c r="A34" s="225" t="s">
        <v>1263</v>
      </c>
      <c r="B34" s="11" t="s">
        <v>1264</v>
      </c>
      <c r="C34" s="11" t="s">
        <v>1265</v>
      </c>
      <c r="D34" s="11" t="s">
        <v>1266</v>
      </c>
      <c r="E34" s="11" t="s">
        <v>1267</v>
      </c>
      <c r="F34" s="11" t="s">
        <v>1268</v>
      </c>
    </row>
    <row r="35" spans="1:6">
      <c r="A35" s="225" t="s">
        <v>1269</v>
      </c>
      <c r="B35" s="11" t="s">
        <v>1270</v>
      </c>
      <c r="C35" s="11" t="s">
        <v>1271</v>
      </c>
      <c r="D35" s="11" t="s">
        <v>1272</v>
      </c>
      <c r="E35" s="11" t="s">
        <v>1273</v>
      </c>
      <c r="F35" s="11" t="s">
        <v>1274</v>
      </c>
    </row>
    <row r="36" spans="1:6">
      <c r="A36" s="225" t="s">
        <v>1275</v>
      </c>
      <c r="B36" s="225" t="s">
        <v>1276</v>
      </c>
      <c r="C36" s="11" t="s">
        <v>1277</v>
      </c>
      <c r="D36" s="11" t="s">
        <v>1278</v>
      </c>
      <c r="E36" s="11" t="s">
        <v>1279</v>
      </c>
      <c r="F36" s="11" t="s">
        <v>1280</v>
      </c>
    </row>
    <row r="37" spans="1:6">
      <c r="A37" s="225" t="s">
        <v>1281</v>
      </c>
      <c r="B37" s="225" t="s">
        <v>1282</v>
      </c>
      <c r="C37" s="11" t="s">
        <v>1283</v>
      </c>
      <c r="D37" s="11" t="s">
        <v>1284</v>
      </c>
      <c r="E37" s="11" t="s">
        <v>1285</v>
      </c>
      <c r="F37" s="11" t="s">
        <v>1286</v>
      </c>
    </row>
    <row r="40" spans="1:6">
      <c r="A40" s="11" t="s">
        <v>1112</v>
      </c>
      <c r="B40" s="11" t="s">
        <v>1287</v>
      </c>
      <c r="C40" s="11" t="s">
        <v>1288</v>
      </c>
    </row>
    <row r="41" spans="1:6">
      <c r="A41" s="11" t="s">
        <v>1113</v>
      </c>
      <c r="B41" s="11" t="s">
        <v>1289</v>
      </c>
      <c r="C41" s="2" t="s">
        <v>1290</v>
      </c>
    </row>
    <row r="42" spans="1:6">
      <c r="A42" s="11" t="s">
        <v>1113</v>
      </c>
      <c r="B42" s="11" t="s">
        <v>1094</v>
      </c>
      <c r="C42" s="2" t="s">
        <v>1291</v>
      </c>
    </row>
    <row r="43" spans="1:6">
      <c r="A43" s="11" t="s">
        <v>1113</v>
      </c>
      <c r="B43" s="11" t="s">
        <v>1092</v>
      </c>
      <c r="C43" s="2" t="s">
        <v>1292</v>
      </c>
    </row>
    <row r="44" spans="1:6">
      <c r="A44" s="11" t="s">
        <v>1113</v>
      </c>
      <c r="B44" s="11" t="s">
        <v>1099</v>
      </c>
      <c r="C44" s="2" t="s">
        <v>1293</v>
      </c>
    </row>
    <row r="45" spans="1:6">
      <c r="A45" s="11" t="s">
        <v>1113</v>
      </c>
      <c r="B45" s="11" t="s">
        <v>1097</v>
      </c>
      <c r="C45" s="2" t="s">
        <v>1292</v>
      </c>
    </row>
    <row r="46" spans="1:6">
      <c r="A46" s="11" t="s">
        <v>1113</v>
      </c>
      <c r="B46" s="11" t="s">
        <v>1103</v>
      </c>
      <c r="C46" s="2" t="s">
        <v>1294</v>
      </c>
    </row>
    <row r="47" spans="1:6">
      <c r="A47" s="11" t="s">
        <v>1113</v>
      </c>
      <c r="B47" s="11" t="s">
        <v>1101</v>
      </c>
      <c r="C47" s="2" t="s">
        <v>1295</v>
      </c>
    </row>
    <row r="48" spans="1:6">
      <c r="A48" s="11" t="s">
        <v>1113</v>
      </c>
      <c r="B48" s="11" t="s">
        <v>1107</v>
      </c>
      <c r="C48" s="2" t="s">
        <v>1294</v>
      </c>
    </row>
    <row r="49" spans="1:3">
      <c r="A49" s="11" t="s">
        <v>1113</v>
      </c>
      <c r="B49" s="11" t="s">
        <v>1105</v>
      </c>
      <c r="C49" s="2" t="s">
        <v>1292</v>
      </c>
    </row>
    <row r="50" spans="1:3">
      <c r="A50" s="11" t="s">
        <v>1113</v>
      </c>
      <c r="B50" s="11" t="s">
        <v>1111</v>
      </c>
      <c r="C50" s="2" t="s">
        <v>1293</v>
      </c>
    </row>
    <row r="51" spans="1:3">
      <c r="A51" s="11" t="s">
        <v>1113</v>
      </c>
      <c r="B51" s="11" t="s">
        <v>1109</v>
      </c>
      <c r="C51" s="2" t="s">
        <v>1292</v>
      </c>
    </row>
    <row r="52" spans="1:3">
      <c r="A52" s="11" t="s">
        <v>1113</v>
      </c>
      <c r="B52" s="11" t="s">
        <v>1090</v>
      </c>
      <c r="C52" s="2" t="s">
        <v>1291</v>
      </c>
    </row>
    <row r="53" spans="1:3">
      <c r="A53" s="11" t="s">
        <v>1119</v>
      </c>
      <c r="B53" s="11" t="s">
        <v>1076</v>
      </c>
      <c r="C53" s="2" t="s">
        <v>1291</v>
      </c>
    </row>
    <row r="54" spans="1:3">
      <c r="A54" s="11" t="s">
        <v>1119</v>
      </c>
      <c r="B54" s="11" t="s">
        <v>1094</v>
      </c>
      <c r="C54" s="2" t="s">
        <v>1290</v>
      </c>
    </row>
    <row r="55" spans="1:3">
      <c r="A55" s="11" t="s">
        <v>1119</v>
      </c>
      <c r="B55" s="11" t="s">
        <v>1092</v>
      </c>
      <c r="C55" s="2" t="s">
        <v>1291</v>
      </c>
    </row>
    <row r="56" spans="1:3">
      <c r="A56" s="11" t="s">
        <v>1119</v>
      </c>
      <c r="B56" s="11" t="s">
        <v>1099</v>
      </c>
      <c r="C56" s="2" t="s">
        <v>1292</v>
      </c>
    </row>
    <row r="57" spans="1:3">
      <c r="A57" s="11" t="s">
        <v>1119</v>
      </c>
      <c r="B57" s="11" t="s">
        <v>1097</v>
      </c>
      <c r="C57" s="2" t="s">
        <v>1293</v>
      </c>
    </row>
    <row r="58" spans="1:3">
      <c r="A58" s="11" t="s">
        <v>1119</v>
      </c>
      <c r="B58" s="11" t="s">
        <v>1103</v>
      </c>
      <c r="C58" s="2" t="s">
        <v>1292</v>
      </c>
    </row>
    <row r="59" spans="1:3">
      <c r="A59" s="11" t="s">
        <v>1119</v>
      </c>
      <c r="B59" s="11" t="s">
        <v>1101</v>
      </c>
      <c r="C59" s="2" t="s">
        <v>1294</v>
      </c>
    </row>
    <row r="60" spans="1:3">
      <c r="A60" s="11" t="s">
        <v>1119</v>
      </c>
      <c r="B60" s="11" t="s">
        <v>1107</v>
      </c>
      <c r="C60" s="2" t="s">
        <v>1295</v>
      </c>
    </row>
    <row r="61" spans="1:3">
      <c r="A61" s="11" t="s">
        <v>1119</v>
      </c>
      <c r="B61" s="11" t="s">
        <v>1105</v>
      </c>
      <c r="C61" s="2" t="s">
        <v>1294</v>
      </c>
    </row>
    <row r="62" spans="1:3">
      <c r="A62" s="11" t="s">
        <v>1119</v>
      </c>
      <c r="B62" s="11" t="s">
        <v>1111</v>
      </c>
      <c r="C62" s="2" t="s">
        <v>1292</v>
      </c>
    </row>
    <row r="63" spans="1:3">
      <c r="A63" s="11" t="s">
        <v>1119</v>
      </c>
      <c r="B63" s="11" t="s">
        <v>1109</v>
      </c>
      <c r="C63" s="2" t="s">
        <v>1293</v>
      </c>
    </row>
    <row r="64" spans="1:3">
      <c r="A64" s="11" t="s">
        <v>1119</v>
      </c>
      <c r="B64" s="11" t="s">
        <v>1090</v>
      </c>
      <c r="C64" s="2" t="s">
        <v>1292</v>
      </c>
    </row>
    <row r="65" spans="1:3">
      <c r="A65" s="11" t="s">
        <v>1125</v>
      </c>
      <c r="B65" s="11" t="s">
        <v>1076</v>
      </c>
      <c r="C65" s="2" t="s">
        <v>1292</v>
      </c>
    </row>
    <row r="66" spans="1:3">
      <c r="A66" s="11" t="s">
        <v>1125</v>
      </c>
      <c r="B66" s="11" t="s">
        <v>1094</v>
      </c>
      <c r="C66" s="2" t="s">
        <v>1291</v>
      </c>
    </row>
    <row r="67" spans="1:3">
      <c r="A67" s="11" t="s">
        <v>1125</v>
      </c>
      <c r="B67" s="11" t="s">
        <v>1092</v>
      </c>
      <c r="C67" s="2" t="s">
        <v>1290</v>
      </c>
    </row>
    <row r="68" spans="1:3">
      <c r="A68" s="11" t="s">
        <v>1125</v>
      </c>
      <c r="B68" s="11" t="s">
        <v>1099</v>
      </c>
      <c r="C68" s="2" t="s">
        <v>1291</v>
      </c>
    </row>
    <row r="69" spans="1:3">
      <c r="A69" s="11" t="s">
        <v>1125</v>
      </c>
      <c r="B69" s="11" t="s">
        <v>1097</v>
      </c>
      <c r="C69" s="2" t="s">
        <v>1292</v>
      </c>
    </row>
    <row r="70" spans="1:3">
      <c r="A70" s="11" t="s">
        <v>1125</v>
      </c>
      <c r="B70" s="11" t="s">
        <v>1103</v>
      </c>
      <c r="C70" s="2" t="s">
        <v>1293</v>
      </c>
    </row>
    <row r="71" spans="1:3">
      <c r="A71" s="11" t="s">
        <v>1125</v>
      </c>
      <c r="B71" s="11" t="s">
        <v>1101</v>
      </c>
      <c r="C71" s="2" t="s">
        <v>1292</v>
      </c>
    </row>
    <row r="72" spans="1:3">
      <c r="A72" s="11" t="s">
        <v>1125</v>
      </c>
      <c r="B72" s="11" t="s">
        <v>1107</v>
      </c>
      <c r="C72" s="2" t="s">
        <v>1294</v>
      </c>
    </row>
    <row r="73" spans="1:3">
      <c r="A73" s="11" t="s">
        <v>1125</v>
      </c>
      <c r="B73" s="11" t="s">
        <v>1105</v>
      </c>
      <c r="C73" s="2" t="s">
        <v>1295</v>
      </c>
    </row>
    <row r="74" spans="1:3">
      <c r="A74" s="11" t="s">
        <v>1125</v>
      </c>
      <c r="B74" s="11" t="s">
        <v>1111</v>
      </c>
      <c r="C74" s="2" t="s">
        <v>1294</v>
      </c>
    </row>
    <row r="75" spans="1:3">
      <c r="A75" s="11" t="s">
        <v>1125</v>
      </c>
      <c r="B75" s="11" t="s">
        <v>1109</v>
      </c>
      <c r="C75" s="2" t="s">
        <v>1292</v>
      </c>
    </row>
    <row r="76" spans="1:3">
      <c r="A76" s="11" t="s">
        <v>1125</v>
      </c>
      <c r="B76" s="11" t="s">
        <v>1090</v>
      </c>
      <c r="C76" s="2" t="s">
        <v>1293</v>
      </c>
    </row>
    <row r="77" spans="1:3">
      <c r="A77" s="11" t="s">
        <v>1131</v>
      </c>
      <c r="B77" s="11" t="s">
        <v>1076</v>
      </c>
      <c r="C77" s="2" t="s">
        <v>1293</v>
      </c>
    </row>
    <row r="78" spans="1:3">
      <c r="A78" s="11" t="s">
        <v>1131</v>
      </c>
      <c r="B78" s="11" t="s">
        <v>1094</v>
      </c>
      <c r="C78" s="2" t="s">
        <v>1292</v>
      </c>
    </row>
    <row r="79" spans="1:3">
      <c r="A79" s="11" t="s">
        <v>1131</v>
      </c>
      <c r="B79" s="11" t="s">
        <v>1092</v>
      </c>
      <c r="C79" s="2" t="s">
        <v>1291</v>
      </c>
    </row>
    <row r="80" spans="1:3">
      <c r="A80" s="11" t="s">
        <v>1131</v>
      </c>
      <c r="B80" s="11" t="s">
        <v>1099</v>
      </c>
      <c r="C80" s="2" t="s">
        <v>1290</v>
      </c>
    </row>
    <row r="81" spans="1:3">
      <c r="A81" s="11" t="s">
        <v>1131</v>
      </c>
      <c r="B81" s="11" t="s">
        <v>1097</v>
      </c>
      <c r="C81" s="2" t="s">
        <v>1291</v>
      </c>
    </row>
    <row r="82" spans="1:3">
      <c r="A82" s="11" t="s">
        <v>1131</v>
      </c>
      <c r="B82" s="11" t="s">
        <v>1103</v>
      </c>
      <c r="C82" s="2" t="s">
        <v>1292</v>
      </c>
    </row>
    <row r="83" spans="1:3">
      <c r="A83" s="11" t="s">
        <v>1131</v>
      </c>
      <c r="B83" s="11" t="s">
        <v>1101</v>
      </c>
      <c r="C83" s="2" t="s">
        <v>1293</v>
      </c>
    </row>
    <row r="84" spans="1:3">
      <c r="A84" s="11" t="s">
        <v>1131</v>
      </c>
      <c r="B84" s="11" t="s">
        <v>1107</v>
      </c>
      <c r="C84" s="2" t="s">
        <v>1292</v>
      </c>
    </row>
    <row r="85" spans="1:3">
      <c r="A85" s="11" t="s">
        <v>1131</v>
      </c>
      <c r="B85" s="11" t="s">
        <v>1105</v>
      </c>
      <c r="C85" s="2" t="s">
        <v>1294</v>
      </c>
    </row>
    <row r="86" spans="1:3">
      <c r="A86" s="11" t="s">
        <v>1131</v>
      </c>
      <c r="B86" s="11" t="s">
        <v>1111</v>
      </c>
      <c r="C86" s="2" t="s">
        <v>1295</v>
      </c>
    </row>
    <row r="87" spans="1:3">
      <c r="A87" s="11" t="s">
        <v>1131</v>
      </c>
      <c r="B87" s="11" t="s">
        <v>1109</v>
      </c>
      <c r="C87" s="2" t="s">
        <v>1294</v>
      </c>
    </row>
    <row r="88" spans="1:3">
      <c r="A88" s="11" t="s">
        <v>1131</v>
      </c>
      <c r="B88" s="11" t="s">
        <v>1090</v>
      </c>
      <c r="C88" s="2" t="s">
        <v>1292</v>
      </c>
    </row>
    <row r="89" spans="1:3">
      <c r="A89" s="11" t="s">
        <v>1137</v>
      </c>
      <c r="B89" s="11" t="s">
        <v>1076</v>
      </c>
      <c r="C89" s="2" t="s">
        <v>1292</v>
      </c>
    </row>
    <row r="90" spans="1:3">
      <c r="A90" s="11" t="s">
        <v>1137</v>
      </c>
      <c r="B90" s="11" t="s">
        <v>1094</v>
      </c>
      <c r="C90" s="2" t="s">
        <v>1293</v>
      </c>
    </row>
    <row r="91" spans="1:3">
      <c r="A91" s="11" t="s">
        <v>1137</v>
      </c>
      <c r="B91" s="11" t="s">
        <v>1092</v>
      </c>
      <c r="C91" s="2" t="s">
        <v>1292</v>
      </c>
    </row>
    <row r="92" spans="1:3">
      <c r="A92" s="11" t="s">
        <v>1137</v>
      </c>
      <c r="B92" s="11" t="s">
        <v>1099</v>
      </c>
      <c r="C92" s="2" t="s">
        <v>1291</v>
      </c>
    </row>
    <row r="93" spans="1:3">
      <c r="A93" s="11" t="s">
        <v>1137</v>
      </c>
      <c r="B93" s="11" t="s">
        <v>1097</v>
      </c>
      <c r="C93" s="2" t="s">
        <v>1290</v>
      </c>
    </row>
    <row r="94" spans="1:3">
      <c r="A94" s="11" t="s">
        <v>1137</v>
      </c>
      <c r="B94" s="11" t="s">
        <v>1103</v>
      </c>
      <c r="C94" s="2" t="s">
        <v>1291</v>
      </c>
    </row>
    <row r="95" spans="1:3">
      <c r="A95" s="11" t="s">
        <v>1137</v>
      </c>
      <c r="B95" s="11" t="s">
        <v>1101</v>
      </c>
      <c r="C95" s="2" t="s">
        <v>1292</v>
      </c>
    </row>
    <row r="96" spans="1:3">
      <c r="A96" s="11" t="s">
        <v>1137</v>
      </c>
      <c r="B96" s="11" t="s">
        <v>1107</v>
      </c>
      <c r="C96" s="2" t="s">
        <v>1293</v>
      </c>
    </row>
    <row r="97" spans="1:3">
      <c r="A97" s="11" t="s">
        <v>1137</v>
      </c>
      <c r="B97" s="11" t="s">
        <v>1105</v>
      </c>
      <c r="C97" s="2" t="s">
        <v>1292</v>
      </c>
    </row>
    <row r="98" spans="1:3">
      <c r="A98" s="11" t="s">
        <v>1137</v>
      </c>
      <c r="B98" s="11" t="s">
        <v>1111</v>
      </c>
      <c r="C98" s="2" t="s">
        <v>1294</v>
      </c>
    </row>
    <row r="99" spans="1:3">
      <c r="A99" s="11" t="s">
        <v>1137</v>
      </c>
      <c r="B99" s="11" t="s">
        <v>1109</v>
      </c>
      <c r="C99" s="2" t="s">
        <v>1295</v>
      </c>
    </row>
    <row r="100" spans="1:3">
      <c r="A100" s="11" t="s">
        <v>1137</v>
      </c>
      <c r="B100" s="11" t="s">
        <v>1090</v>
      </c>
      <c r="C100" s="2" t="s">
        <v>1294</v>
      </c>
    </row>
    <row r="101" spans="1:3">
      <c r="A101" s="11" t="s">
        <v>1143</v>
      </c>
      <c r="B101" s="11" t="s">
        <v>1076</v>
      </c>
      <c r="C101" s="2" t="s">
        <v>1294</v>
      </c>
    </row>
    <row r="102" spans="1:3">
      <c r="A102" s="11" t="s">
        <v>1143</v>
      </c>
      <c r="B102" s="11" t="s">
        <v>1094</v>
      </c>
      <c r="C102" s="2" t="s">
        <v>1292</v>
      </c>
    </row>
    <row r="103" spans="1:3">
      <c r="A103" s="11" t="s">
        <v>1143</v>
      </c>
      <c r="B103" s="11" t="s">
        <v>1092</v>
      </c>
      <c r="C103" s="2" t="s">
        <v>1293</v>
      </c>
    </row>
    <row r="104" spans="1:3">
      <c r="A104" s="11" t="s">
        <v>1143</v>
      </c>
      <c r="B104" s="11" t="s">
        <v>1099</v>
      </c>
      <c r="C104" s="2" t="s">
        <v>1292</v>
      </c>
    </row>
    <row r="105" spans="1:3">
      <c r="A105" s="11" t="s">
        <v>1143</v>
      </c>
      <c r="B105" s="11" t="s">
        <v>1097</v>
      </c>
      <c r="C105" s="2" t="s">
        <v>1291</v>
      </c>
    </row>
    <row r="106" spans="1:3">
      <c r="A106" s="11" t="s">
        <v>1143</v>
      </c>
      <c r="B106" s="11" t="s">
        <v>1103</v>
      </c>
      <c r="C106" s="2" t="s">
        <v>1290</v>
      </c>
    </row>
    <row r="107" spans="1:3">
      <c r="A107" s="11" t="s">
        <v>1143</v>
      </c>
      <c r="B107" s="11" t="s">
        <v>1101</v>
      </c>
      <c r="C107" s="2" t="s">
        <v>1291</v>
      </c>
    </row>
    <row r="108" spans="1:3">
      <c r="A108" s="11" t="s">
        <v>1143</v>
      </c>
      <c r="B108" s="11" t="s">
        <v>1107</v>
      </c>
      <c r="C108" s="2" t="s">
        <v>1292</v>
      </c>
    </row>
    <row r="109" spans="1:3">
      <c r="A109" s="11" t="s">
        <v>1143</v>
      </c>
      <c r="B109" s="11" t="s">
        <v>1105</v>
      </c>
      <c r="C109" s="2" t="s">
        <v>1293</v>
      </c>
    </row>
    <row r="110" spans="1:3">
      <c r="A110" s="11" t="s">
        <v>1143</v>
      </c>
      <c r="B110" s="11" t="s">
        <v>1111</v>
      </c>
      <c r="C110" s="2" t="s">
        <v>1292</v>
      </c>
    </row>
    <row r="111" spans="1:3">
      <c r="A111" s="11" t="s">
        <v>1143</v>
      </c>
      <c r="B111" s="11" t="s">
        <v>1109</v>
      </c>
      <c r="C111" s="2" t="s">
        <v>1294</v>
      </c>
    </row>
    <row r="112" spans="1:3">
      <c r="A112" s="11" t="s">
        <v>1143</v>
      </c>
      <c r="B112" s="11" t="s">
        <v>1090</v>
      </c>
      <c r="C112" s="2" t="s">
        <v>1295</v>
      </c>
    </row>
    <row r="113" spans="1:3">
      <c r="A113" s="11" t="s">
        <v>1149</v>
      </c>
      <c r="B113" s="11" t="s">
        <v>1076</v>
      </c>
      <c r="C113" s="2" t="s">
        <v>1295</v>
      </c>
    </row>
    <row r="114" spans="1:3">
      <c r="A114" s="11" t="s">
        <v>1149</v>
      </c>
      <c r="B114" s="11" t="s">
        <v>1094</v>
      </c>
      <c r="C114" s="2" t="s">
        <v>1294</v>
      </c>
    </row>
    <row r="115" spans="1:3">
      <c r="A115" s="11" t="s">
        <v>1149</v>
      </c>
      <c r="B115" s="11" t="s">
        <v>1092</v>
      </c>
      <c r="C115" s="2" t="s">
        <v>1292</v>
      </c>
    </row>
    <row r="116" spans="1:3">
      <c r="A116" s="11" t="s">
        <v>1149</v>
      </c>
      <c r="B116" s="11" t="s">
        <v>1099</v>
      </c>
      <c r="C116" s="2" t="s">
        <v>1293</v>
      </c>
    </row>
    <row r="117" spans="1:3">
      <c r="A117" s="11" t="s">
        <v>1149</v>
      </c>
      <c r="B117" s="11" t="s">
        <v>1097</v>
      </c>
      <c r="C117" s="2" t="s">
        <v>1292</v>
      </c>
    </row>
    <row r="118" spans="1:3">
      <c r="A118" s="11" t="s">
        <v>1149</v>
      </c>
      <c r="B118" s="11" t="s">
        <v>1103</v>
      </c>
      <c r="C118" s="2" t="s">
        <v>1291</v>
      </c>
    </row>
    <row r="119" spans="1:3">
      <c r="A119" s="11" t="s">
        <v>1149</v>
      </c>
      <c r="B119" s="11" t="s">
        <v>1101</v>
      </c>
      <c r="C119" s="2" t="s">
        <v>1290</v>
      </c>
    </row>
    <row r="120" spans="1:3">
      <c r="A120" s="11" t="s">
        <v>1149</v>
      </c>
      <c r="B120" s="11" t="s">
        <v>1107</v>
      </c>
      <c r="C120" s="2" t="s">
        <v>1291</v>
      </c>
    </row>
    <row r="121" spans="1:3">
      <c r="A121" s="11" t="s">
        <v>1149</v>
      </c>
      <c r="B121" s="11" t="s">
        <v>1105</v>
      </c>
      <c r="C121" s="2" t="s">
        <v>1292</v>
      </c>
    </row>
    <row r="122" spans="1:3">
      <c r="A122" s="11" t="s">
        <v>1149</v>
      </c>
      <c r="B122" s="11" t="s">
        <v>1111</v>
      </c>
      <c r="C122" s="2" t="s">
        <v>1293</v>
      </c>
    </row>
    <row r="123" spans="1:3">
      <c r="A123" s="11" t="s">
        <v>1149</v>
      </c>
      <c r="B123" s="11" t="s">
        <v>1109</v>
      </c>
      <c r="C123" s="2" t="s">
        <v>1292</v>
      </c>
    </row>
    <row r="124" spans="1:3">
      <c r="A124" s="11" t="s">
        <v>1149</v>
      </c>
      <c r="B124" s="11" t="s">
        <v>1090</v>
      </c>
      <c r="C124" s="2" t="s">
        <v>1294</v>
      </c>
    </row>
    <row r="125" spans="1:3">
      <c r="A125" s="11" t="s">
        <v>1155</v>
      </c>
      <c r="B125" s="11" t="s">
        <v>1076</v>
      </c>
      <c r="C125" s="2" t="s">
        <v>1294</v>
      </c>
    </row>
    <row r="126" spans="1:3">
      <c r="A126" s="11" t="s">
        <v>1155</v>
      </c>
      <c r="B126" s="11" t="s">
        <v>1094</v>
      </c>
      <c r="C126" s="2" t="s">
        <v>1295</v>
      </c>
    </row>
    <row r="127" spans="1:3">
      <c r="A127" s="11" t="s">
        <v>1155</v>
      </c>
      <c r="B127" s="11" t="s">
        <v>1092</v>
      </c>
      <c r="C127" s="2" t="s">
        <v>1294</v>
      </c>
    </row>
    <row r="128" spans="1:3">
      <c r="A128" s="11" t="s">
        <v>1155</v>
      </c>
      <c r="B128" s="11" t="s">
        <v>1099</v>
      </c>
      <c r="C128" s="2" t="s">
        <v>1292</v>
      </c>
    </row>
    <row r="129" spans="1:3">
      <c r="A129" s="11" t="s">
        <v>1155</v>
      </c>
      <c r="B129" s="11" t="s">
        <v>1097</v>
      </c>
      <c r="C129" s="2" t="s">
        <v>1293</v>
      </c>
    </row>
    <row r="130" spans="1:3">
      <c r="A130" s="11" t="s">
        <v>1155</v>
      </c>
      <c r="B130" s="11" t="s">
        <v>1103</v>
      </c>
      <c r="C130" s="2" t="s">
        <v>1292</v>
      </c>
    </row>
    <row r="131" spans="1:3">
      <c r="A131" s="11" t="s">
        <v>1155</v>
      </c>
      <c r="B131" s="11" t="s">
        <v>1101</v>
      </c>
      <c r="C131" s="2" t="s">
        <v>1291</v>
      </c>
    </row>
    <row r="132" spans="1:3">
      <c r="A132" s="11" t="s">
        <v>1155</v>
      </c>
      <c r="B132" s="11" t="s">
        <v>1107</v>
      </c>
      <c r="C132" s="2" t="s">
        <v>1290</v>
      </c>
    </row>
    <row r="133" spans="1:3">
      <c r="A133" s="11" t="s">
        <v>1155</v>
      </c>
      <c r="B133" s="11" t="s">
        <v>1105</v>
      </c>
      <c r="C133" s="2" t="s">
        <v>1291</v>
      </c>
    </row>
    <row r="134" spans="1:3">
      <c r="A134" s="11" t="s">
        <v>1155</v>
      </c>
      <c r="B134" s="11" t="s">
        <v>1111</v>
      </c>
      <c r="C134" s="2" t="s">
        <v>1292</v>
      </c>
    </row>
    <row r="135" spans="1:3">
      <c r="A135" s="11" t="s">
        <v>1155</v>
      </c>
      <c r="B135" s="11" t="s">
        <v>1109</v>
      </c>
      <c r="C135" s="2" t="s">
        <v>1293</v>
      </c>
    </row>
    <row r="136" spans="1:3">
      <c r="A136" s="11" t="s">
        <v>1155</v>
      </c>
      <c r="B136" s="11" t="s">
        <v>1090</v>
      </c>
      <c r="C136" s="2" t="s">
        <v>1292</v>
      </c>
    </row>
    <row r="137" spans="1:3">
      <c r="A137" s="11" t="s">
        <v>1161</v>
      </c>
      <c r="B137" s="11" t="s">
        <v>1076</v>
      </c>
      <c r="C137" s="2" t="s">
        <v>1292</v>
      </c>
    </row>
    <row r="138" spans="1:3">
      <c r="A138" s="11" t="s">
        <v>1161</v>
      </c>
      <c r="B138" s="11" t="s">
        <v>1094</v>
      </c>
      <c r="C138" s="2" t="s">
        <v>1294</v>
      </c>
    </row>
    <row r="139" spans="1:3">
      <c r="A139" s="11" t="s">
        <v>1161</v>
      </c>
      <c r="B139" s="11" t="s">
        <v>1092</v>
      </c>
      <c r="C139" s="2" t="s">
        <v>1295</v>
      </c>
    </row>
    <row r="140" spans="1:3">
      <c r="A140" s="11" t="s">
        <v>1161</v>
      </c>
      <c r="B140" s="11" t="s">
        <v>1099</v>
      </c>
      <c r="C140" s="2" t="s">
        <v>1294</v>
      </c>
    </row>
    <row r="141" spans="1:3">
      <c r="A141" s="11" t="s">
        <v>1161</v>
      </c>
      <c r="B141" s="11" t="s">
        <v>1097</v>
      </c>
      <c r="C141" s="2" t="s">
        <v>1292</v>
      </c>
    </row>
    <row r="142" spans="1:3">
      <c r="A142" s="11" t="s">
        <v>1161</v>
      </c>
      <c r="B142" s="11" t="s">
        <v>1103</v>
      </c>
      <c r="C142" s="2" t="s">
        <v>1293</v>
      </c>
    </row>
    <row r="143" spans="1:3">
      <c r="A143" s="11" t="s">
        <v>1161</v>
      </c>
      <c r="B143" s="11" t="s">
        <v>1101</v>
      </c>
      <c r="C143" s="2" t="s">
        <v>1292</v>
      </c>
    </row>
    <row r="144" spans="1:3">
      <c r="A144" s="11" t="s">
        <v>1161</v>
      </c>
      <c r="B144" s="11" t="s">
        <v>1107</v>
      </c>
      <c r="C144" s="2" t="s">
        <v>1291</v>
      </c>
    </row>
    <row r="145" spans="1:3">
      <c r="A145" s="11" t="s">
        <v>1161</v>
      </c>
      <c r="B145" s="11" t="s">
        <v>1105</v>
      </c>
      <c r="C145" s="2" t="s">
        <v>1290</v>
      </c>
    </row>
    <row r="146" spans="1:3">
      <c r="A146" s="11" t="s">
        <v>1161</v>
      </c>
      <c r="B146" s="11" t="s">
        <v>1111</v>
      </c>
      <c r="C146" s="2" t="s">
        <v>1291</v>
      </c>
    </row>
    <row r="147" spans="1:3">
      <c r="A147" s="11" t="s">
        <v>1161</v>
      </c>
      <c r="B147" s="11" t="s">
        <v>1109</v>
      </c>
      <c r="C147" s="2" t="s">
        <v>1292</v>
      </c>
    </row>
    <row r="148" spans="1:3">
      <c r="A148" s="11" t="s">
        <v>1161</v>
      </c>
      <c r="B148" s="11" t="s">
        <v>1090</v>
      </c>
      <c r="C148" s="2" t="s">
        <v>1293</v>
      </c>
    </row>
    <row r="149" spans="1:3">
      <c r="A149" s="11" t="s">
        <v>1167</v>
      </c>
      <c r="B149" s="11" t="s">
        <v>1076</v>
      </c>
      <c r="C149" s="2" t="s">
        <v>1293</v>
      </c>
    </row>
    <row r="150" spans="1:3">
      <c r="A150" s="11" t="s">
        <v>1167</v>
      </c>
      <c r="B150" s="11" t="s">
        <v>1094</v>
      </c>
      <c r="C150" s="2" t="s">
        <v>1292</v>
      </c>
    </row>
    <row r="151" spans="1:3">
      <c r="A151" s="11" t="s">
        <v>1167</v>
      </c>
      <c r="B151" s="11" t="s">
        <v>1092</v>
      </c>
      <c r="C151" s="2" t="s">
        <v>1294</v>
      </c>
    </row>
    <row r="152" spans="1:3">
      <c r="A152" s="11" t="s">
        <v>1167</v>
      </c>
      <c r="B152" s="11" t="s">
        <v>1099</v>
      </c>
      <c r="C152" s="2" t="s">
        <v>1295</v>
      </c>
    </row>
    <row r="153" spans="1:3">
      <c r="A153" s="11" t="s">
        <v>1167</v>
      </c>
      <c r="B153" s="11" t="s">
        <v>1097</v>
      </c>
      <c r="C153" s="2" t="s">
        <v>1294</v>
      </c>
    </row>
    <row r="154" spans="1:3">
      <c r="A154" s="11" t="s">
        <v>1167</v>
      </c>
      <c r="B154" s="11" t="s">
        <v>1103</v>
      </c>
      <c r="C154" s="2" t="s">
        <v>1292</v>
      </c>
    </row>
    <row r="155" spans="1:3">
      <c r="A155" s="11" t="s">
        <v>1167</v>
      </c>
      <c r="B155" s="11" t="s">
        <v>1101</v>
      </c>
      <c r="C155" s="2" t="s">
        <v>1293</v>
      </c>
    </row>
    <row r="156" spans="1:3">
      <c r="A156" s="11" t="s">
        <v>1167</v>
      </c>
      <c r="B156" s="11" t="s">
        <v>1107</v>
      </c>
      <c r="C156" s="2" t="s">
        <v>1292</v>
      </c>
    </row>
    <row r="157" spans="1:3">
      <c r="A157" s="11" t="s">
        <v>1167</v>
      </c>
      <c r="B157" s="11" t="s">
        <v>1105</v>
      </c>
      <c r="C157" s="2" t="s">
        <v>1291</v>
      </c>
    </row>
    <row r="158" spans="1:3">
      <c r="A158" s="11" t="s">
        <v>1167</v>
      </c>
      <c r="B158" s="11" t="s">
        <v>1111</v>
      </c>
      <c r="C158" s="2" t="s">
        <v>1290</v>
      </c>
    </row>
    <row r="159" spans="1:3">
      <c r="A159" s="11" t="s">
        <v>1167</v>
      </c>
      <c r="B159" s="11" t="s">
        <v>1109</v>
      </c>
      <c r="C159" s="2" t="s">
        <v>1291</v>
      </c>
    </row>
    <row r="160" spans="1:3">
      <c r="A160" s="11" t="s">
        <v>1167</v>
      </c>
      <c r="B160" s="11" t="s">
        <v>1090</v>
      </c>
      <c r="C160" s="2" t="s">
        <v>1292</v>
      </c>
    </row>
    <row r="161" spans="1:3">
      <c r="A161" s="11" t="s">
        <v>1173</v>
      </c>
      <c r="B161" s="11" t="s">
        <v>1076</v>
      </c>
      <c r="C161" s="2" t="s">
        <v>1292</v>
      </c>
    </row>
    <row r="162" spans="1:3">
      <c r="A162" s="11" t="s">
        <v>1173</v>
      </c>
      <c r="B162" s="11" t="s">
        <v>1094</v>
      </c>
      <c r="C162" s="2" t="s">
        <v>1293</v>
      </c>
    </row>
    <row r="163" spans="1:3">
      <c r="A163" s="11" t="s">
        <v>1173</v>
      </c>
      <c r="B163" s="11" t="s">
        <v>1092</v>
      </c>
      <c r="C163" s="2" t="s">
        <v>1292</v>
      </c>
    </row>
    <row r="164" spans="1:3">
      <c r="A164" s="11" t="s">
        <v>1173</v>
      </c>
      <c r="B164" s="11" t="s">
        <v>1099</v>
      </c>
      <c r="C164" s="2" t="s">
        <v>1294</v>
      </c>
    </row>
    <row r="165" spans="1:3">
      <c r="A165" s="11" t="s">
        <v>1173</v>
      </c>
      <c r="B165" s="11" t="s">
        <v>1097</v>
      </c>
      <c r="C165" s="2" t="s">
        <v>1295</v>
      </c>
    </row>
    <row r="166" spans="1:3">
      <c r="A166" s="11" t="s">
        <v>1173</v>
      </c>
      <c r="B166" s="11" t="s">
        <v>1103</v>
      </c>
      <c r="C166" s="2" t="s">
        <v>1294</v>
      </c>
    </row>
    <row r="167" spans="1:3">
      <c r="A167" s="11" t="s">
        <v>1173</v>
      </c>
      <c r="B167" s="11" t="s">
        <v>1101</v>
      </c>
      <c r="C167" s="2" t="s">
        <v>1292</v>
      </c>
    </row>
    <row r="168" spans="1:3">
      <c r="A168" s="11" t="s">
        <v>1173</v>
      </c>
      <c r="B168" s="11" t="s">
        <v>1107</v>
      </c>
      <c r="C168" s="2" t="s">
        <v>1293</v>
      </c>
    </row>
    <row r="169" spans="1:3">
      <c r="A169" s="11" t="s">
        <v>1173</v>
      </c>
      <c r="B169" s="11" t="s">
        <v>1105</v>
      </c>
      <c r="C169" s="2" t="s">
        <v>1292</v>
      </c>
    </row>
    <row r="170" spans="1:3">
      <c r="A170" s="11" t="s">
        <v>1173</v>
      </c>
      <c r="B170" s="11" t="s">
        <v>1111</v>
      </c>
      <c r="C170" s="2" t="s">
        <v>1291</v>
      </c>
    </row>
    <row r="171" spans="1:3">
      <c r="A171" s="11" t="s">
        <v>1173</v>
      </c>
      <c r="B171" s="11" t="s">
        <v>1109</v>
      </c>
      <c r="C171" s="2" t="s">
        <v>1290</v>
      </c>
    </row>
    <row r="172" spans="1:3">
      <c r="A172" s="11" t="s">
        <v>1173</v>
      </c>
      <c r="B172" s="11" t="s">
        <v>1090</v>
      </c>
      <c r="C172" s="2" t="s">
        <v>1291</v>
      </c>
    </row>
    <row r="173" spans="1:3">
      <c r="A173" s="11" t="s">
        <v>1179</v>
      </c>
      <c r="B173" s="11" t="s">
        <v>1076</v>
      </c>
      <c r="C173" s="2" t="s">
        <v>1291</v>
      </c>
    </row>
    <row r="174" spans="1:3">
      <c r="A174" s="11" t="s">
        <v>1179</v>
      </c>
      <c r="B174" s="11" t="s">
        <v>1094</v>
      </c>
      <c r="C174" s="2" t="s">
        <v>1292</v>
      </c>
    </row>
    <row r="175" spans="1:3">
      <c r="A175" s="11" t="s">
        <v>1179</v>
      </c>
      <c r="B175" s="11" t="s">
        <v>1092</v>
      </c>
      <c r="C175" s="2" t="s">
        <v>1293</v>
      </c>
    </row>
    <row r="176" spans="1:3">
      <c r="A176" s="11" t="s">
        <v>1179</v>
      </c>
      <c r="B176" s="11" t="s">
        <v>1099</v>
      </c>
      <c r="C176" s="2" t="s">
        <v>1292</v>
      </c>
    </row>
    <row r="177" spans="1:3">
      <c r="A177" s="11" t="s">
        <v>1179</v>
      </c>
      <c r="B177" s="11" t="s">
        <v>1097</v>
      </c>
      <c r="C177" s="2" t="s">
        <v>1294</v>
      </c>
    </row>
    <row r="178" spans="1:3">
      <c r="A178" s="11" t="s">
        <v>1179</v>
      </c>
      <c r="B178" s="11" t="s">
        <v>1103</v>
      </c>
      <c r="C178" s="2" t="s">
        <v>1295</v>
      </c>
    </row>
    <row r="179" spans="1:3">
      <c r="A179" s="11" t="s">
        <v>1179</v>
      </c>
      <c r="B179" s="11" t="s">
        <v>1101</v>
      </c>
      <c r="C179" s="2" t="s">
        <v>1294</v>
      </c>
    </row>
    <row r="180" spans="1:3">
      <c r="A180" s="11" t="s">
        <v>1179</v>
      </c>
      <c r="B180" s="11" t="s">
        <v>1107</v>
      </c>
      <c r="C180" s="2" t="s">
        <v>1292</v>
      </c>
    </row>
    <row r="181" spans="1:3">
      <c r="A181" s="11" t="s">
        <v>1179</v>
      </c>
      <c r="B181" s="11" t="s">
        <v>1105</v>
      </c>
      <c r="C181" s="2" t="s">
        <v>1293</v>
      </c>
    </row>
    <row r="182" spans="1:3">
      <c r="A182" s="11" t="s">
        <v>1179</v>
      </c>
      <c r="B182" s="11" t="s">
        <v>1111</v>
      </c>
      <c r="C182" s="2" t="s">
        <v>1292</v>
      </c>
    </row>
    <row r="183" spans="1:3">
      <c r="A183" s="11" t="s">
        <v>1179</v>
      </c>
      <c r="B183" s="11" t="s">
        <v>1109</v>
      </c>
      <c r="C183" s="2" t="s">
        <v>1291</v>
      </c>
    </row>
    <row r="184" spans="1:3">
      <c r="A184" s="11" t="s">
        <v>1179</v>
      </c>
      <c r="B184" s="11" t="s">
        <v>1090</v>
      </c>
      <c r="C184" s="2" t="s">
        <v>1290</v>
      </c>
    </row>
    <row r="187" spans="1:3">
      <c r="A187" s="2" t="s">
        <v>12</v>
      </c>
      <c r="B187" s="11" t="s">
        <v>1296</v>
      </c>
    </row>
    <row r="188" spans="1:3">
      <c r="A188" s="2" t="s">
        <v>20</v>
      </c>
      <c r="B188" s="11" t="s">
        <v>22</v>
      </c>
    </row>
    <row r="189" spans="1:3">
      <c r="A189" s="2" t="s">
        <v>27</v>
      </c>
      <c r="B189" s="11" t="s">
        <v>29</v>
      </c>
    </row>
    <row r="190" spans="1:3">
      <c r="A190" s="2" t="s">
        <v>34</v>
      </c>
      <c r="B190" s="11" t="s">
        <v>36</v>
      </c>
    </row>
    <row r="191" spans="1:3">
      <c r="A191" s="2" t="s">
        <v>1297</v>
      </c>
      <c r="B191" s="11" t="s">
        <v>43</v>
      </c>
    </row>
    <row r="192" spans="1:3">
      <c r="A192" s="2" t="s">
        <v>48</v>
      </c>
      <c r="B192" s="11" t="s">
        <v>50</v>
      </c>
    </row>
    <row r="193" spans="1:2">
      <c r="A193" s="2" t="s">
        <v>51</v>
      </c>
      <c r="B193" s="11" t="s">
        <v>53</v>
      </c>
    </row>
    <row r="194" spans="1:2">
      <c r="A194" s="2" t="s">
        <v>1298</v>
      </c>
      <c r="B194" s="11" t="s">
        <v>58</v>
      </c>
    </row>
    <row r="195" spans="1:2">
      <c r="A195" s="2" t="s">
        <v>56</v>
      </c>
      <c r="B195" s="11" t="s">
        <v>61</v>
      </c>
    </row>
    <row r="196" spans="1:2">
      <c r="A196" s="2" t="s">
        <v>62</v>
      </c>
      <c r="B196" s="11" t="s">
        <v>64</v>
      </c>
    </row>
    <row r="197" spans="1:2">
      <c r="A197" s="2" t="s">
        <v>65</v>
      </c>
      <c r="B197" s="11" t="s">
        <v>67</v>
      </c>
    </row>
    <row r="198" spans="1:2">
      <c r="A198" s="2" t="s">
        <v>68</v>
      </c>
      <c r="B198" s="11" t="s">
        <v>70</v>
      </c>
    </row>
    <row r="199" spans="1:2">
      <c r="A199" s="2" t="s">
        <v>71</v>
      </c>
      <c r="B199" s="11" t="s">
        <v>1299</v>
      </c>
    </row>
    <row r="200" spans="1:2">
      <c r="A200" s="2" t="s">
        <v>75</v>
      </c>
      <c r="B200" s="11" t="s">
        <v>77</v>
      </c>
    </row>
    <row r="201" spans="1:2">
      <c r="A201" s="2" t="s">
        <v>90</v>
      </c>
      <c r="B201" s="11" t="s">
        <v>80</v>
      </c>
    </row>
    <row r="202" spans="1:2">
      <c r="A202" s="2" t="s">
        <v>82</v>
      </c>
      <c r="B202" s="11" t="s">
        <v>84</v>
      </c>
    </row>
    <row r="203" spans="1:2">
      <c r="A203" s="2" t="s">
        <v>78</v>
      </c>
      <c r="B203" s="11" t="s">
        <v>88</v>
      </c>
    </row>
    <row r="204" spans="1:2">
      <c r="A204" s="2" t="s">
        <v>1300</v>
      </c>
      <c r="B204" s="11" t="s">
        <v>92</v>
      </c>
    </row>
    <row r="205" spans="1:2">
      <c r="A205" s="2" t="s">
        <v>1301</v>
      </c>
      <c r="B205" s="11" t="s">
        <v>96</v>
      </c>
    </row>
    <row r="206" spans="1:2">
      <c r="A206" s="2" t="s">
        <v>98</v>
      </c>
      <c r="B206" s="11" t="s">
        <v>100</v>
      </c>
    </row>
    <row r="207" spans="1:2">
      <c r="A207" s="2" t="s">
        <v>102</v>
      </c>
      <c r="B207" s="11" t="s">
        <v>105</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リバース占い鑑定結果</vt:lpstr>
      <vt:lpstr>リバース占い</vt:lpstr>
      <vt:lpstr>12運シート</vt:lpstr>
      <vt:lpstr>表裏星座一覧</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dc:creator>
  <cp:lastModifiedBy>Yoshiki</cp:lastModifiedBy>
  <dcterms:created xsi:type="dcterms:W3CDTF">2026-06-25T13:19:35Z</dcterms:created>
  <dcterms:modified xsi:type="dcterms:W3CDTF">2026-06-25T13:37:48Z</dcterms:modified>
</cp:coreProperties>
</file>